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alejandro_gallegos_accenture_com/Documents/Documents/Digital Core/05 - Modern Data Platform/AI-ready Data/Account Planning FY27/source/"/>
    </mc:Choice>
  </mc:AlternateContent>
  <xr:revisionPtr revIDLastSave="3" documentId="8_{AEC104DA-9DF2-494E-A124-D70A9A312E9C}" xr6:coauthVersionLast="47" xr6:coauthVersionMax="47" xr10:uidLastSave="{453339EF-ABD8-4D1C-A79C-5A82B3F5948A}"/>
  <bookViews>
    <workbookView xWindow="4236" yWindow="2316" windowWidth="17280" windowHeight="9984" activeTab="1" xr2:uid="{4CB885BF-F220-4BC9-A357-75F9AA2149C0}"/>
  </bookViews>
  <sheets>
    <sheet name="Pivot" sheetId="2" r:id="rId1"/>
    <sheet name="Sheet1" sheetId="1" r:id="rId2"/>
  </sheets>
  <definedNames>
    <definedName name="_xlnm._FilterDatabase" localSheetId="1" hidden="1">Sheet1!$A$2:$AP$198</definedName>
  </definedNames>
  <calcPr calcId="191029" iterateCount="10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O197" i="1" l="1"/>
  <c r="AN197" i="1"/>
  <c r="AM197" i="1"/>
  <c r="AL197" i="1"/>
  <c r="AK197" i="1"/>
  <c r="AP197" i="1" s="1"/>
  <c r="AO196" i="1"/>
  <c r="AN196" i="1"/>
  <c r="AM196" i="1"/>
  <c r="AL196" i="1"/>
  <c r="AK196" i="1"/>
  <c r="AP196" i="1" s="1"/>
  <c r="AO195" i="1"/>
  <c r="AN195" i="1"/>
  <c r="AM195" i="1"/>
  <c r="AL195" i="1"/>
  <c r="AK195" i="1"/>
  <c r="AO194" i="1"/>
  <c r="AN194" i="1"/>
  <c r="AM194" i="1"/>
  <c r="AL194" i="1"/>
  <c r="AK194" i="1"/>
  <c r="AO193" i="1"/>
  <c r="AN193" i="1"/>
  <c r="AM193" i="1"/>
  <c r="AL193" i="1"/>
  <c r="AK193" i="1"/>
  <c r="AP193" i="1" s="1"/>
  <c r="AO192" i="1"/>
  <c r="AN192" i="1"/>
  <c r="AM192" i="1"/>
  <c r="AL192" i="1"/>
  <c r="AK192" i="1"/>
  <c r="AP192" i="1" s="1"/>
  <c r="AO191" i="1"/>
  <c r="AN191" i="1"/>
  <c r="AM191" i="1"/>
  <c r="AL191" i="1"/>
  <c r="AK191" i="1"/>
  <c r="AO190" i="1"/>
  <c r="AN190" i="1"/>
  <c r="AM190" i="1"/>
  <c r="AL190" i="1"/>
  <c r="AK190" i="1"/>
  <c r="AO189" i="1"/>
  <c r="AN189" i="1"/>
  <c r="AM189" i="1"/>
  <c r="AL189" i="1"/>
  <c r="AK189" i="1"/>
  <c r="AO188" i="1"/>
  <c r="AN188" i="1"/>
  <c r="AM188" i="1"/>
  <c r="AL188" i="1"/>
  <c r="AK188" i="1"/>
  <c r="AP188" i="1" s="1"/>
  <c r="AO187" i="1"/>
  <c r="AN187" i="1"/>
  <c r="AM187" i="1"/>
  <c r="AL187" i="1"/>
  <c r="AK187" i="1"/>
  <c r="AO186" i="1"/>
  <c r="AN186" i="1"/>
  <c r="AM186" i="1"/>
  <c r="AL186" i="1"/>
  <c r="AK186" i="1"/>
  <c r="AO185" i="1"/>
  <c r="AN185" i="1"/>
  <c r="AM185" i="1"/>
  <c r="AL185" i="1"/>
  <c r="AK185" i="1"/>
  <c r="AP185" i="1" s="1"/>
  <c r="AO184" i="1"/>
  <c r="AN184" i="1"/>
  <c r="AM184" i="1"/>
  <c r="AL184" i="1"/>
  <c r="AK184" i="1"/>
  <c r="AP184" i="1" s="1"/>
  <c r="AO183" i="1"/>
  <c r="AN183" i="1"/>
  <c r="AM183" i="1"/>
  <c r="AL183" i="1"/>
  <c r="AK183" i="1"/>
  <c r="AO182" i="1"/>
  <c r="AN182" i="1"/>
  <c r="AM182" i="1"/>
  <c r="AL182" i="1"/>
  <c r="AP182" i="1" s="1"/>
  <c r="AK182" i="1"/>
  <c r="AO181" i="1"/>
  <c r="AN181" i="1"/>
  <c r="AM181" i="1"/>
  <c r="AL181" i="1"/>
  <c r="AK181" i="1"/>
  <c r="AO180" i="1"/>
  <c r="AN180" i="1"/>
  <c r="AM180" i="1"/>
  <c r="AL180" i="1"/>
  <c r="AK180" i="1"/>
  <c r="AO179" i="1"/>
  <c r="AN179" i="1"/>
  <c r="AM179" i="1"/>
  <c r="AL179" i="1"/>
  <c r="AK179" i="1"/>
  <c r="AO178" i="1"/>
  <c r="AN178" i="1"/>
  <c r="AM178" i="1"/>
  <c r="AL178" i="1"/>
  <c r="AK178" i="1"/>
  <c r="AO177" i="1"/>
  <c r="AN177" i="1"/>
  <c r="AM177" i="1"/>
  <c r="AL177" i="1"/>
  <c r="AK177" i="1"/>
  <c r="AO176" i="1"/>
  <c r="AN176" i="1"/>
  <c r="AM176" i="1"/>
  <c r="AL176" i="1"/>
  <c r="AK176" i="1"/>
  <c r="AO175" i="1"/>
  <c r="AN175" i="1"/>
  <c r="AM175" i="1"/>
  <c r="AL175" i="1"/>
  <c r="AK175" i="1"/>
  <c r="AO174" i="1"/>
  <c r="AN174" i="1"/>
  <c r="AM174" i="1"/>
  <c r="AL174" i="1"/>
  <c r="AK174" i="1"/>
  <c r="AO173" i="1"/>
  <c r="AN173" i="1"/>
  <c r="AM173" i="1"/>
  <c r="AL173" i="1"/>
  <c r="AK173" i="1"/>
  <c r="AO172" i="1"/>
  <c r="AN172" i="1"/>
  <c r="AM172" i="1"/>
  <c r="AL172" i="1"/>
  <c r="AK172" i="1"/>
  <c r="AO171" i="1"/>
  <c r="AN171" i="1"/>
  <c r="AM171" i="1"/>
  <c r="AL171" i="1"/>
  <c r="AK171" i="1"/>
  <c r="AO170" i="1"/>
  <c r="AN170" i="1"/>
  <c r="AM170" i="1"/>
  <c r="AL170" i="1"/>
  <c r="AK170" i="1"/>
  <c r="AO169" i="1"/>
  <c r="AN169" i="1"/>
  <c r="AM169" i="1"/>
  <c r="AL169" i="1"/>
  <c r="AK169" i="1"/>
  <c r="AO168" i="1"/>
  <c r="AN168" i="1"/>
  <c r="AM168" i="1"/>
  <c r="AL168" i="1"/>
  <c r="AK168" i="1"/>
  <c r="AO167" i="1"/>
  <c r="AN167" i="1"/>
  <c r="AM167" i="1"/>
  <c r="AL167" i="1"/>
  <c r="AK167" i="1"/>
  <c r="AO166" i="1"/>
  <c r="AN166" i="1"/>
  <c r="AM166" i="1"/>
  <c r="AL166" i="1"/>
  <c r="AK166" i="1"/>
  <c r="AO165" i="1"/>
  <c r="AN165" i="1"/>
  <c r="AM165" i="1"/>
  <c r="AL165" i="1"/>
  <c r="AK165" i="1"/>
  <c r="AO164" i="1"/>
  <c r="AN164" i="1"/>
  <c r="AM164" i="1"/>
  <c r="AL164" i="1"/>
  <c r="AK164" i="1"/>
  <c r="AO163" i="1"/>
  <c r="AN163" i="1"/>
  <c r="AM163" i="1"/>
  <c r="AL163" i="1"/>
  <c r="AK163" i="1"/>
  <c r="AO162" i="1"/>
  <c r="AN162" i="1"/>
  <c r="AM162" i="1"/>
  <c r="AL162" i="1"/>
  <c r="AK162" i="1"/>
  <c r="AO161" i="1"/>
  <c r="AN161" i="1"/>
  <c r="AM161" i="1"/>
  <c r="AL161" i="1"/>
  <c r="AK161" i="1"/>
  <c r="AO160" i="1"/>
  <c r="AN160" i="1"/>
  <c r="AM160" i="1"/>
  <c r="AL160" i="1"/>
  <c r="AK160" i="1"/>
  <c r="AO159" i="1"/>
  <c r="AN159" i="1"/>
  <c r="AM159" i="1"/>
  <c r="AL159" i="1"/>
  <c r="AK159" i="1"/>
  <c r="AP159" i="1" s="1"/>
  <c r="AO158" i="1"/>
  <c r="AN158" i="1"/>
  <c r="AM158" i="1"/>
  <c r="AP158" i="1" s="1"/>
  <c r="AL158" i="1"/>
  <c r="AK158" i="1"/>
  <c r="AO157" i="1"/>
  <c r="AN157" i="1"/>
  <c r="AM157" i="1"/>
  <c r="AL157" i="1"/>
  <c r="AK157" i="1"/>
  <c r="AO156" i="1"/>
  <c r="AN156" i="1"/>
  <c r="AM156" i="1"/>
  <c r="AL156" i="1"/>
  <c r="AK156" i="1"/>
  <c r="AO155" i="1"/>
  <c r="AN155" i="1"/>
  <c r="AM155" i="1"/>
  <c r="AL155" i="1"/>
  <c r="AK155" i="1"/>
  <c r="AO154" i="1"/>
  <c r="AN154" i="1"/>
  <c r="AM154" i="1"/>
  <c r="AL154" i="1"/>
  <c r="AK154" i="1"/>
  <c r="AO153" i="1"/>
  <c r="AN153" i="1"/>
  <c r="AM153" i="1"/>
  <c r="AL153" i="1"/>
  <c r="AK153" i="1"/>
  <c r="AO152" i="1"/>
  <c r="AN152" i="1"/>
  <c r="AM152" i="1"/>
  <c r="AL152" i="1"/>
  <c r="AK152" i="1"/>
  <c r="AO151" i="1"/>
  <c r="AN151" i="1"/>
  <c r="AM151" i="1"/>
  <c r="AL151" i="1"/>
  <c r="AK151" i="1"/>
  <c r="AO150" i="1"/>
  <c r="AN150" i="1"/>
  <c r="AM150" i="1"/>
  <c r="AL150" i="1"/>
  <c r="AK150" i="1"/>
  <c r="AO149" i="1"/>
  <c r="AN149" i="1"/>
  <c r="AM149" i="1"/>
  <c r="AL149" i="1"/>
  <c r="AK149" i="1"/>
  <c r="AO148" i="1"/>
  <c r="AN148" i="1"/>
  <c r="AM148" i="1"/>
  <c r="AL148" i="1"/>
  <c r="AK148" i="1"/>
  <c r="AP148" i="1" s="1"/>
  <c r="AO147" i="1"/>
  <c r="AN147" i="1"/>
  <c r="AM147" i="1"/>
  <c r="AL147" i="1"/>
  <c r="AK147" i="1"/>
  <c r="AO146" i="1"/>
  <c r="AN146" i="1"/>
  <c r="AM146" i="1"/>
  <c r="AL146" i="1"/>
  <c r="AK146" i="1"/>
  <c r="AO145" i="1"/>
  <c r="AN145" i="1"/>
  <c r="AM145" i="1"/>
  <c r="AL145" i="1"/>
  <c r="AK145" i="1"/>
  <c r="AO144" i="1"/>
  <c r="AN144" i="1"/>
  <c r="AM144" i="1"/>
  <c r="AL144" i="1"/>
  <c r="AK144" i="1"/>
  <c r="AP144" i="1" s="1"/>
  <c r="AO143" i="1"/>
  <c r="AN143" i="1"/>
  <c r="AM143" i="1"/>
  <c r="AL143" i="1"/>
  <c r="AK143" i="1"/>
  <c r="AO142" i="1"/>
  <c r="AN142" i="1"/>
  <c r="AM142" i="1"/>
  <c r="AL142" i="1"/>
  <c r="AK142" i="1"/>
  <c r="AO141" i="1"/>
  <c r="AN141" i="1"/>
  <c r="AM141" i="1"/>
  <c r="AL141" i="1"/>
  <c r="AK141" i="1"/>
  <c r="AO140" i="1"/>
  <c r="AN140" i="1"/>
  <c r="AM140" i="1"/>
  <c r="AL140" i="1"/>
  <c r="AK140" i="1"/>
  <c r="AP140" i="1" s="1"/>
  <c r="AO139" i="1"/>
  <c r="AN139" i="1"/>
  <c r="AM139" i="1"/>
  <c r="AL139" i="1"/>
  <c r="AK139" i="1"/>
  <c r="AO138" i="1"/>
  <c r="AN138" i="1"/>
  <c r="AM138" i="1"/>
  <c r="AL138" i="1"/>
  <c r="AK138" i="1"/>
  <c r="AO137" i="1"/>
  <c r="AN137" i="1"/>
  <c r="AM137" i="1"/>
  <c r="AL137" i="1"/>
  <c r="AK137" i="1"/>
  <c r="AO136" i="1"/>
  <c r="AN136" i="1"/>
  <c r="AM136" i="1"/>
  <c r="AL136" i="1"/>
  <c r="AK136" i="1"/>
  <c r="AP136" i="1" s="1"/>
  <c r="AO135" i="1"/>
  <c r="AN135" i="1"/>
  <c r="AM135" i="1"/>
  <c r="AL135" i="1"/>
  <c r="AK135" i="1"/>
  <c r="AO134" i="1"/>
  <c r="AN134" i="1"/>
  <c r="AM134" i="1"/>
  <c r="AL134" i="1"/>
  <c r="AK134" i="1"/>
  <c r="AO133" i="1"/>
  <c r="AN133" i="1"/>
  <c r="AM133" i="1"/>
  <c r="AL133" i="1"/>
  <c r="AK133" i="1"/>
  <c r="AO132" i="1"/>
  <c r="AN132" i="1"/>
  <c r="AM132" i="1"/>
  <c r="AL132" i="1"/>
  <c r="AK132" i="1"/>
  <c r="AO131" i="1"/>
  <c r="AN131" i="1"/>
  <c r="AM131" i="1"/>
  <c r="AL131" i="1"/>
  <c r="AK131" i="1"/>
  <c r="AO130" i="1"/>
  <c r="AN130" i="1"/>
  <c r="AM130" i="1"/>
  <c r="AP130" i="1" s="1"/>
  <c r="AL130" i="1"/>
  <c r="AK130" i="1"/>
  <c r="AO129" i="1"/>
  <c r="AN129" i="1"/>
  <c r="AM129" i="1"/>
  <c r="AL129" i="1"/>
  <c r="AK129" i="1"/>
  <c r="AO128" i="1"/>
  <c r="AN128" i="1"/>
  <c r="AM128" i="1"/>
  <c r="AL128" i="1"/>
  <c r="AK128" i="1"/>
  <c r="AO127" i="1"/>
  <c r="AN127" i="1"/>
  <c r="AM127" i="1"/>
  <c r="AL127" i="1"/>
  <c r="AK127" i="1"/>
  <c r="AO126" i="1"/>
  <c r="AN126" i="1"/>
  <c r="AM126" i="1"/>
  <c r="AL126" i="1"/>
  <c r="AK126" i="1"/>
  <c r="AO125" i="1"/>
  <c r="AN125" i="1"/>
  <c r="AM125" i="1"/>
  <c r="AL125" i="1"/>
  <c r="AK125" i="1"/>
  <c r="AO124" i="1"/>
  <c r="AN124" i="1"/>
  <c r="AM124" i="1"/>
  <c r="AL124" i="1"/>
  <c r="AK124" i="1"/>
  <c r="AO123" i="1"/>
  <c r="AN123" i="1"/>
  <c r="AM123" i="1"/>
  <c r="AL123" i="1"/>
  <c r="AK123" i="1"/>
  <c r="AO122" i="1"/>
  <c r="AN122" i="1"/>
  <c r="AM122" i="1"/>
  <c r="AL122" i="1"/>
  <c r="AK122" i="1"/>
  <c r="AO121" i="1"/>
  <c r="AN121" i="1"/>
  <c r="AM121" i="1"/>
  <c r="AL121" i="1"/>
  <c r="AK121" i="1"/>
  <c r="AO120" i="1"/>
  <c r="AN120" i="1"/>
  <c r="AM120" i="1"/>
  <c r="AL120" i="1"/>
  <c r="AK120" i="1"/>
  <c r="AO119" i="1"/>
  <c r="AN119" i="1"/>
  <c r="AM119" i="1"/>
  <c r="AL119" i="1"/>
  <c r="AK119" i="1"/>
  <c r="AO118" i="1"/>
  <c r="AN118" i="1"/>
  <c r="AM118" i="1"/>
  <c r="AL118" i="1"/>
  <c r="AK118" i="1"/>
  <c r="AO117" i="1"/>
  <c r="AN117" i="1"/>
  <c r="AM117" i="1"/>
  <c r="AL117" i="1"/>
  <c r="AK117" i="1"/>
  <c r="AO116" i="1"/>
  <c r="AN116" i="1"/>
  <c r="AM116" i="1"/>
  <c r="AL116" i="1"/>
  <c r="AK116" i="1"/>
  <c r="AO115" i="1"/>
  <c r="AN115" i="1"/>
  <c r="AM115" i="1"/>
  <c r="AL115" i="1"/>
  <c r="AK115" i="1"/>
  <c r="AO114" i="1"/>
  <c r="AN114" i="1"/>
  <c r="AM114" i="1"/>
  <c r="AL114" i="1"/>
  <c r="AK114" i="1"/>
  <c r="AO113" i="1"/>
  <c r="AN113" i="1"/>
  <c r="AM113" i="1"/>
  <c r="AL113" i="1"/>
  <c r="AK113" i="1"/>
  <c r="AO112" i="1"/>
  <c r="AN112" i="1"/>
  <c r="AM112" i="1"/>
  <c r="AL112" i="1"/>
  <c r="AK112" i="1"/>
  <c r="AO111" i="1"/>
  <c r="AN111" i="1"/>
  <c r="AM111" i="1"/>
  <c r="AL111" i="1"/>
  <c r="AK111" i="1"/>
  <c r="AP111" i="1" s="1"/>
  <c r="AO110" i="1"/>
  <c r="AN110" i="1"/>
  <c r="AM110" i="1"/>
  <c r="AL110" i="1"/>
  <c r="AK110" i="1"/>
  <c r="AO109" i="1"/>
  <c r="AN109" i="1"/>
  <c r="AM109" i="1"/>
  <c r="AL109" i="1"/>
  <c r="AK109" i="1"/>
  <c r="AO108" i="1"/>
  <c r="AN108" i="1"/>
  <c r="AM108" i="1"/>
  <c r="AL108" i="1"/>
  <c r="AK108" i="1"/>
  <c r="AO107" i="1"/>
  <c r="AN107" i="1"/>
  <c r="AM107" i="1"/>
  <c r="AL107" i="1"/>
  <c r="AK107" i="1"/>
  <c r="AP107" i="1" s="1"/>
  <c r="AO106" i="1"/>
  <c r="AN106" i="1"/>
  <c r="AM106" i="1"/>
  <c r="AL106" i="1"/>
  <c r="AK106" i="1"/>
  <c r="AO105" i="1"/>
  <c r="AN105" i="1"/>
  <c r="AM105" i="1"/>
  <c r="AL105" i="1"/>
  <c r="AK105" i="1"/>
  <c r="AO104" i="1"/>
  <c r="AN104" i="1"/>
  <c r="AM104" i="1"/>
  <c r="AL104" i="1"/>
  <c r="AK104" i="1"/>
  <c r="AO103" i="1"/>
  <c r="AN103" i="1"/>
  <c r="AM103" i="1"/>
  <c r="AL103" i="1"/>
  <c r="AK103" i="1"/>
  <c r="AP103" i="1" s="1"/>
  <c r="AO102" i="1"/>
  <c r="AN102" i="1"/>
  <c r="AM102" i="1"/>
  <c r="AL102" i="1"/>
  <c r="AK102" i="1"/>
  <c r="AO101" i="1"/>
  <c r="AN101" i="1"/>
  <c r="AM101" i="1"/>
  <c r="AL101" i="1"/>
  <c r="AK101" i="1"/>
  <c r="AO100" i="1"/>
  <c r="AN100" i="1"/>
  <c r="AM100" i="1"/>
  <c r="AL100" i="1"/>
  <c r="AK100" i="1"/>
  <c r="AP100" i="1" s="1"/>
  <c r="AO99" i="1"/>
  <c r="AN99" i="1"/>
  <c r="AM99" i="1"/>
  <c r="AL99" i="1"/>
  <c r="AK99" i="1"/>
  <c r="AP99" i="1" s="1"/>
  <c r="AO98" i="1"/>
  <c r="AN98" i="1"/>
  <c r="AM98" i="1"/>
  <c r="AL98" i="1"/>
  <c r="AK98" i="1"/>
  <c r="AO97" i="1"/>
  <c r="AN97" i="1"/>
  <c r="AM97" i="1"/>
  <c r="AL97" i="1"/>
  <c r="AK97" i="1"/>
  <c r="AO96" i="1"/>
  <c r="AN96" i="1"/>
  <c r="AM96" i="1"/>
  <c r="AL96" i="1"/>
  <c r="AK96" i="1"/>
  <c r="AP96" i="1" s="1"/>
  <c r="AO95" i="1"/>
  <c r="AN95" i="1"/>
  <c r="AM95" i="1"/>
  <c r="AL95" i="1"/>
  <c r="AK95" i="1"/>
  <c r="AO94" i="1"/>
  <c r="AN94" i="1"/>
  <c r="AM94" i="1"/>
  <c r="AL94" i="1"/>
  <c r="AK94" i="1"/>
  <c r="AO93" i="1"/>
  <c r="AN93" i="1"/>
  <c r="AM93" i="1"/>
  <c r="AL93" i="1"/>
  <c r="AK93" i="1"/>
  <c r="AO92" i="1"/>
  <c r="AN92" i="1"/>
  <c r="AM92" i="1"/>
  <c r="AL92" i="1"/>
  <c r="AK92" i="1"/>
  <c r="AP92" i="1" s="1"/>
  <c r="AO91" i="1"/>
  <c r="AN91" i="1"/>
  <c r="AM91" i="1"/>
  <c r="AL91" i="1"/>
  <c r="AK91" i="1"/>
  <c r="AP91" i="1" s="1"/>
  <c r="AO90" i="1"/>
  <c r="AN90" i="1"/>
  <c r="AM90" i="1"/>
  <c r="AL90" i="1"/>
  <c r="AK90" i="1"/>
  <c r="AO89" i="1"/>
  <c r="AN89" i="1"/>
  <c r="AM89" i="1"/>
  <c r="AL89" i="1"/>
  <c r="AK89" i="1"/>
  <c r="AO88" i="1"/>
  <c r="AN88" i="1"/>
  <c r="AM88" i="1"/>
  <c r="AL88" i="1"/>
  <c r="AK88" i="1"/>
  <c r="AP88" i="1" s="1"/>
  <c r="AO87" i="1"/>
  <c r="AN87" i="1"/>
  <c r="AM87" i="1"/>
  <c r="AL87" i="1"/>
  <c r="AK87" i="1"/>
  <c r="AP87" i="1" s="1"/>
  <c r="AO86" i="1"/>
  <c r="AN86" i="1"/>
  <c r="AM86" i="1"/>
  <c r="AL86" i="1"/>
  <c r="AK86" i="1"/>
  <c r="AO85" i="1"/>
  <c r="AN85" i="1"/>
  <c r="AM85" i="1"/>
  <c r="AL85" i="1"/>
  <c r="AK85" i="1"/>
  <c r="AO84" i="1"/>
  <c r="AN84" i="1"/>
  <c r="AM84" i="1"/>
  <c r="AL84" i="1"/>
  <c r="AK84" i="1"/>
  <c r="AO83" i="1"/>
  <c r="AN83" i="1"/>
  <c r="AM83" i="1"/>
  <c r="AL83" i="1"/>
  <c r="AK83" i="1"/>
  <c r="AP83" i="1" s="1"/>
  <c r="AO82" i="1"/>
  <c r="AN82" i="1"/>
  <c r="AM82" i="1"/>
  <c r="AL82" i="1"/>
  <c r="AK82" i="1"/>
  <c r="AO81" i="1"/>
  <c r="AN81" i="1"/>
  <c r="AM81" i="1"/>
  <c r="AL81" i="1"/>
  <c r="AK81" i="1"/>
  <c r="AO80" i="1"/>
  <c r="AN80" i="1"/>
  <c r="AM80" i="1"/>
  <c r="AL80" i="1"/>
  <c r="AK80" i="1"/>
  <c r="AO79" i="1"/>
  <c r="AN79" i="1"/>
  <c r="AM79" i="1"/>
  <c r="AL79" i="1"/>
  <c r="AK79" i="1"/>
  <c r="AP79" i="1" s="1"/>
  <c r="AO78" i="1"/>
  <c r="AN78" i="1"/>
  <c r="AM78" i="1"/>
  <c r="AL78" i="1"/>
  <c r="AK78" i="1"/>
  <c r="AO77" i="1"/>
  <c r="AN77" i="1"/>
  <c r="AM77" i="1"/>
  <c r="AL77" i="1"/>
  <c r="AK77" i="1"/>
  <c r="AO76" i="1"/>
  <c r="AN76" i="1"/>
  <c r="AM76" i="1"/>
  <c r="AL76" i="1"/>
  <c r="AK76" i="1"/>
  <c r="AO75" i="1"/>
  <c r="AN75" i="1"/>
  <c r="AM75" i="1"/>
  <c r="AL75" i="1"/>
  <c r="AK75" i="1"/>
  <c r="AP75" i="1" s="1"/>
  <c r="AO74" i="1"/>
  <c r="AN74" i="1"/>
  <c r="AM74" i="1"/>
  <c r="AL74" i="1"/>
  <c r="AK74" i="1"/>
  <c r="AO73" i="1"/>
  <c r="AN73" i="1"/>
  <c r="AM73" i="1"/>
  <c r="AL73" i="1"/>
  <c r="AK73" i="1"/>
  <c r="AO72" i="1"/>
  <c r="AN72" i="1"/>
  <c r="AM72" i="1"/>
  <c r="AL72" i="1"/>
  <c r="AK72" i="1"/>
  <c r="AO71" i="1"/>
  <c r="AN71" i="1"/>
  <c r="AM71" i="1"/>
  <c r="AL71" i="1"/>
  <c r="AK71" i="1"/>
  <c r="AO70" i="1"/>
  <c r="AN70" i="1"/>
  <c r="AM70" i="1"/>
  <c r="AL70" i="1"/>
  <c r="AK70" i="1"/>
  <c r="AO69" i="1"/>
  <c r="AN69" i="1"/>
  <c r="AM69" i="1"/>
  <c r="AL69" i="1"/>
  <c r="AK69" i="1"/>
  <c r="AO68" i="1"/>
  <c r="AN68" i="1"/>
  <c r="AM68" i="1"/>
  <c r="AL68" i="1"/>
  <c r="AK68" i="1"/>
  <c r="AO67" i="1"/>
  <c r="AN67" i="1"/>
  <c r="AM67" i="1"/>
  <c r="AL67" i="1"/>
  <c r="AK67" i="1"/>
  <c r="AO66" i="1"/>
  <c r="AN66" i="1"/>
  <c r="AM66" i="1"/>
  <c r="AL66" i="1"/>
  <c r="AK66" i="1"/>
  <c r="AO65" i="1"/>
  <c r="AN65" i="1"/>
  <c r="AM65" i="1"/>
  <c r="AL65" i="1"/>
  <c r="AK65" i="1"/>
  <c r="AO64" i="1"/>
  <c r="AN64" i="1"/>
  <c r="AM64" i="1"/>
  <c r="AL64" i="1"/>
  <c r="AK64" i="1"/>
  <c r="AP64" i="1" s="1"/>
  <c r="AO63" i="1"/>
  <c r="AN63" i="1"/>
  <c r="AM63" i="1"/>
  <c r="AL63" i="1"/>
  <c r="AK63" i="1"/>
  <c r="AP63" i="1" s="1"/>
  <c r="AO62" i="1"/>
  <c r="AN62" i="1"/>
  <c r="AM62" i="1"/>
  <c r="AL62" i="1"/>
  <c r="AK62" i="1"/>
  <c r="AO61" i="1"/>
  <c r="AN61" i="1"/>
  <c r="AM61" i="1"/>
  <c r="AL61" i="1"/>
  <c r="AK61" i="1"/>
  <c r="AO60" i="1"/>
  <c r="AN60" i="1"/>
  <c r="AM60" i="1"/>
  <c r="AL60" i="1"/>
  <c r="AK60" i="1"/>
  <c r="AO59" i="1"/>
  <c r="AN59" i="1"/>
  <c r="AM59" i="1"/>
  <c r="AL59" i="1"/>
  <c r="AK59" i="1"/>
  <c r="AO58" i="1"/>
  <c r="AN58" i="1"/>
  <c r="AM58" i="1"/>
  <c r="AL58" i="1"/>
  <c r="AK58" i="1"/>
  <c r="AO57" i="1"/>
  <c r="AN57" i="1"/>
  <c r="AM57" i="1"/>
  <c r="AL57" i="1"/>
  <c r="AK57" i="1"/>
  <c r="AO56" i="1"/>
  <c r="AN56" i="1"/>
  <c r="AM56" i="1"/>
  <c r="AL56" i="1"/>
  <c r="AK56" i="1"/>
  <c r="AO55" i="1"/>
  <c r="AN55" i="1"/>
  <c r="AM55" i="1"/>
  <c r="AL55" i="1"/>
  <c r="AK55" i="1"/>
  <c r="AO54" i="1"/>
  <c r="AN54" i="1"/>
  <c r="AM54" i="1"/>
  <c r="AL54" i="1"/>
  <c r="AK54" i="1"/>
  <c r="AO53" i="1"/>
  <c r="AN53" i="1"/>
  <c r="AM53" i="1"/>
  <c r="AL53" i="1"/>
  <c r="AK53" i="1"/>
  <c r="AO52" i="1"/>
  <c r="AN52" i="1"/>
  <c r="AM52" i="1"/>
  <c r="AL52" i="1"/>
  <c r="AK52" i="1"/>
  <c r="AP52" i="1" s="1"/>
  <c r="AO51" i="1"/>
  <c r="AN51" i="1"/>
  <c r="AM51" i="1"/>
  <c r="AL51" i="1"/>
  <c r="AK51" i="1"/>
  <c r="AO50" i="1"/>
  <c r="AN50" i="1"/>
  <c r="AM50" i="1"/>
  <c r="AL50" i="1"/>
  <c r="AK50" i="1"/>
  <c r="AO49" i="1"/>
  <c r="AN49" i="1"/>
  <c r="AM49" i="1"/>
  <c r="AL49" i="1"/>
  <c r="AK49" i="1"/>
  <c r="AO48" i="1"/>
  <c r="AN48" i="1"/>
  <c r="AM48" i="1"/>
  <c r="AL48" i="1"/>
  <c r="AK48" i="1"/>
  <c r="AP48" i="1" s="1"/>
  <c r="AO47" i="1"/>
  <c r="AN47" i="1"/>
  <c r="AM47" i="1"/>
  <c r="AL47" i="1"/>
  <c r="AK47" i="1"/>
  <c r="AO46" i="1"/>
  <c r="AN46" i="1"/>
  <c r="AM46" i="1"/>
  <c r="AL46" i="1"/>
  <c r="AK46" i="1"/>
  <c r="AO45" i="1"/>
  <c r="AN45" i="1"/>
  <c r="AM45" i="1"/>
  <c r="AL45" i="1"/>
  <c r="AK45" i="1"/>
  <c r="AO44" i="1"/>
  <c r="AN44" i="1"/>
  <c r="AM44" i="1"/>
  <c r="AL44" i="1"/>
  <c r="AK44" i="1"/>
  <c r="AP44" i="1" s="1"/>
  <c r="AO43" i="1"/>
  <c r="AN43" i="1"/>
  <c r="AM43" i="1"/>
  <c r="AL43" i="1"/>
  <c r="AK43" i="1"/>
  <c r="AO42" i="1"/>
  <c r="AN42" i="1"/>
  <c r="AM42" i="1"/>
  <c r="AL42" i="1"/>
  <c r="AK42" i="1"/>
  <c r="AO41" i="1"/>
  <c r="AN41" i="1"/>
  <c r="AM41" i="1"/>
  <c r="AL41" i="1"/>
  <c r="AK41" i="1"/>
  <c r="AO40" i="1"/>
  <c r="AN40" i="1"/>
  <c r="AM40" i="1"/>
  <c r="AL40" i="1"/>
  <c r="AK40" i="1"/>
  <c r="AP40" i="1" s="1"/>
  <c r="AO39" i="1"/>
  <c r="AN39" i="1"/>
  <c r="AM39" i="1"/>
  <c r="AL39" i="1"/>
  <c r="AK39" i="1"/>
  <c r="AO38" i="1"/>
  <c r="AN38" i="1"/>
  <c r="AM38" i="1"/>
  <c r="AL38" i="1"/>
  <c r="AK38" i="1"/>
  <c r="AO37" i="1"/>
  <c r="AN37" i="1"/>
  <c r="AM37" i="1"/>
  <c r="AL37" i="1"/>
  <c r="AK37" i="1"/>
  <c r="AO36" i="1"/>
  <c r="AN36" i="1"/>
  <c r="AM36" i="1"/>
  <c r="AL36" i="1"/>
  <c r="AK36" i="1"/>
  <c r="AO35" i="1"/>
  <c r="AN35" i="1"/>
  <c r="AM35" i="1"/>
  <c r="AL35" i="1"/>
  <c r="AK35" i="1"/>
  <c r="AO34" i="1"/>
  <c r="AN34" i="1"/>
  <c r="AM34" i="1"/>
  <c r="AL34" i="1"/>
  <c r="AK34" i="1"/>
  <c r="AO33" i="1"/>
  <c r="AN33" i="1"/>
  <c r="AM33" i="1"/>
  <c r="AL33" i="1"/>
  <c r="AK33" i="1"/>
  <c r="AO32" i="1"/>
  <c r="AN32" i="1"/>
  <c r="AM32" i="1"/>
  <c r="AL32" i="1"/>
  <c r="AK32" i="1"/>
  <c r="AO31" i="1"/>
  <c r="AN31" i="1"/>
  <c r="AM31" i="1"/>
  <c r="AL31" i="1"/>
  <c r="AK31" i="1"/>
  <c r="AO30" i="1"/>
  <c r="AN30" i="1"/>
  <c r="AM30" i="1"/>
  <c r="AL30" i="1"/>
  <c r="AK30" i="1"/>
  <c r="AO29" i="1"/>
  <c r="AN29" i="1"/>
  <c r="AM29" i="1"/>
  <c r="AL29" i="1"/>
  <c r="AK29" i="1"/>
  <c r="AO28" i="1"/>
  <c r="AN28" i="1"/>
  <c r="AM28" i="1"/>
  <c r="AL28" i="1"/>
  <c r="AK28" i="1"/>
  <c r="AP28" i="1" s="1"/>
  <c r="AO27" i="1"/>
  <c r="AN27" i="1"/>
  <c r="AM27" i="1"/>
  <c r="AL27" i="1"/>
  <c r="AK27" i="1"/>
  <c r="AP27" i="1" s="1"/>
  <c r="AO26" i="1"/>
  <c r="AN26" i="1"/>
  <c r="AM26" i="1"/>
  <c r="AL26" i="1"/>
  <c r="AK26" i="1"/>
  <c r="AO25" i="1"/>
  <c r="AN25" i="1"/>
  <c r="AM25" i="1"/>
  <c r="AL25" i="1"/>
  <c r="AK25" i="1"/>
  <c r="AO24" i="1"/>
  <c r="AN24" i="1"/>
  <c r="AM24" i="1"/>
  <c r="AL24" i="1"/>
  <c r="AK24" i="1"/>
  <c r="AP24" i="1" s="1"/>
  <c r="AO23" i="1"/>
  <c r="AN23" i="1"/>
  <c r="AM23" i="1"/>
  <c r="AL23" i="1"/>
  <c r="AK23" i="1"/>
  <c r="AP23" i="1" s="1"/>
  <c r="AO22" i="1"/>
  <c r="AN22" i="1"/>
  <c r="AM22" i="1"/>
  <c r="AL22" i="1"/>
  <c r="AK22" i="1"/>
  <c r="AO21" i="1"/>
  <c r="AN21" i="1"/>
  <c r="AM21" i="1"/>
  <c r="AL21" i="1"/>
  <c r="AK21" i="1"/>
  <c r="AO20" i="1"/>
  <c r="AN20" i="1"/>
  <c r="AM20" i="1"/>
  <c r="AL20" i="1"/>
  <c r="AK20" i="1"/>
  <c r="AO19" i="1"/>
  <c r="AN19" i="1"/>
  <c r="AM19" i="1"/>
  <c r="AL19" i="1"/>
  <c r="AK19" i="1"/>
  <c r="AP19" i="1" s="1"/>
  <c r="AO18" i="1"/>
  <c r="AN18" i="1"/>
  <c r="AM18" i="1"/>
  <c r="AL18" i="1"/>
  <c r="AK18" i="1"/>
  <c r="AO17" i="1"/>
  <c r="AN17" i="1"/>
  <c r="AM17" i="1"/>
  <c r="AL17" i="1"/>
  <c r="AK17" i="1"/>
  <c r="AO16" i="1"/>
  <c r="AN16" i="1"/>
  <c r="AM16" i="1"/>
  <c r="AL16" i="1"/>
  <c r="AK16" i="1"/>
  <c r="AO15" i="1"/>
  <c r="AN15" i="1"/>
  <c r="AM15" i="1"/>
  <c r="AL15" i="1"/>
  <c r="AK15" i="1"/>
  <c r="AO14" i="1"/>
  <c r="AN14" i="1"/>
  <c r="AM14" i="1"/>
  <c r="AL14" i="1"/>
  <c r="AK14" i="1"/>
  <c r="AO13" i="1"/>
  <c r="AN13" i="1"/>
  <c r="AM13" i="1"/>
  <c r="AL13" i="1"/>
  <c r="AK13" i="1"/>
  <c r="AO12" i="1"/>
  <c r="AN12" i="1"/>
  <c r="AM12" i="1"/>
  <c r="AL12" i="1"/>
  <c r="AK12" i="1"/>
  <c r="AP12" i="1" s="1"/>
  <c r="AO11" i="1"/>
  <c r="AN11" i="1"/>
  <c r="AM11" i="1"/>
  <c r="AL11" i="1"/>
  <c r="AK11" i="1"/>
  <c r="AP11" i="1" s="1"/>
  <c r="AO10" i="1"/>
  <c r="AN10" i="1"/>
  <c r="AM10" i="1"/>
  <c r="AL10" i="1"/>
  <c r="AK10" i="1"/>
  <c r="AP10" i="1" s="1"/>
  <c r="AO9" i="1"/>
  <c r="AN9" i="1"/>
  <c r="AM9" i="1"/>
  <c r="AL9" i="1"/>
  <c r="AK9" i="1"/>
  <c r="AO8" i="1"/>
  <c r="AN8" i="1"/>
  <c r="AM8" i="1"/>
  <c r="AL8" i="1"/>
  <c r="AK8" i="1"/>
  <c r="AP8" i="1" s="1"/>
  <c r="AO7" i="1"/>
  <c r="AN7" i="1"/>
  <c r="AM7" i="1"/>
  <c r="AL7" i="1"/>
  <c r="AK7" i="1"/>
  <c r="AP7" i="1" s="1"/>
  <c r="AO6" i="1"/>
  <c r="AN6" i="1"/>
  <c r="AM6" i="1"/>
  <c r="AL6" i="1"/>
  <c r="AK6" i="1"/>
  <c r="AP6" i="1" s="1"/>
  <c r="AO5" i="1"/>
  <c r="AN5" i="1"/>
  <c r="AM5" i="1"/>
  <c r="AL5" i="1"/>
  <c r="AK5" i="1"/>
  <c r="AP5" i="1" s="1"/>
  <c r="AO4" i="1"/>
  <c r="AN4" i="1"/>
  <c r="AM4" i="1"/>
  <c r="AL4" i="1"/>
  <c r="AK4" i="1"/>
  <c r="AO3" i="1"/>
  <c r="AN3" i="1"/>
  <c r="W197" i="1"/>
  <c r="V197" i="1"/>
  <c r="U197" i="1"/>
  <c r="W196" i="1"/>
  <c r="V196" i="1"/>
  <c r="U196" i="1"/>
  <c r="W195" i="1"/>
  <c r="V195" i="1"/>
  <c r="U195" i="1"/>
  <c r="W194" i="1"/>
  <c r="V194" i="1"/>
  <c r="U194" i="1"/>
  <c r="W193" i="1"/>
  <c r="V193" i="1"/>
  <c r="U193" i="1"/>
  <c r="W192" i="1"/>
  <c r="V192" i="1"/>
  <c r="U192" i="1"/>
  <c r="X192" i="1" s="1"/>
  <c r="W191" i="1"/>
  <c r="V191" i="1"/>
  <c r="U191" i="1"/>
  <c r="W190" i="1"/>
  <c r="V190" i="1"/>
  <c r="U190" i="1"/>
  <c r="W189" i="1"/>
  <c r="V189" i="1"/>
  <c r="U189" i="1"/>
  <c r="W188" i="1"/>
  <c r="V188" i="1"/>
  <c r="U188" i="1"/>
  <c r="W187" i="1"/>
  <c r="V187" i="1"/>
  <c r="U187" i="1"/>
  <c r="W186" i="1"/>
  <c r="V186" i="1"/>
  <c r="U186" i="1"/>
  <c r="W185" i="1"/>
  <c r="V185" i="1"/>
  <c r="U185" i="1"/>
  <c r="W184" i="1"/>
  <c r="V184" i="1"/>
  <c r="U184" i="1"/>
  <c r="X184" i="1" s="1"/>
  <c r="W183" i="1"/>
  <c r="V183" i="1"/>
  <c r="U183" i="1"/>
  <c r="W182" i="1"/>
  <c r="V182" i="1"/>
  <c r="U182" i="1"/>
  <c r="W181" i="1"/>
  <c r="V181" i="1"/>
  <c r="U181" i="1"/>
  <c r="W180" i="1"/>
  <c r="V180" i="1"/>
  <c r="U180" i="1"/>
  <c r="W179" i="1"/>
  <c r="V179" i="1"/>
  <c r="U179" i="1"/>
  <c r="W178" i="1"/>
  <c r="V178" i="1"/>
  <c r="U178" i="1"/>
  <c r="X178" i="1" s="1"/>
  <c r="W177" i="1"/>
  <c r="V177" i="1"/>
  <c r="U177" i="1"/>
  <c r="W176" i="1"/>
  <c r="V176" i="1"/>
  <c r="U176" i="1"/>
  <c r="W175" i="1"/>
  <c r="V175" i="1"/>
  <c r="U175" i="1"/>
  <c r="W174" i="1"/>
  <c r="V174" i="1"/>
  <c r="U174" i="1"/>
  <c r="X174" i="1" s="1"/>
  <c r="W173" i="1"/>
  <c r="V173" i="1"/>
  <c r="U173" i="1"/>
  <c r="W172" i="1"/>
  <c r="V172" i="1"/>
  <c r="U172" i="1"/>
  <c r="X172" i="1" s="1"/>
  <c r="W171" i="1"/>
  <c r="V171" i="1"/>
  <c r="U171" i="1"/>
  <c r="W170" i="1"/>
  <c r="V170" i="1"/>
  <c r="U170" i="1"/>
  <c r="W169" i="1"/>
  <c r="V169" i="1"/>
  <c r="U169" i="1"/>
  <c r="W168" i="1"/>
  <c r="V168" i="1"/>
  <c r="U168" i="1"/>
  <c r="W167" i="1"/>
  <c r="V167" i="1"/>
  <c r="U167" i="1"/>
  <c r="W166" i="1"/>
  <c r="V166" i="1"/>
  <c r="U166" i="1"/>
  <c r="X166" i="1" s="1"/>
  <c r="W165" i="1"/>
  <c r="V165" i="1"/>
  <c r="U165" i="1"/>
  <c r="W164" i="1"/>
  <c r="V164" i="1"/>
  <c r="U164" i="1"/>
  <c r="W163" i="1"/>
  <c r="V163" i="1"/>
  <c r="U163" i="1"/>
  <c r="W162" i="1"/>
  <c r="V162" i="1"/>
  <c r="U162" i="1"/>
  <c r="W161" i="1"/>
  <c r="V161" i="1"/>
  <c r="U161" i="1"/>
  <c r="W160" i="1"/>
  <c r="V160" i="1"/>
  <c r="U160" i="1"/>
  <c r="W159" i="1"/>
  <c r="V159" i="1"/>
  <c r="U159" i="1"/>
  <c r="W158" i="1"/>
  <c r="V158" i="1"/>
  <c r="U158" i="1"/>
  <c r="W157" i="1"/>
  <c r="V157" i="1"/>
  <c r="U157" i="1"/>
  <c r="W156" i="1"/>
  <c r="V156" i="1"/>
  <c r="U156" i="1"/>
  <c r="W155" i="1"/>
  <c r="V155" i="1"/>
  <c r="U155" i="1"/>
  <c r="W154" i="1"/>
  <c r="V154" i="1"/>
  <c r="U154" i="1"/>
  <c r="W153" i="1"/>
  <c r="V153" i="1"/>
  <c r="U153" i="1"/>
  <c r="W152" i="1"/>
  <c r="V152" i="1"/>
  <c r="U152" i="1"/>
  <c r="W151" i="1"/>
  <c r="V151" i="1"/>
  <c r="U151" i="1"/>
  <c r="W150" i="1"/>
  <c r="V150" i="1"/>
  <c r="U150" i="1"/>
  <c r="W149" i="1"/>
  <c r="V149" i="1"/>
  <c r="U149" i="1"/>
  <c r="W148" i="1"/>
  <c r="V148" i="1"/>
  <c r="U148" i="1"/>
  <c r="W147" i="1"/>
  <c r="V147" i="1"/>
  <c r="U147" i="1"/>
  <c r="W146" i="1"/>
  <c r="V146" i="1"/>
  <c r="U146" i="1"/>
  <c r="W145" i="1"/>
  <c r="V145" i="1"/>
  <c r="U145" i="1"/>
  <c r="W144" i="1"/>
  <c r="V144" i="1"/>
  <c r="U144" i="1"/>
  <c r="X144" i="1" s="1"/>
  <c r="W143" i="1"/>
  <c r="V143" i="1"/>
  <c r="U143" i="1"/>
  <c r="W142" i="1"/>
  <c r="V142" i="1"/>
  <c r="U142" i="1"/>
  <c r="W141" i="1"/>
  <c r="V141" i="1"/>
  <c r="U141" i="1"/>
  <c r="W140" i="1"/>
  <c r="V140" i="1"/>
  <c r="U140" i="1"/>
  <c r="W139" i="1"/>
  <c r="V139" i="1"/>
  <c r="U139" i="1"/>
  <c r="W138" i="1"/>
  <c r="V138" i="1"/>
  <c r="U138" i="1"/>
  <c r="X138" i="1" s="1"/>
  <c r="W137" i="1"/>
  <c r="V137" i="1"/>
  <c r="U137" i="1"/>
  <c r="W136" i="1"/>
  <c r="V136" i="1"/>
  <c r="U136" i="1"/>
  <c r="W135" i="1"/>
  <c r="V135" i="1"/>
  <c r="U135" i="1"/>
  <c r="W134" i="1"/>
  <c r="V134" i="1"/>
  <c r="U134" i="1"/>
  <c r="W133" i="1"/>
  <c r="V133" i="1"/>
  <c r="U133" i="1"/>
  <c r="W132" i="1"/>
  <c r="V132" i="1"/>
  <c r="U132" i="1"/>
  <c r="X132" i="1" s="1"/>
  <c r="W131" i="1"/>
  <c r="V131" i="1"/>
  <c r="U131" i="1"/>
  <c r="W130" i="1"/>
  <c r="V130" i="1"/>
  <c r="U130" i="1"/>
  <c r="W129" i="1"/>
  <c r="V129" i="1"/>
  <c r="U129" i="1"/>
  <c r="W128" i="1"/>
  <c r="V128" i="1"/>
  <c r="U128" i="1"/>
  <c r="W127" i="1"/>
  <c r="V127" i="1"/>
  <c r="U127" i="1"/>
  <c r="W126" i="1"/>
  <c r="V126" i="1"/>
  <c r="U126" i="1"/>
  <c r="W125" i="1"/>
  <c r="V125" i="1"/>
  <c r="U125" i="1"/>
  <c r="W124" i="1"/>
  <c r="V124" i="1"/>
  <c r="U124" i="1"/>
  <c r="X124" i="1" s="1"/>
  <c r="W123" i="1"/>
  <c r="V123" i="1"/>
  <c r="U123" i="1"/>
  <c r="W122" i="1"/>
  <c r="V122" i="1"/>
  <c r="U122" i="1"/>
  <c r="W121" i="1"/>
  <c r="V121" i="1"/>
  <c r="U121" i="1"/>
  <c r="W120" i="1"/>
  <c r="V120" i="1"/>
  <c r="U120" i="1"/>
  <c r="W119" i="1"/>
  <c r="V119" i="1"/>
  <c r="U119" i="1"/>
  <c r="W118" i="1"/>
  <c r="V118" i="1"/>
  <c r="U118" i="1"/>
  <c r="X118" i="1" s="1"/>
  <c r="W117" i="1"/>
  <c r="V117" i="1"/>
  <c r="U117" i="1"/>
  <c r="W116" i="1"/>
  <c r="V116" i="1"/>
  <c r="U116" i="1"/>
  <c r="W115" i="1"/>
  <c r="V115" i="1"/>
  <c r="U115" i="1"/>
  <c r="W114" i="1"/>
  <c r="V114" i="1"/>
  <c r="U114" i="1"/>
  <c r="W113" i="1"/>
  <c r="V113" i="1"/>
  <c r="U113" i="1"/>
  <c r="W112" i="1"/>
  <c r="V112" i="1"/>
  <c r="U112" i="1"/>
  <c r="X112" i="1" s="1"/>
  <c r="W111" i="1"/>
  <c r="V111" i="1"/>
  <c r="U111" i="1"/>
  <c r="W110" i="1"/>
  <c r="V110" i="1"/>
  <c r="U110" i="1"/>
  <c r="W109" i="1"/>
  <c r="V109" i="1"/>
  <c r="U109" i="1"/>
  <c r="W108" i="1"/>
  <c r="V108" i="1"/>
  <c r="U108" i="1"/>
  <c r="W107" i="1"/>
  <c r="V107" i="1"/>
  <c r="U107" i="1"/>
  <c r="W106" i="1"/>
  <c r="V106" i="1"/>
  <c r="U106" i="1"/>
  <c r="X106" i="1" s="1"/>
  <c r="W105" i="1"/>
  <c r="V105" i="1"/>
  <c r="U105" i="1"/>
  <c r="W104" i="1"/>
  <c r="V104" i="1"/>
  <c r="U104" i="1"/>
  <c r="W103" i="1"/>
  <c r="V103" i="1"/>
  <c r="U103" i="1"/>
  <c r="W102" i="1"/>
  <c r="V102" i="1"/>
  <c r="U102" i="1"/>
  <c r="W101" i="1"/>
  <c r="V101" i="1"/>
  <c r="U101" i="1"/>
  <c r="W100" i="1"/>
  <c r="V100" i="1"/>
  <c r="U100" i="1"/>
  <c r="W99" i="1"/>
  <c r="V99" i="1"/>
  <c r="U99" i="1"/>
  <c r="W98" i="1"/>
  <c r="V98" i="1"/>
  <c r="U98" i="1"/>
  <c r="W97" i="1"/>
  <c r="V97" i="1"/>
  <c r="U97" i="1"/>
  <c r="W96" i="1"/>
  <c r="V96" i="1"/>
  <c r="U96" i="1"/>
  <c r="W95" i="1"/>
  <c r="V95" i="1"/>
  <c r="U95" i="1"/>
  <c r="W94" i="1"/>
  <c r="V94" i="1"/>
  <c r="U94" i="1"/>
  <c r="W93" i="1"/>
  <c r="V93" i="1"/>
  <c r="U93" i="1"/>
  <c r="W92" i="1"/>
  <c r="V92" i="1"/>
  <c r="U92" i="1"/>
  <c r="W91" i="1"/>
  <c r="V91" i="1"/>
  <c r="U91" i="1"/>
  <c r="W90" i="1"/>
  <c r="V90" i="1"/>
  <c r="U90" i="1"/>
  <c r="W89" i="1"/>
  <c r="V89" i="1"/>
  <c r="U89" i="1"/>
  <c r="W88" i="1"/>
  <c r="V88" i="1"/>
  <c r="U88" i="1"/>
  <c r="W87" i="1"/>
  <c r="V87" i="1"/>
  <c r="U87" i="1"/>
  <c r="W86" i="1"/>
  <c r="V86" i="1"/>
  <c r="U86" i="1"/>
  <c r="W85" i="1"/>
  <c r="V85" i="1"/>
  <c r="U85" i="1"/>
  <c r="W84" i="1"/>
  <c r="V84" i="1"/>
  <c r="U84" i="1"/>
  <c r="X84" i="1" s="1"/>
  <c r="W83" i="1"/>
  <c r="V83" i="1"/>
  <c r="U83" i="1"/>
  <c r="W82" i="1"/>
  <c r="V82" i="1"/>
  <c r="U82" i="1"/>
  <c r="W81" i="1"/>
  <c r="V81" i="1"/>
  <c r="U81" i="1"/>
  <c r="W80" i="1"/>
  <c r="V80" i="1"/>
  <c r="U80" i="1"/>
  <c r="W79" i="1"/>
  <c r="V79" i="1"/>
  <c r="U79" i="1"/>
  <c r="W78" i="1"/>
  <c r="V78" i="1"/>
  <c r="U78" i="1"/>
  <c r="X78" i="1" s="1"/>
  <c r="W77" i="1"/>
  <c r="V77" i="1"/>
  <c r="U77" i="1"/>
  <c r="W76" i="1"/>
  <c r="V76" i="1"/>
  <c r="U76" i="1"/>
  <c r="W75" i="1"/>
  <c r="V75" i="1"/>
  <c r="U75" i="1"/>
  <c r="W74" i="1"/>
  <c r="V74" i="1"/>
  <c r="U74" i="1"/>
  <c r="W73" i="1"/>
  <c r="V73" i="1"/>
  <c r="U73" i="1"/>
  <c r="W72" i="1"/>
  <c r="V72" i="1"/>
  <c r="U72" i="1"/>
  <c r="X72" i="1" s="1"/>
  <c r="W71" i="1"/>
  <c r="V71" i="1"/>
  <c r="U71" i="1"/>
  <c r="W70" i="1"/>
  <c r="V70" i="1"/>
  <c r="U70" i="1"/>
  <c r="W69" i="1"/>
  <c r="V69" i="1"/>
  <c r="U69" i="1"/>
  <c r="W68" i="1"/>
  <c r="V68" i="1"/>
  <c r="U68" i="1"/>
  <c r="W67" i="1"/>
  <c r="V67" i="1"/>
  <c r="U67" i="1"/>
  <c r="W66" i="1"/>
  <c r="V66" i="1"/>
  <c r="U66" i="1"/>
  <c r="W65" i="1"/>
  <c r="V65" i="1"/>
  <c r="U65" i="1"/>
  <c r="W64" i="1"/>
  <c r="V64" i="1"/>
  <c r="U64" i="1"/>
  <c r="X64" i="1" s="1"/>
  <c r="W63" i="1"/>
  <c r="V63" i="1"/>
  <c r="U63" i="1"/>
  <c r="W62" i="1"/>
  <c r="V62" i="1"/>
  <c r="U62" i="1"/>
  <c r="W61" i="1"/>
  <c r="V61" i="1"/>
  <c r="U61" i="1"/>
  <c r="W60" i="1"/>
  <c r="V60" i="1"/>
  <c r="U60" i="1"/>
  <c r="W59" i="1"/>
  <c r="V59" i="1"/>
  <c r="U59" i="1"/>
  <c r="W58" i="1"/>
  <c r="V58" i="1"/>
  <c r="U58" i="1"/>
  <c r="X58" i="1" s="1"/>
  <c r="W57" i="1"/>
  <c r="V57" i="1"/>
  <c r="U57" i="1"/>
  <c r="W56" i="1"/>
  <c r="V56" i="1"/>
  <c r="U56" i="1"/>
  <c r="W55" i="1"/>
  <c r="V55" i="1"/>
  <c r="U55" i="1"/>
  <c r="W54" i="1"/>
  <c r="V54" i="1"/>
  <c r="U54" i="1"/>
  <c r="W53" i="1"/>
  <c r="V53" i="1"/>
  <c r="U53" i="1"/>
  <c r="W52" i="1"/>
  <c r="V52" i="1"/>
  <c r="U52" i="1"/>
  <c r="X52" i="1" s="1"/>
  <c r="W51" i="1"/>
  <c r="V51" i="1"/>
  <c r="U51" i="1"/>
  <c r="W50" i="1"/>
  <c r="V50" i="1"/>
  <c r="U50" i="1"/>
  <c r="W49" i="1"/>
  <c r="V49" i="1"/>
  <c r="U49" i="1"/>
  <c r="W48" i="1"/>
  <c r="V48" i="1"/>
  <c r="U48" i="1"/>
  <c r="W47" i="1"/>
  <c r="V47" i="1"/>
  <c r="U47" i="1"/>
  <c r="W46" i="1"/>
  <c r="V46" i="1"/>
  <c r="U46" i="1"/>
  <c r="X46" i="1" s="1"/>
  <c r="W45" i="1"/>
  <c r="V45" i="1"/>
  <c r="U45" i="1"/>
  <c r="W44" i="1"/>
  <c r="V44" i="1"/>
  <c r="U44" i="1"/>
  <c r="W43" i="1"/>
  <c r="V43" i="1"/>
  <c r="U43" i="1"/>
  <c r="W42" i="1"/>
  <c r="V42" i="1"/>
  <c r="U42" i="1"/>
  <c r="W41" i="1"/>
  <c r="V41" i="1"/>
  <c r="U41" i="1"/>
  <c r="W40" i="1"/>
  <c r="V40" i="1"/>
  <c r="U40" i="1"/>
  <c r="W39" i="1"/>
  <c r="V39" i="1"/>
  <c r="U39" i="1"/>
  <c r="W38" i="1"/>
  <c r="V38" i="1"/>
  <c r="U38" i="1"/>
  <c r="W37" i="1"/>
  <c r="V37" i="1"/>
  <c r="U37" i="1"/>
  <c r="W36" i="1"/>
  <c r="V36" i="1"/>
  <c r="U36" i="1"/>
  <c r="W35" i="1"/>
  <c r="V35" i="1"/>
  <c r="U35" i="1"/>
  <c r="W34" i="1"/>
  <c r="V34" i="1"/>
  <c r="U34" i="1"/>
  <c r="W33" i="1"/>
  <c r="V33" i="1"/>
  <c r="U33" i="1"/>
  <c r="W32" i="1"/>
  <c r="V32" i="1"/>
  <c r="U32" i="1"/>
  <c r="W31" i="1"/>
  <c r="V31" i="1"/>
  <c r="U31" i="1"/>
  <c r="W30" i="1"/>
  <c r="V30" i="1"/>
  <c r="U30" i="1"/>
  <c r="W29" i="1"/>
  <c r="V29" i="1"/>
  <c r="U29" i="1"/>
  <c r="W28" i="1"/>
  <c r="V28" i="1"/>
  <c r="U28" i="1"/>
  <c r="W27" i="1"/>
  <c r="V27" i="1"/>
  <c r="U27" i="1"/>
  <c r="W26" i="1"/>
  <c r="V26" i="1"/>
  <c r="U26" i="1"/>
  <c r="W25" i="1"/>
  <c r="V25" i="1"/>
  <c r="U25" i="1"/>
  <c r="W24" i="1"/>
  <c r="V24" i="1"/>
  <c r="U24" i="1"/>
  <c r="X24" i="1" s="1"/>
  <c r="W23" i="1"/>
  <c r="V23" i="1"/>
  <c r="U23" i="1"/>
  <c r="W22" i="1"/>
  <c r="V22" i="1"/>
  <c r="U22" i="1"/>
  <c r="W21" i="1"/>
  <c r="V21" i="1"/>
  <c r="U21" i="1"/>
  <c r="W20" i="1"/>
  <c r="V20" i="1"/>
  <c r="U20" i="1"/>
  <c r="W19" i="1"/>
  <c r="V19" i="1"/>
  <c r="U19" i="1"/>
  <c r="W18" i="1"/>
  <c r="V18" i="1"/>
  <c r="U18" i="1"/>
  <c r="X18" i="1" s="1"/>
  <c r="W17" i="1"/>
  <c r="V17" i="1"/>
  <c r="U17" i="1"/>
  <c r="W16" i="1"/>
  <c r="V16" i="1"/>
  <c r="U16" i="1"/>
  <c r="W15" i="1"/>
  <c r="V15" i="1"/>
  <c r="U15" i="1"/>
  <c r="W14" i="1"/>
  <c r="V14" i="1"/>
  <c r="U14" i="1"/>
  <c r="W13" i="1"/>
  <c r="V13" i="1"/>
  <c r="U13" i="1"/>
  <c r="W12" i="1"/>
  <c r="V12" i="1"/>
  <c r="U12" i="1"/>
  <c r="X12" i="1" s="1"/>
  <c r="W11" i="1"/>
  <c r="V11" i="1"/>
  <c r="U11" i="1"/>
  <c r="W10" i="1"/>
  <c r="V10" i="1"/>
  <c r="U10" i="1"/>
  <c r="W9" i="1"/>
  <c r="V9" i="1"/>
  <c r="U9" i="1"/>
  <c r="W8" i="1"/>
  <c r="V8" i="1"/>
  <c r="U8" i="1"/>
  <c r="W7" i="1"/>
  <c r="V7" i="1"/>
  <c r="U7" i="1"/>
  <c r="W6" i="1"/>
  <c r="V6" i="1"/>
  <c r="U6" i="1"/>
  <c r="W5" i="1"/>
  <c r="V5" i="1"/>
  <c r="U5" i="1"/>
  <c r="W4" i="1"/>
  <c r="V4" i="1"/>
  <c r="U4" i="1"/>
  <c r="X4" i="1" s="1"/>
  <c r="W3" i="1"/>
  <c r="V3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X182" i="1" s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X173" i="1" s="1"/>
  <c r="T172" i="1"/>
  <c r="S172" i="1"/>
  <c r="T171" i="1"/>
  <c r="S171" i="1"/>
  <c r="T170" i="1"/>
  <c r="S170" i="1"/>
  <c r="X170" i="1" s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X161" i="1" s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X143" i="1" s="1"/>
  <c r="T142" i="1"/>
  <c r="S142" i="1"/>
  <c r="T141" i="1"/>
  <c r="S141" i="1"/>
  <c r="T140" i="1"/>
  <c r="S140" i="1"/>
  <c r="X140" i="1" s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X122" i="1" s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X113" i="1" s="1"/>
  <c r="T112" i="1"/>
  <c r="S112" i="1"/>
  <c r="T111" i="1"/>
  <c r="S111" i="1"/>
  <c r="T110" i="1"/>
  <c r="S110" i="1"/>
  <c r="X110" i="1" s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X101" i="1" s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X83" i="1" s="1"/>
  <c r="T82" i="1"/>
  <c r="S82" i="1"/>
  <c r="T81" i="1"/>
  <c r="S81" i="1"/>
  <c r="T80" i="1"/>
  <c r="S80" i="1"/>
  <c r="X80" i="1" s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X62" i="1" s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X53" i="1" s="1"/>
  <c r="T52" i="1"/>
  <c r="S52" i="1"/>
  <c r="T51" i="1"/>
  <c r="S51" i="1"/>
  <c r="T50" i="1"/>
  <c r="S50" i="1"/>
  <c r="X50" i="1" s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X41" i="1" s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X23" i="1" s="1"/>
  <c r="T22" i="1"/>
  <c r="S22" i="1"/>
  <c r="T21" i="1"/>
  <c r="S21" i="1"/>
  <c r="T20" i="1"/>
  <c r="S20" i="1"/>
  <c r="X20" i="1" s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  <c r="U3" i="1"/>
  <c r="T3" i="1"/>
  <c r="S3" i="1"/>
  <c r="X3" i="1" s="1"/>
  <c r="AM3" i="1"/>
  <c r="AL3" i="1"/>
  <c r="AK3" i="1"/>
  <c r="X11" i="1" l="1"/>
  <c r="X40" i="1"/>
  <c r="X100" i="1"/>
  <c r="X160" i="1"/>
  <c r="X14" i="1"/>
  <c r="X44" i="1"/>
  <c r="X74" i="1"/>
  <c r="X104" i="1"/>
  <c r="X134" i="1"/>
  <c r="X164" i="1"/>
  <c r="X194" i="1"/>
  <c r="X27" i="1"/>
  <c r="X87" i="1"/>
  <c r="X147" i="1"/>
  <c r="AP80" i="1"/>
  <c r="AP160" i="1"/>
  <c r="AP164" i="1"/>
  <c r="AP168" i="1"/>
  <c r="AP172" i="1"/>
  <c r="X191" i="1"/>
  <c r="X54" i="1"/>
  <c r="X114" i="1"/>
  <c r="X154" i="1"/>
  <c r="X35" i="1"/>
  <c r="X65" i="1"/>
  <c r="X95" i="1"/>
  <c r="X125" i="1"/>
  <c r="X155" i="1"/>
  <c r="X185" i="1"/>
  <c r="AP17" i="1"/>
  <c r="AP21" i="1"/>
  <c r="AP25" i="1"/>
  <c r="AP112" i="1"/>
  <c r="X5" i="1"/>
  <c r="X28" i="1"/>
  <c r="X48" i="1"/>
  <c r="X88" i="1"/>
  <c r="X108" i="1"/>
  <c r="X148" i="1"/>
  <c r="X168" i="1"/>
  <c r="AP13" i="1"/>
  <c r="X92" i="1"/>
  <c r="X34" i="1"/>
  <c r="X94" i="1"/>
  <c r="AP128" i="1"/>
  <c r="X26" i="1"/>
  <c r="X56" i="1"/>
  <c r="X86" i="1"/>
  <c r="X116" i="1"/>
  <c r="X146" i="1"/>
  <c r="X176" i="1"/>
  <c r="AP9" i="1"/>
  <c r="AP89" i="1"/>
  <c r="AP97" i="1"/>
  <c r="AP101" i="1"/>
  <c r="AP105" i="1"/>
  <c r="AP109" i="1"/>
  <c r="AP113" i="1"/>
  <c r="AP121" i="1"/>
  <c r="AP125" i="1"/>
  <c r="AP129" i="1"/>
  <c r="AP133" i="1"/>
  <c r="AP137" i="1"/>
  <c r="AP145" i="1"/>
  <c r="AP149" i="1"/>
  <c r="AP153" i="1"/>
  <c r="AP157" i="1"/>
  <c r="X102" i="1"/>
  <c r="X142" i="1"/>
  <c r="X162" i="1"/>
  <c r="X131" i="1"/>
  <c r="AP3" i="1"/>
  <c r="AP15" i="1"/>
  <c r="X22" i="1"/>
  <c r="X42" i="1"/>
  <c r="X107" i="1"/>
  <c r="X167" i="1"/>
  <c r="X17" i="1"/>
  <c r="X16" i="1"/>
  <c r="X76" i="1"/>
  <c r="X136" i="1"/>
  <c r="X196" i="1"/>
  <c r="AP178" i="1"/>
  <c r="X71" i="1"/>
  <c r="X8" i="1"/>
  <c r="X38" i="1"/>
  <c r="X68" i="1"/>
  <c r="X98" i="1"/>
  <c r="X128" i="1"/>
  <c r="X158" i="1"/>
  <c r="X188" i="1"/>
  <c r="AP30" i="1"/>
  <c r="AP38" i="1"/>
  <c r="AP42" i="1"/>
  <c r="AP46" i="1"/>
  <c r="AP50" i="1"/>
  <c r="AP54" i="1"/>
  <c r="AP62" i="1"/>
  <c r="AP86" i="1"/>
  <c r="X10" i="1"/>
  <c r="X70" i="1"/>
  <c r="X130" i="1"/>
  <c r="X190" i="1"/>
  <c r="AP98" i="1"/>
  <c r="AP102" i="1"/>
  <c r="AP110" i="1"/>
  <c r="AP122" i="1"/>
  <c r="AP126" i="1"/>
  <c r="AP134" i="1"/>
  <c r="AP142" i="1"/>
  <c r="AP146" i="1"/>
  <c r="AP150" i="1"/>
  <c r="X32" i="1"/>
  <c r="X152" i="1"/>
  <c r="X82" i="1"/>
  <c r="X47" i="1"/>
  <c r="X77" i="1"/>
  <c r="X137" i="1"/>
  <c r="X29" i="1"/>
  <c r="X59" i="1"/>
  <c r="X89" i="1"/>
  <c r="X119" i="1"/>
  <c r="X149" i="1"/>
  <c r="X179" i="1"/>
  <c r="X57" i="1"/>
  <c r="X117" i="1"/>
  <c r="X177" i="1"/>
  <c r="AP82" i="1"/>
  <c r="AP14" i="1"/>
  <c r="AP56" i="1"/>
  <c r="AP68" i="1"/>
  <c r="AP72" i="1"/>
  <c r="AP76" i="1"/>
  <c r="AP135" i="1"/>
  <c r="AP186" i="1"/>
  <c r="AP190" i="1"/>
  <c r="AP194" i="1"/>
  <c r="AP32" i="1"/>
  <c r="X197" i="1"/>
  <c r="AP36" i="1"/>
  <c r="AP18" i="1"/>
  <c r="AP29" i="1"/>
  <c r="AP33" i="1"/>
  <c r="AP37" i="1"/>
  <c r="AP60" i="1"/>
  <c r="AP139" i="1"/>
  <c r="AP147" i="1"/>
  <c r="AP151" i="1"/>
  <c r="AP155" i="1"/>
  <c r="X36" i="1"/>
  <c r="X96" i="1"/>
  <c r="X120" i="1"/>
  <c r="X156" i="1"/>
  <c r="X186" i="1"/>
  <c r="AP41" i="1"/>
  <c r="AP171" i="1"/>
  <c r="AP4" i="1"/>
  <c r="AP104" i="1"/>
  <c r="AP116" i="1"/>
  <c r="AP120" i="1"/>
  <c r="AP124" i="1"/>
  <c r="AP183" i="1"/>
  <c r="X6" i="1"/>
  <c r="X30" i="1"/>
  <c r="X60" i="1"/>
  <c r="X66" i="1"/>
  <c r="X90" i="1"/>
  <c r="X126" i="1"/>
  <c r="X150" i="1"/>
  <c r="X180" i="1"/>
  <c r="AP22" i="1"/>
  <c r="AP53" i="1"/>
  <c r="AP61" i="1"/>
  <c r="AP84" i="1"/>
  <c r="AP163" i="1"/>
  <c r="AP175" i="1"/>
  <c r="AP179" i="1"/>
  <c r="X7" i="1"/>
  <c r="X13" i="1"/>
  <c r="X19" i="1"/>
  <c r="X25" i="1"/>
  <c r="X31" i="1"/>
  <c r="X37" i="1"/>
  <c r="X43" i="1"/>
  <c r="X49" i="1"/>
  <c r="X55" i="1"/>
  <c r="X61" i="1"/>
  <c r="X67" i="1"/>
  <c r="X73" i="1"/>
  <c r="X79" i="1"/>
  <c r="X85" i="1"/>
  <c r="X91" i="1"/>
  <c r="X97" i="1"/>
  <c r="X103" i="1"/>
  <c r="X109" i="1"/>
  <c r="X115" i="1"/>
  <c r="X121" i="1"/>
  <c r="X127" i="1"/>
  <c r="X133" i="1"/>
  <c r="X139" i="1"/>
  <c r="X145" i="1"/>
  <c r="X151" i="1"/>
  <c r="X157" i="1"/>
  <c r="X163" i="1"/>
  <c r="X169" i="1"/>
  <c r="X175" i="1"/>
  <c r="X181" i="1"/>
  <c r="X187" i="1"/>
  <c r="X193" i="1"/>
  <c r="AP26" i="1"/>
  <c r="AP73" i="1"/>
  <c r="AP77" i="1"/>
  <c r="AP81" i="1"/>
  <c r="AP85" i="1"/>
  <c r="AP108" i="1"/>
  <c r="AP187" i="1"/>
  <c r="AP195" i="1"/>
  <c r="AP132" i="1"/>
  <c r="AP34" i="1"/>
  <c r="AP156" i="1"/>
  <c r="AP16" i="1"/>
  <c r="AP58" i="1"/>
  <c r="AP66" i="1"/>
  <c r="AP70" i="1"/>
  <c r="AP74" i="1"/>
  <c r="AP78" i="1"/>
  <c r="AP176" i="1"/>
  <c r="AP152" i="1"/>
  <c r="AP31" i="1"/>
  <c r="AP35" i="1"/>
  <c r="AP180" i="1"/>
  <c r="X9" i="1"/>
  <c r="X15" i="1"/>
  <c r="X21" i="1"/>
  <c r="X33" i="1"/>
  <c r="X39" i="1"/>
  <c r="X45" i="1"/>
  <c r="X51" i="1"/>
  <c r="X63" i="1"/>
  <c r="X69" i="1"/>
  <c r="X75" i="1"/>
  <c r="X81" i="1"/>
  <c r="X93" i="1"/>
  <c r="X99" i="1"/>
  <c r="X105" i="1"/>
  <c r="X111" i="1"/>
  <c r="X123" i="1"/>
  <c r="X129" i="1"/>
  <c r="X135" i="1"/>
  <c r="X141" i="1"/>
  <c r="X153" i="1"/>
  <c r="X159" i="1"/>
  <c r="X165" i="1"/>
  <c r="X171" i="1"/>
  <c r="X183" i="1"/>
  <c r="X189" i="1"/>
  <c r="X195" i="1"/>
  <c r="AP20" i="1"/>
  <c r="AP39" i="1"/>
  <c r="AP90" i="1"/>
  <c r="AP94" i="1"/>
  <c r="AP43" i="1"/>
  <c r="AP51" i="1"/>
  <c r="AP55" i="1"/>
  <c r="AP59" i="1"/>
  <c r="AP161" i="1"/>
  <c r="AP169" i="1"/>
  <c r="AP173" i="1"/>
  <c r="AP177" i="1"/>
  <c r="AP181" i="1"/>
  <c r="AP106" i="1"/>
  <c r="AP114" i="1"/>
  <c r="AP118" i="1"/>
  <c r="AP138" i="1"/>
  <c r="AP154" i="1"/>
  <c r="AP162" i="1"/>
  <c r="AP166" i="1"/>
  <c r="AP170" i="1"/>
  <c r="AP174" i="1"/>
  <c r="AP115" i="1"/>
  <c r="AP123" i="1"/>
  <c r="AP127" i="1"/>
  <c r="AP131" i="1"/>
  <c r="AP67" i="1"/>
  <c r="AP57" i="1"/>
  <c r="AP49" i="1"/>
  <c r="AP47" i="1"/>
  <c r="AP71" i="1"/>
  <c r="AP95" i="1"/>
  <c r="AP119" i="1"/>
  <c r="AP143" i="1"/>
  <c r="AP167" i="1"/>
  <c r="AP191" i="1"/>
  <c r="AP65" i="1"/>
  <c r="AP45" i="1"/>
  <c r="AP69" i="1"/>
  <c r="AP93" i="1"/>
  <c r="AP117" i="1"/>
  <c r="AP141" i="1"/>
  <c r="AP165" i="1"/>
  <c r="AP189" i="1"/>
</calcChain>
</file>

<file path=xl/sharedStrings.xml><?xml version="1.0" encoding="utf-8"?>
<sst xmlns="http://schemas.openxmlformats.org/spreadsheetml/2006/main" count="1092" uniqueCount="166">
  <si>
    <t>CONTRACT NAME</t>
  </si>
  <si>
    <t>SERVICE GROUP</t>
  </si>
  <si>
    <t>SEP - REVENUE</t>
  </si>
  <si>
    <t>OCT - REVENUE</t>
  </si>
  <si>
    <t>NOV - REVENUE</t>
  </si>
  <si>
    <t>DEC - REVENUE</t>
  </si>
  <si>
    <t>JAN - REVENUE</t>
  </si>
  <si>
    <t>FEB - REVENUE</t>
  </si>
  <si>
    <t>MAR - REVENUE</t>
  </si>
  <si>
    <t>APR - REVENUE</t>
  </si>
  <si>
    <t>MAY - REVENUE</t>
  </si>
  <si>
    <t>JUN - REVENUE</t>
  </si>
  <si>
    <t>JUL - REVENUE</t>
  </si>
  <si>
    <t>AUG - REVENUE</t>
  </si>
  <si>
    <t>SEP CCI</t>
  </si>
  <si>
    <t>OCT CCI</t>
  </si>
  <si>
    <t>NOV CCI</t>
  </si>
  <si>
    <t>DEC CCI</t>
  </si>
  <si>
    <t>JAN CCI</t>
  </si>
  <si>
    <t>FEB CCI</t>
  </si>
  <si>
    <t>MAR CCI</t>
  </si>
  <si>
    <t>APR CCI</t>
  </si>
  <si>
    <t>MAY CCI</t>
  </si>
  <si>
    <t>JUN CCI</t>
  </si>
  <si>
    <t>JUL CCI</t>
  </si>
  <si>
    <t>AUG CCI</t>
  </si>
  <si>
    <t>SI</t>
  </si>
  <si>
    <t>FY</t>
  </si>
  <si>
    <t>Rev - Q1</t>
  </si>
  <si>
    <t>Rev - Q2</t>
  </si>
  <si>
    <t>Rev - Q3</t>
  </si>
  <si>
    <t>FY26</t>
  </si>
  <si>
    <t>CCI - Q1</t>
  </si>
  <si>
    <t>CCI - Q2</t>
  </si>
  <si>
    <t>CCI - Q3</t>
  </si>
  <si>
    <t>Opella_ERP_NR</t>
  </si>
  <si>
    <t>Plan Director</t>
  </si>
  <si>
    <t>Data Governance</t>
  </si>
  <si>
    <t>MDLZ SAP S4 HANA</t>
  </si>
  <si>
    <t>Citrus and Orange</t>
  </si>
  <si>
    <t>MX-BK-SI-DF Atenea</t>
  </si>
  <si>
    <t>MX SAN - SWF SANTEC</t>
  </si>
  <si>
    <t>SAP_Axial_Ph 1_SOW 1</t>
  </si>
  <si>
    <t>UP Transformación SAP</t>
  </si>
  <si>
    <t>SAP_Axial_Phase 1_MSA</t>
  </si>
  <si>
    <t>KOF Procurement Nexus</t>
  </si>
  <si>
    <t>AWS_Pegasus Mexico GTM</t>
  </si>
  <si>
    <t>Mining Technical Writer</t>
  </si>
  <si>
    <t>Data &amp; Analytics Framework</t>
  </si>
  <si>
    <t>Data Governance Imp_Phase 2</t>
  </si>
  <si>
    <t>AC - Implementación OTM Perú</t>
  </si>
  <si>
    <t>MX SAN - Nomina Dig onboarding</t>
  </si>
  <si>
    <t>CITI GRU Transformation US 80%</t>
  </si>
  <si>
    <t>MX SAN - Nomina Digital (Intern.)</t>
  </si>
  <si>
    <t>Proximidad - Finance Processes L4</t>
  </si>
  <si>
    <t>MX SAN -Recursos Data CIB -$76.3K</t>
  </si>
  <si>
    <t>AP26_MX Actinver - QE core banking</t>
  </si>
  <si>
    <t>L'Oréal Neo Roll-Out - Central Team</t>
  </si>
  <si>
    <t>SP-BK-JV Smart Assistant Dev Q224MX</t>
  </si>
  <si>
    <t>MX SAN - Asistentes Virt REG $27.5k</t>
  </si>
  <si>
    <t>MX Gentera - North Star Core. Fase 1</t>
  </si>
  <si>
    <t>Digital&amp;Data Managed Services RFP 50%</t>
  </si>
  <si>
    <t>MX SAN - Data Snowflake Migración BOR</t>
  </si>
  <si>
    <t>MX SAN - Asistentes virtuales Digital</t>
  </si>
  <si>
    <t>MX SAN - Migración Tableau a Power BI</t>
  </si>
  <si>
    <t>MX Gentera - Arquitectura People datos</t>
  </si>
  <si>
    <t>AP25 ABI MX Supply Chain Command Center</t>
  </si>
  <si>
    <t>MX SAN - Asistentes Virtuales Continuida</t>
  </si>
  <si>
    <t>AU Resale Coca Cola Femsa de Buenos Aire</t>
  </si>
  <si>
    <t>MX-BK-SI-VZ OpenControl Modernization F1</t>
  </si>
  <si>
    <t>CONTRACT NUMBER</t>
  </si>
  <si>
    <t>CLIENT</t>
  </si>
  <si>
    <t>FEMSA</t>
  </si>
  <si>
    <t>SANOFI</t>
  </si>
  <si>
    <t>COPPEL S.A</t>
  </si>
  <si>
    <t>GRUPO BIMBO SAB DE CV.</t>
  </si>
  <si>
    <t>MONDELEZ INTERNATIONAL INC.</t>
  </si>
  <si>
    <t>AB INBEV</t>
  </si>
  <si>
    <t>INTEL CORPORATION</t>
  </si>
  <si>
    <t>BBVA</t>
  </si>
  <si>
    <t>SANTANDER</t>
  </si>
  <si>
    <t>ASTRAZENECA PLC</t>
  </si>
  <si>
    <t>COCA COLA</t>
  </si>
  <si>
    <t>UNIVERSIDAD PANAMERICANA</t>
  </si>
  <si>
    <t>CITIGROUP</t>
  </si>
  <si>
    <t>NEWMONT</t>
  </si>
  <si>
    <t>AMAZON.COM INC.</t>
  </si>
  <si>
    <t>GRUPO DESC</t>
  </si>
  <si>
    <t>ACTINVER S.A. DE C.V. SOCIEDADOPERA</t>
  </si>
  <si>
    <t>AMIS</t>
  </si>
  <si>
    <t>L'OREAL</t>
  </si>
  <si>
    <t>FINANCIERA COMPARTAMOS S.A. DE C.V</t>
  </si>
  <si>
    <t>FY27</t>
  </si>
  <si>
    <t>Grand Total</t>
  </si>
  <si>
    <t>Due Diligence AMS</t>
  </si>
  <si>
    <t>Proximidad - MSSP</t>
  </si>
  <si>
    <t>BIMBO MX - ZBB*ICE</t>
  </si>
  <si>
    <t>Gestión Portal Web</t>
  </si>
  <si>
    <t>VIVA - Data Strategy</t>
  </si>
  <si>
    <t>New IT Agreement 2018</t>
  </si>
  <si>
    <t>IPADE MIGRACION DATOS</t>
  </si>
  <si>
    <t>AMIS - MX Licencia AIP</t>
  </si>
  <si>
    <t>Mexicana Kaizen # 219931</t>
  </si>
  <si>
    <t>MX Actinver - SOC 3 años</t>
  </si>
  <si>
    <t>Italika - Agentes Search</t>
  </si>
  <si>
    <t>E2E - Bimbo TPO expansion</t>
  </si>
  <si>
    <t>KOF Application Outsourcing</t>
  </si>
  <si>
    <t>Newmont IT Capacity Services</t>
  </si>
  <si>
    <t>HOLD - Hellerman Tyton Redes</t>
  </si>
  <si>
    <t>DESC_Células analíticas 2025</t>
  </si>
  <si>
    <t>MX Gentera - MBA Digital EXCO</t>
  </si>
  <si>
    <t>OXXO - Application development</t>
  </si>
  <si>
    <t>DESC_Capacitación PBI Resirene</t>
  </si>
  <si>
    <t>DEVELOPMENT OPERATIONS SERVICES</t>
  </si>
  <si>
    <t>Ford-ADAS Embedded SoftwareFY23</t>
  </si>
  <si>
    <t>Ternium Servicio Operaciones IT</t>
  </si>
  <si>
    <t>SP-BK-BPO-SW-Full Funnel Agency</t>
  </si>
  <si>
    <t>Supply Chain - TMS Upgrade (BY)</t>
  </si>
  <si>
    <t>MKT VISTA_INS SAGE UXR US RR RFP</t>
  </si>
  <si>
    <t>NLBA_Global CRM Agency Expansion</t>
  </si>
  <si>
    <t>AMIS-MX-AIP-Licency Renewal 2025</t>
  </si>
  <si>
    <t>Chedraui - Retail Media Blueprint</t>
  </si>
  <si>
    <t>IPADE Modelo de datos y reporting</t>
  </si>
  <si>
    <t>MKT VISTA_Research SAGE Travel PRO</t>
  </si>
  <si>
    <t>2026 | NA Payroll Assessment (JDE)</t>
  </si>
  <si>
    <t>Metlife-MX-Intent driven care - NBM</t>
  </si>
  <si>
    <t>MX-BK-AMS JMR POST D&amp;D Services 2024</t>
  </si>
  <si>
    <t>KOF Promo V0 y V1 &amp; Dynamic Pricing V1</t>
  </si>
  <si>
    <t>CITI-MX-Adobe Migration for Separation</t>
  </si>
  <si>
    <t>Rebate Holding L'Oreal Amer Latina Mex</t>
  </si>
  <si>
    <t>Data &amp; Analytic Maturity Assesment LATAM</t>
  </si>
  <si>
    <t>CON</t>
  </si>
  <si>
    <t>SC</t>
  </si>
  <si>
    <t>AMS</t>
  </si>
  <si>
    <t>IMS</t>
  </si>
  <si>
    <t>BPMS</t>
  </si>
  <si>
    <t>VIVAAEROBUS</t>
  </si>
  <si>
    <t>GRUPO FINANCIERO BANORTE</t>
  </si>
  <si>
    <t>MEXICANA DE AVIACION S.A. DE C.V.</t>
  </si>
  <si>
    <t>APTIV PLC</t>
  </si>
  <si>
    <t>FORD MOTOR COMPANY</t>
  </si>
  <si>
    <t>GRUPO TECHINT</t>
  </si>
  <si>
    <t>EL PUERTO DE LIVERPOOL</t>
  </si>
  <si>
    <t>GOOGLE</t>
  </si>
  <si>
    <t>COLGATE-PALMOLIVE</t>
  </si>
  <si>
    <t>GRUPO COMERCIAL CHEDRAUI S.A. DE CV</t>
  </si>
  <si>
    <t>JACOBS DOUWE EGBERTS</t>
  </si>
  <si>
    <t>METLIFE</t>
  </si>
  <si>
    <t>GRUPO SALINAS</t>
  </si>
  <si>
    <t>Agrupación</t>
  </si>
  <si>
    <t>Digital Core</t>
  </si>
  <si>
    <t>Industry &amp; Enterprise</t>
  </si>
  <si>
    <t>Cybersecurity</t>
  </si>
  <si>
    <t>SONG</t>
  </si>
  <si>
    <t>Supply Chain &amp; Engineering</t>
  </si>
  <si>
    <t>Otro</t>
  </si>
  <si>
    <t>Rev - FY26 Backlog</t>
  </si>
  <si>
    <t>Rev - FY27 Backlog</t>
  </si>
  <si>
    <t>Rev - Q4</t>
  </si>
  <si>
    <t>CCI - Q4</t>
  </si>
  <si>
    <t>CCI - FY26-Backlog</t>
  </si>
  <si>
    <t>CCI - FY27-Backlog</t>
  </si>
  <si>
    <t>Sum of Rev - FY26 Backlog</t>
  </si>
  <si>
    <t>Sum of CCI - FY26-Backlog</t>
  </si>
  <si>
    <t>Sum of Rev - FY27 Backlog</t>
  </si>
  <si>
    <t>Sum of CCI - FY27-Backlog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</si>
</sst>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"/>
    <numFmt numFmtId="165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0C4D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3" borderId="0" xfId="0" applyFont="1" applyFill="1" applyAlignment="1">
      <alignment horizontal="center"/>
    </xf>
    <xf numFmtId="1" fontId="0" fillId="0" borderId="0" xfId="0" applyNumberFormat="1"/>
    <xf numFmtId="0" fontId="0" fillId="0" borderId="0" xfId="0" pivotButton="1"/>
    <xf numFmtId="0" fontId="1" fillId="4" borderId="0" xfId="0" applyFont="1" applyFill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2">
    <dxf>
      <numFmt numFmtId="165" formatCode="_-* #,##0_-;\-* #,##0_-;_-* &quot;-&quot;??_-;_-@_-"/>
    </dxf>
    <dxf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spar, Liz" refreshedDate="46210.621601273146" createdVersion="8" refreshedVersion="8" minRefreshableVersion="3" recordCount="196" xr:uid="{D043C456-8AB1-41EC-BE62-3CBB7B7B72EA}">
  <cacheSource type="worksheet">
    <worksheetSource ref="A2:AP198" sheet="Sheet1"/>
  </cacheSource>
  <cacheFields count="42">
    <cacheField name="FY" numFmtId="0">
      <sharedItems containsBlank="1" count="3">
        <s v="FY26"/>
        <s v="FY27"/>
        <m/>
      </sharedItems>
    </cacheField>
    <cacheField name="CONTRACT NUMBER" numFmtId="0">
      <sharedItems containsString="0" containsBlank="1" containsNumber="1" containsInteger="1" minValue="9940090675" maxValue="9940578543"/>
    </cacheField>
    <cacheField name="CONTRACT NAME" numFmtId="0">
      <sharedItems containsBlank="1"/>
    </cacheField>
    <cacheField name="CLIENT" numFmtId="0">
      <sharedItems containsBlank="1" count="34">
        <s v="SANOFI"/>
        <s v="COPPEL S.A"/>
        <s v="GRUPO BIMBO SAB DE CV."/>
        <s v="MONDELEZ INTERNATIONAL INC."/>
        <s v="INTEL CORPORATION"/>
        <s v="FEMSA"/>
        <s v="CITIGROUP"/>
        <s v="BBVA"/>
        <s v="SANTANDER"/>
        <s v="ASTRAZENECA PLC"/>
        <s v="VIVAAEROBUS"/>
        <s v="GRUPO FINANCIERO BANORTE"/>
        <s v="UNIVERSIDAD PANAMERICANA"/>
        <s v="COCA COLA"/>
        <s v="AMIS"/>
        <s v="AMAZON.COM INC."/>
        <s v="NEWMONT"/>
        <s v="MEXICANA DE AVIACION S.A. DE C.V."/>
        <s v="ACTINVER S.A. DE C.V. SOCIEDADOPERA"/>
        <s v="GRUPO SALINAS"/>
        <s v="APTIV PLC"/>
        <s v="GRUPO DESC"/>
        <s v="FINANCIERA COMPARTAMOS S.A. DE C.V"/>
        <s v="FORD MOTOR COMPANY"/>
        <s v="GRUPO TECHINT"/>
        <s v="EL PUERTO DE LIVERPOOL"/>
        <s v="GOOGLE"/>
        <s v="COLGATE-PALMOLIVE"/>
        <s v="GRUPO COMERCIAL CHEDRAUI S.A. DE CV"/>
        <s v="JACOBS DOUWE EGBERTS"/>
        <s v="L'OREAL"/>
        <s v="METLIFE"/>
        <s v="AB INBEV"/>
        <m/>
      </sharedItems>
    </cacheField>
    <cacheField name="Agrupación" numFmtId="0">
      <sharedItems count="6">
        <s v="Digital Core"/>
        <s v="Industry &amp; Enterprise"/>
        <s v="Cybersecurity"/>
        <s v="SONG"/>
        <s v="Supply Chain &amp; Engineering"/>
        <s v="Otro"/>
      </sharedItems>
    </cacheField>
    <cacheField name="SERVICE GROUP" numFmtId="0">
      <sharedItems containsBlank="1"/>
    </cacheField>
    <cacheField name="SEP - REVENUE" numFmtId="0">
      <sharedItems containsString="0" containsBlank="1" containsNumber="1" minValue="-9.1808800000000002" maxValue="489.06529999999998"/>
    </cacheField>
    <cacheField name="OCT - REVENUE" numFmtId="0">
      <sharedItems containsString="0" containsBlank="1" containsNumber="1" minValue="-9.6637900000000005" maxValue="459.22989999999999"/>
    </cacheField>
    <cacheField name="NOV - REVENUE" numFmtId="0">
      <sharedItems containsString="0" containsBlank="1" containsNumber="1" minValue="0" maxValue="446.99329999999998"/>
    </cacheField>
    <cacheField name="DEC - REVENUE" numFmtId="0">
      <sharedItems containsString="0" containsBlank="1" containsNumber="1" minValue="-20.374880000000001" maxValue="344.29663199999999"/>
    </cacheField>
    <cacheField name="JAN - REVENUE" numFmtId="0">
      <sharedItems containsString="0" containsBlank="1" containsNumber="1" minValue="-0.13292999999999999" maxValue="317.40874000000002"/>
    </cacheField>
    <cacheField name="FEB - REVENUE" numFmtId="0">
      <sharedItems containsString="0" containsBlank="1" containsNumber="1" minValue="-1.66404" maxValue="334.21751999999998"/>
    </cacheField>
    <cacheField name="MAR - REVENUE" numFmtId="0">
      <sharedItems containsString="0" containsBlank="1" containsNumber="1" minValue="-7.8483299999999998" maxValue="358.12632000000002"/>
    </cacheField>
    <cacheField name="APR - REVENUE" numFmtId="0">
      <sharedItems containsString="0" containsBlank="1" containsNumber="1" minValue="-9.5000000000000001E-2" maxValue="334.08987999999999"/>
    </cacheField>
    <cacheField name="MAY - REVENUE" numFmtId="0">
      <sharedItems containsString="0" containsBlank="1" containsNumber="1" minValue="-5.3671199999999999" maxValue="356.03334000000001"/>
    </cacheField>
    <cacheField name="JUN - REVENUE" numFmtId="0">
      <sharedItems containsString="0" containsBlank="1" containsNumber="1" minValue="-1.0000000000000001E-5" maxValue="545.46104000000003"/>
    </cacheField>
    <cacheField name="JUL - REVENUE" numFmtId="0">
      <sharedItems containsString="0" containsBlank="1" containsNumber="1" minValue="-0.79463590200000001" maxValue="320.31074999999998"/>
    </cacheField>
    <cacheField name="AUG - REVENUE" numFmtId="0">
      <sharedItems containsString="0" containsBlank="1" containsNumber="1" minValue="0" maxValue="596.39552400000002"/>
    </cacheField>
    <cacheField name="Rev - Q1" numFmtId="0">
      <sharedItems containsString="0" containsBlank="1" containsNumber="1" minValue="-9.1808800000000002" maxValue="1395.2885000000001"/>
    </cacheField>
    <cacheField name="Rev - Q2" numFmtId="0">
      <sharedItems containsString="0" containsBlank="1" containsNumber="1" minValue="-20.374880000000001" maxValue="983.92665599999987"/>
    </cacheField>
    <cacheField name="Rev - Q3" numFmtId="0">
      <sharedItems containsString="0" containsBlank="1" containsNumber="1" minValue="-9.5000000000000001E-2" maxValue="1003.5199600000001"/>
    </cacheField>
    <cacheField name="Rev - Q4" numFmtId="0">
      <sharedItems containsString="0" containsBlank="1" containsNumber="1" minValue="-1.0000000000000001E-5" maxValue="970.76245600000004"/>
    </cacheField>
    <cacheField name="Rev - FY26 Backlog" numFmtId="0">
      <sharedItems containsString="0" containsBlank="1" containsNumber="1" minValue="-0.79463590200000001" maxValue="761.18181600000003"/>
    </cacheField>
    <cacheField name="Rev - FY27 Backlog" numFmtId="0">
      <sharedItems containsString="0" containsBlank="1" containsNumber="1" minValue="-20.374880000000001" maxValue="3953.3042759999998"/>
    </cacheField>
    <cacheField name="SEP CCI" numFmtId="0">
      <sharedItems containsString="0" containsBlank="1" containsNumber="1" minValue="-280.95093000000003" maxValue="285.23081789999998"/>
    </cacheField>
    <cacheField name="OCT CCI" numFmtId="0">
      <sharedItems containsString="0" containsBlank="1" containsNumber="1" minValue="-313.22107999999997" maxValue="164.95983000000001"/>
    </cacheField>
    <cacheField name="NOV CCI" numFmtId="0">
      <sharedItems containsString="0" containsBlank="1" containsNumber="1" minValue="-223.6344" maxValue="167.35472999999999"/>
    </cacheField>
    <cacheField name="DEC CCI" numFmtId="0">
      <sharedItems containsString="0" containsBlank="1" containsNumber="1" minValue="-189.17932999999999" maxValue="136.35744"/>
    </cacheField>
    <cacheField name="JAN CCI" numFmtId="0">
      <sharedItems containsString="0" containsBlank="1" containsNumber="1" minValue="-65.046819999999997" maxValue="176.38087999999999"/>
    </cacheField>
    <cacheField name="FEB CCI" numFmtId="0">
      <sharedItems containsString="0" containsBlank="1" containsNumber="1" minValue="-59.749070000000003" maxValue="145.16636"/>
    </cacheField>
    <cacheField name="MAR CCI" numFmtId="0">
      <sharedItems containsString="0" containsBlank="1" containsNumber="1" minValue="-206.28442999999999" maxValue="163.19299000000001"/>
    </cacheField>
    <cacheField name="APR CCI" numFmtId="0">
      <sharedItems containsString="0" containsBlank="1" containsNumber="1" minValue="-258.43337000000002" maxValue="144.08860000000001"/>
    </cacheField>
    <cacheField name="MAY CCI" numFmtId="0">
      <sharedItems containsString="0" containsBlank="1" containsNumber="1" minValue="-269.55680000000001" maxValue="274.87975999999998"/>
    </cacheField>
    <cacheField name="JUN CCI" numFmtId="0">
      <sharedItems containsString="0" containsBlank="1" containsNumber="1" minValue="-233.57353000000001" maxValue="297.14819999999997"/>
    </cacheField>
    <cacheField name="JUL CCI" numFmtId="0">
      <sharedItems containsString="0" containsBlank="1" containsNumber="1" minValue="-126.167484" maxValue="149.6465997"/>
    </cacheField>
    <cacheField name="AUG CCI" numFmtId="0">
      <sharedItems containsString="0" containsBlank="1" containsNumber="1" minValue="-180.30394999999999" maxValue="344.73939000000001"/>
    </cacheField>
    <cacheField name="CCI - Q1" numFmtId="0">
      <sharedItems containsString="0" containsBlank="1" containsNumber="1" minValue="-817.80641000000003" maxValue="393.1087"/>
    </cacheField>
    <cacheField name="CCI - Q2" numFmtId="0">
      <sharedItems containsString="0" containsBlank="1" containsNumber="1" minValue="-313.97521999999998" maxValue="418.94891999999999"/>
    </cacheField>
    <cacheField name="CCI - Q3" numFmtId="0">
      <sharedItems containsString="0" containsBlank="1" containsNumber="1" minValue="-595.08243000000004" maxValue="375.21188000000001"/>
    </cacheField>
    <cacheField name="CCI - Q4" numFmtId="164">
      <sharedItems containsString="0" containsBlank="1" containsNumber="1" minValue="-252.76622689999999" maxValue="360.5469258"/>
    </cacheField>
    <cacheField name="CCI - FY26-Backlog" numFmtId="164">
      <sharedItems containsString="0" containsBlank="1" containsNumber="1" minValue="-151.33997499999998" maxValue="261.8405376"/>
    </cacheField>
    <cacheField name="CCI - FY27-Backlog" numFmtId="0">
      <sharedItems containsString="0" containsBlank="1" containsNumber="1" minValue="-1131.1363699999999" maxValue="1285.07341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x v="0"/>
    <n v="9940558396"/>
    <s v="Opella_ERP_NR"/>
    <x v="0"/>
    <x v="0"/>
    <s v="CON"/>
    <m/>
    <m/>
    <m/>
    <n v="0"/>
    <n v="1.0367999999999999"/>
    <n v="1.8555200000000001"/>
    <n v="3.1230000000000002"/>
    <n v="3.1404399999999999"/>
    <n v="3.7217600000000002"/>
    <n v="5.2618799999999997"/>
    <n v="3.4768047599999998"/>
    <n v="2.80799244"/>
    <n v="0"/>
    <n v="2.8923199999999998"/>
    <n v="9.9852000000000007"/>
    <n v="11.5466772"/>
    <n v="6.2847971999999999"/>
    <n v="24.424197200000002"/>
    <m/>
    <m/>
    <m/>
    <n v="0"/>
    <n v="0.36715999999999999"/>
    <n v="0.68659999999999999"/>
    <n v="1.13096"/>
    <n v="1.1450400000000001"/>
    <n v="1.3471200000000001"/>
    <n v="1.65648"/>
    <n v="1.69357716"/>
    <n v="0.89846855999999997"/>
    <n v="0"/>
    <n v="1.05376"/>
    <n v="3.6231200000000001"/>
    <n v="4.24852572"/>
    <n v="2.5920457199999998"/>
    <n v="8.9254057200000005"/>
  </r>
  <r>
    <x v="0"/>
    <n v="9940558396"/>
    <s v="Opella_ERP_NR"/>
    <x v="0"/>
    <x v="0"/>
    <s v="SI"/>
    <m/>
    <m/>
    <m/>
    <n v="0"/>
    <n v="5.8752000000000004"/>
    <n v="10.514760000000001"/>
    <n v="17.696960000000001"/>
    <n v="17.795919999999999"/>
    <n v="21.089960000000001"/>
    <n v="29.817240000000002"/>
    <n v="19.701893640000002"/>
    <n v="15.91195716"/>
    <n v="0"/>
    <n v="16.389960000000002"/>
    <n v="56.582840000000004"/>
    <n v="65.431090800000007"/>
    <n v="35.613850800000002"/>
    <n v="138.4038908"/>
    <m/>
    <m/>
    <m/>
    <n v="0"/>
    <n v="2.0806399999999998"/>
    <n v="3.8909600000000002"/>
    <n v="6.4086400000000001"/>
    <n v="6.4888399999999997"/>
    <n v="7.6339600000000001"/>
    <n v="9.3865999999999996"/>
    <n v="9.5969372400000008"/>
    <n v="5.09132184"/>
    <n v="0"/>
    <n v="5.9716000000000005"/>
    <n v="20.53144"/>
    <n v="24.07485908"/>
    <n v="14.688259080000002"/>
    <n v="50.577899079999995"/>
  </r>
  <r>
    <x v="0"/>
    <n v="9940574311"/>
    <s v="Plan Director"/>
    <x v="1"/>
    <x v="1"/>
    <s v="SC"/>
    <m/>
    <m/>
    <m/>
    <m/>
    <m/>
    <m/>
    <n v="0"/>
    <n v="0"/>
    <n v="356.03334000000001"/>
    <n v="0"/>
    <n v="0"/>
    <n v="0"/>
    <n v="0"/>
    <n v="0"/>
    <n v="356.03334000000001"/>
    <n v="0"/>
    <n v="0"/>
    <n v="356.03334000000001"/>
    <m/>
    <m/>
    <m/>
    <m/>
    <m/>
    <m/>
    <n v="-35.567570000000003"/>
    <n v="-126.37495"/>
    <n v="274.87975999999998"/>
    <n v="-3.3917099999999998"/>
    <n v="0"/>
    <n v="0"/>
    <n v="0"/>
    <n v="0"/>
    <n v="112.93723999999997"/>
    <n v="-3.3917099999999998"/>
    <n v="0"/>
    <n v="109.54552999999997"/>
  </r>
  <r>
    <x v="0"/>
    <n v="9940574311"/>
    <s v="Plan Director"/>
    <x v="1"/>
    <x v="1"/>
    <s v="SI"/>
    <m/>
    <m/>
    <m/>
    <m/>
    <m/>
    <m/>
    <n v="0"/>
    <n v="0"/>
    <n v="257.81725"/>
    <n v="0"/>
    <n v="0"/>
    <n v="0"/>
    <n v="0"/>
    <n v="0"/>
    <n v="257.81725"/>
    <n v="0"/>
    <n v="0"/>
    <n v="257.81725"/>
    <m/>
    <m/>
    <m/>
    <m/>
    <m/>
    <m/>
    <n v="-27.94594"/>
    <n v="-99.294600000000003"/>
    <n v="194.05374"/>
    <n v="-2.66493"/>
    <n v="0"/>
    <n v="0"/>
    <n v="0"/>
    <n v="0"/>
    <n v="66.813199999999995"/>
    <n v="-2.66493"/>
    <n v="0"/>
    <n v="64.148269999999997"/>
  </r>
  <r>
    <x v="0"/>
    <n v="9940456800"/>
    <s v="Data Governance"/>
    <x v="2"/>
    <x v="2"/>
    <s v="SI"/>
    <n v="0"/>
    <n v="0"/>
    <n v="0"/>
    <n v="0"/>
    <n v="0"/>
    <n v="0"/>
    <n v="0"/>
    <n v="0"/>
    <m/>
    <m/>
    <m/>
    <m/>
    <n v="0"/>
    <n v="0"/>
    <n v="0"/>
    <n v="0"/>
    <n v="0"/>
    <n v="0"/>
    <n v="-0.95091999999999999"/>
    <n v="-0.96440000000000003"/>
    <n v="-0.96297999999999995"/>
    <n v="-0.96430000000000005"/>
    <n v="-0.98928000000000005"/>
    <n v="-1.0309200000000001"/>
    <n v="-1.0320199999999999"/>
    <n v="-3.032"/>
    <m/>
    <m/>
    <m/>
    <m/>
    <n v="-2.8782999999999999"/>
    <n v="-2.9845000000000002"/>
    <n v="-4.0640200000000002"/>
    <n v="0"/>
    <n v="0"/>
    <n v="-9.9268199999999993"/>
  </r>
  <r>
    <x v="0"/>
    <n v="9940488298"/>
    <s v="MDLZ SAP S4 HANA"/>
    <x v="3"/>
    <x v="0"/>
    <s v="CON"/>
    <n v="2.3737400000000002"/>
    <n v="-2.88659"/>
    <n v="2.4451200000000002"/>
    <n v="-2.3874399999999998"/>
    <n v="6.45"/>
    <n v="3.7650199999999998"/>
    <n v="4.8586900000000002"/>
    <n v="3.0767500000000001"/>
    <n v="-1.6031599999999999"/>
    <n v="4.10344"/>
    <n v="2.3104008299999998"/>
    <n v="3.0257144"/>
    <n v="1.9322700000000004"/>
    <n v="7.8275800000000002"/>
    <n v="6.3322799999999999"/>
    <n v="9.4395552299999999"/>
    <n v="5.3361152299999999"/>
    <n v="25.531685230000001"/>
    <n v="-0.95628000000000002"/>
    <n v="-7.0633299999999997"/>
    <n v="-1.2547900000000001"/>
    <n v="-6.5350000000000001"/>
    <n v="2.12981"/>
    <n v="-0.66617999999999999"/>
    <n v="-0.51610999999999996"/>
    <n v="-2.08134"/>
    <n v="-4.80016"/>
    <n v="-1.9662200000000001"/>
    <n v="-2.2157835449999999"/>
    <n v="-0.36942427500000002"/>
    <n v="-9.2744"/>
    <n v="-5.0713699999999999"/>
    <n v="-7.3976100000000002"/>
    <n v="-4.5514278199999998"/>
    <n v="-2.5852078199999999"/>
    <n v="-26.294807820000003"/>
  </r>
  <r>
    <x v="0"/>
    <n v="9940488298"/>
    <s v="MDLZ SAP S4 HANA"/>
    <x v="3"/>
    <x v="0"/>
    <s v="SI"/>
    <n v="7.9468800000000002"/>
    <n v="-9.6637900000000005"/>
    <n v="8.1858299999999993"/>
    <n v="-7.9927200000000003"/>
    <n v="21.593489999999999"/>
    <n v="12.604620000000001"/>
    <n v="16.26604"/>
    <n v="10.300420000000001"/>
    <n v="-5.3671199999999999"/>
    <n v="13.7376"/>
    <n v="7.7348201699999999"/>
    <n v="10.129565599999999"/>
    <n v="6.4689199999999989"/>
    <n v="26.205390000000001"/>
    <n v="21.199339999999999"/>
    <n v="31.601985769999999"/>
    <n v="17.864385769999998"/>
    <n v="85.475635769999997"/>
    <n v="-2.0431900000000001"/>
    <n v="-22.193989999999999"/>
    <n v="-2.9138999999999999"/>
    <n v="-20.435410000000001"/>
    <n v="8.6329100000000007"/>
    <n v="-0.68899999999999995"/>
    <n v="0.14163999999999999"/>
    <n v="-5.1738200000000001"/>
    <n v="-14.95811"/>
    <n v="-4.4713900000000004"/>
    <n v="-7.4180579550000001"/>
    <n v="-1.2367682250000001"/>
    <n v="-27.15108"/>
    <n v="-12.4915"/>
    <n v="-19.990290000000002"/>
    <n v="-13.126216180000002"/>
    <n v="-8.6548261800000006"/>
    <n v="-72.759086180000011"/>
  </r>
  <r>
    <x v="0"/>
    <n v="9940481651"/>
    <s v="Due Diligence AMS"/>
    <x v="1"/>
    <x v="0"/>
    <s v="CON"/>
    <n v="6.0970399999999998"/>
    <n v="6.18344"/>
    <n v="6.1743699999999997"/>
    <n v="6.1828399999999997"/>
    <n v="6.3429700000000002"/>
    <n v="6.6099899999999998"/>
    <n v="6.6170499999999999"/>
    <n v="6.3509399999999996"/>
    <n v="6.5467000000000004"/>
    <n v="6.5631199999999996"/>
    <n v="6.485544"/>
    <n v="6.485544"/>
    <n v="18.45485"/>
    <n v="19.1358"/>
    <n v="19.514690000000002"/>
    <n v="19.534208"/>
    <n v="12.971088"/>
    <n v="76.639547999999991"/>
    <n v="5.5615199999999998"/>
    <n v="5.6422499999999998"/>
    <n v="5.5722199999999997"/>
    <n v="5.5180499999999997"/>
    <n v="5.5976400000000002"/>
    <n v="5.7673800000000002"/>
    <n v="5.7073700000000001"/>
    <n v="5.4141599999999999"/>
    <n v="5.5157100000000003"/>
    <n v="5.4639199999999999"/>
    <n v="5.1485880000000002"/>
    <n v="5.0793860000000004"/>
    <n v="16.77599"/>
    <n v="16.88307"/>
    <n v="16.637239999999998"/>
    <n v="15.691894000000001"/>
    <n v="10.227974"/>
    <n v="65.988193999999993"/>
  </r>
  <r>
    <x v="0"/>
    <n v="9940481651"/>
    <s v="Due Diligence AMS"/>
    <x v="1"/>
    <x v="0"/>
    <s v="AMS"/>
    <n v="277.79250999999999"/>
    <n v="290.76254"/>
    <n v="237.42536999999999"/>
    <n v="266.11756000000003"/>
    <n v="285.74896999999999"/>
    <n v="307.95546000000002"/>
    <n v="298.20751000000001"/>
    <n v="235.31072"/>
    <n v="233.67276000000001"/>
    <n v="246.27932000000001"/>
    <n v="146.44482551999999"/>
    <n v="145.3682034"/>
    <n v="805.98041999999987"/>
    <n v="859.82199000000003"/>
    <n v="767.19099000000006"/>
    <n v="538.09234891999995"/>
    <n v="291.81302891999997"/>
    <n v="2971.0857489199998"/>
    <n v="101.17818"/>
    <n v="80.293959999999998"/>
    <n v="55.681460000000001"/>
    <n v="92.123689999999996"/>
    <n v="78.289289999999994"/>
    <n v="142.77835999999999"/>
    <n v="92.851960000000005"/>
    <n v="61.348370000000003"/>
    <n v="68.305070000000001"/>
    <n v="72.332130000000006"/>
    <n v="14.446648440000001"/>
    <n v="9.5492375999999997"/>
    <n v="237.15359999999998"/>
    <n v="313.19133999999997"/>
    <n v="222.50540000000001"/>
    <n v="96.328016040000009"/>
    <n v="23.995886040000002"/>
    <n v="869.17835603999993"/>
  </r>
  <r>
    <x v="0"/>
    <n v="9940481651"/>
    <s v="Due Diligence AMS"/>
    <x v="1"/>
    <x v="0"/>
    <s v="IMS"/>
    <n v="163.14798999999999"/>
    <n v="170.7653"/>
    <n v="139.44029"/>
    <n v="156.29125999999999"/>
    <n v="167.82082"/>
    <n v="180.86273"/>
    <n v="175.13773"/>
    <n v="138.19835"/>
    <n v="137.23639"/>
    <n v="144.64024000000001"/>
    <n v="86.007278479999997"/>
    <n v="85.374976599999997"/>
    <n v="473.35357999999997"/>
    <n v="504.97480999999999"/>
    <n v="450.57247000000007"/>
    <n v="316.02249508"/>
    <n v="171.38225507999999"/>
    <n v="1744.92335508"/>
    <n v="57.512050000000002"/>
    <n v="45.279490000000003"/>
    <n v="30.898230000000002"/>
    <n v="54.104390000000002"/>
    <n v="45.979399999999998"/>
    <n v="83.853920000000002"/>
    <n v="54.532089999999997"/>
    <n v="36.029960000000003"/>
    <n v="40.115670000000001"/>
    <n v="42.480809999999998"/>
    <n v="8.48453956"/>
    <n v="5.6082824000000002"/>
    <n v="133.68977000000001"/>
    <n v="183.93770999999998"/>
    <n v="130.67771999999999"/>
    <n v="56.57363196"/>
    <n v="14.09282196"/>
    <n v="504.87883196000001"/>
  </r>
  <r>
    <x v="0"/>
    <n v="9940533180"/>
    <s v="Citrus and Orange"/>
    <x v="4"/>
    <x v="3"/>
    <s v="CON"/>
    <n v="0.80857999999999997"/>
    <n v="0.97985"/>
    <n v="0.97985"/>
    <n v="0.98716999999999999"/>
    <n v="0.97985"/>
    <n v="0.97999000000000003"/>
    <n v="0.77234000000000003"/>
    <n v="0.75409000000000004"/>
    <n v="0.73816999999999999"/>
    <n v="0.79462999999999995"/>
    <n v="-0.79463590200000001"/>
    <n v="0"/>
    <n v="2.7682799999999999"/>
    <n v="2.9470100000000001"/>
    <n v="2.2645999999999997"/>
    <n v="-5.9020000000575834E-6"/>
    <n v="-0.79463590200000001"/>
    <n v="7.9798840979999994"/>
    <n v="-0.40427000000000002"/>
    <n v="1.6625799999999999"/>
    <n v="0.91537999999999997"/>
    <n v="0.41891"/>
    <n v="0.36081000000000002"/>
    <n v="0.44674999999999998"/>
    <n v="0.37146000000000001"/>
    <n v="0.11659"/>
    <n v="0.21593999999999999"/>
    <n v="0.16031999999999999"/>
    <n v="-0.16754895"/>
    <n v="0"/>
    <n v="2.1736899999999997"/>
    <n v="1.2264699999999999"/>
    <n v="0.70399"/>
    <n v="-7.2289500000000118E-3"/>
    <n v="-0.16754895"/>
    <n v="4.0969210499999997"/>
  </r>
  <r>
    <x v="0"/>
    <n v="9940533180"/>
    <s v="Citrus and Orange"/>
    <x v="4"/>
    <x v="3"/>
    <s v="SC"/>
    <n v="6.5060000000000007E-2"/>
    <n v="7.8839999999999993E-2"/>
    <n v="7.8839999999999993E-2"/>
    <n v="7.9430000000000001E-2"/>
    <n v="7.8839999999999993E-2"/>
    <n v="7.8850000000000003E-2"/>
    <n v="6.2140000000000001E-2"/>
    <n v="6.0679999999999998E-2"/>
    <n v="5.9389999999999998E-2"/>
    <n v="6.3939999999999997E-2"/>
    <n v="-6.3936222000000001E-2"/>
    <n v="0"/>
    <n v="0.22273999999999999"/>
    <n v="0.23712"/>
    <n v="0.18220999999999998"/>
    <n v="3.7779999999959513E-6"/>
    <n v="-6.3936222000000001E-2"/>
    <n v="0.64207377799999987"/>
    <n v="-1.762E-2"/>
    <n v="0.12537999999999999"/>
    <n v="7.4440000000000006E-2"/>
    <n v="4.0689999999999997E-2"/>
    <n v="3.6650000000000002E-2"/>
    <n v="4.2500000000000003E-2"/>
    <n v="3.4810000000000001E-2"/>
    <n v="1.721E-2"/>
    <n v="2.3769999999999999E-2"/>
    <n v="2.069E-2"/>
    <n v="-1.348095E-2"/>
    <n v="0"/>
    <n v="0.1822"/>
    <n v="0.11984"/>
    <n v="7.5789999999999996E-2"/>
    <n v="7.2090499999999998E-3"/>
    <n v="-1.348095E-2"/>
    <n v="0.38503904999999999"/>
  </r>
  <r>
    <x v="0"/>
    <n v="9940533180"/>
    <s v="Citrus and Orange"/>
    <x v="4"/>
    <x v="3"/>
    <s v="SI"/>
    <n v="5.577E-2"/>
    <n v="6.7580000000000001E-2"/>
    <n v="6.7580000000000001E-2"/>
    <n v="6.8080000000000002E-2"/>
    <n v="6.7580000000000001E-2"/>
    <n v="6.7589999999999997E-2"/>
    <n v="5.3269999999999998E-2"/>
    <n v="5.2010000000000001E-2"/>
    <n v="5.0909999999999997E-2"/>
    <n v="5.4800000000000001E-2"/>
    <n v="-5.4802476000000003E-2"/>
    <n v="0"/>
    <n v="0.19092999999999999"/>
    <n v="0.20324999999999999"/>
    <n v="0.15619"/>
    <n v="-2.476000000001255E-6"/>
    <n v="-5.4802476000000003E-2"/>
    <n v="0.550367524"/>
    <n v="-2.691E-2"/>
    <n v="0.11412"/>
    <n v="6.318E-2"/>
    <n v="2.9340000000000001E-2"/>
    <n v="2.5389999999999999E-2"/>
    <n v="3.124E-2"/>
    <n v="2.5940000000000001E-2"/>
    <n v="8.5400000000000007E-3"/>
    <n v="1.529E-2"/>
    <n v="1.155E-2"/>
    <n v="-1.15551E-2"/>
    <n v="0"/>
    <n v="0.15039"/>
    <n v="8.5970000000000005E-2"/>
    <n v="4.9770000000000002E-2"/>
    <n v="-5.1000000000009371E-6"/>
    <n v="-1.15551E-2"/>
    <n v="0.28612490000000002"/>
  </r>
  <r>
    <x v="0"/>
    <n v="9940533180"/>
    <s v="Citrus and Orange"/>
    <x v="4"/>
    <x v="3"/>
    <s v="BPMS"/>
    <n v="11.72301"/>
    <n v="14.20614"/>
    <n v="14.20614"/>
    <n v="14.20614"/>
    <n v="14.583729999999999"/>
    <n v="14.20797"/>
    <n v="10.795769999999999"/>
    <n v="10.8148"/>
    <n v="10.894959999999999"/>
    <n v="10.75648"/>
    <n v="10.4368231"/>
    <n v="9.4669679999999996"/>
    <n v="40.135289999999998"/>
    <n v="42.997839999999997"/>
    <n v="32.50553"/>
    <n v="30.660271100000003"/>
    <n v="19.903791099999999"/>
    <n v="146.2989311"/>
    <n v="8.9384800000000002"/>
    <n v="6.3820899999999998"/>
    <n v="8.1498799999999996"/>
    <n v="8.7417099999999994"/>
    <n v="7.7662300000000002"/>
    <n v="6.8769200000000001"/>
    <n v="2.2661699999999998"/>
    <n v="3.0536599999999998"/>
    <n v="3.72905"/>
    <n v="3.1394799999999998"/>
    <n v="1.5665393000000001"/>
    <n v="1.1875039000000001"/>
    <n v="23.47045"/>
    <n v="23.384859999999996"/>
    <n v="9.0488800000000005"/>
    <n v="5.8935231999999997"/>
    <n v="2.7540431999999999"/>
    <n v="61.797713199999997"/>
  </r>
  <r>
    <x v="0"/>
    <n v="9940543402"/>
    <s v="Proximidad - MSSP"/>
    <x v="5"/>
    <x v="2"/>
    <s v="IMS"/>
    <n v="0"/>
    <n v="4.7872300000000001"/>
    <n v="4.7946900000000001"/>
    <n v="12.59886"/>
    <n v="8.8700899999999994"/>
    <n v="24.841180000000001"/>
    <n v="19.846019999999999"/>
    <n v="33.101950000000002"/>
    <n v="29.989000000000001"/>
    <n v="29.518460000000001"/>
    <n v="27.7031505"/>
    <n v="28.655455499999999"/>
    <n v="9.5819200000000002"/>
    <n v="46.310130000000001"/>
    <n v="82.936970000000002"/>
    <n v="85.877065999999999"/>
    <n v="56.358605999999995"/>
    <n v="224.70608600000003"/>
    <n v="-11.799939999999999"/>
    <n v="-10.35839"/>
    <n v="-5.9750199999999998"/>
    <n v="0.5837"/>
    <n v="-1.88266"/>
    <n v="12.606999999999999"/>
    <n v="-4.80898"/>
    <n v="17.777989999999999"/>
    <n v="14.01305"/>
    <n v="10.897550000000001"/>
    <n v="-3.0130154999999998"/>
    <n v="9.3715965000000008"/>
    <n v="-28.13335"/>
    <n v="11.308039999999998"/>
    <n v="26.982059999999997"/>
    <n v="17.256131000000003"/>
    <n v="6.3585810000000009"/>
    <n v="27.412880999999999"/>
  </r>
  <r>
    <x v="0"/>
    <n v="9940200468"/>
    <s v="BIMBO MX - ZBB*ICE"/>
    <x v="2"/>
    <x v="1"/>
    <s v="SC"/>
    <n v="0"/>
    <n v="0"/>
    <m/>
    <m/>
    <m/>
    <n v="0"/>
    <n v="0"/>
    <m/>
    <m/>
    <m/>
    <m/>
    <m/>
    <n v="0"/>
    <n v="0"/>
    <n v="0"/>
    <n v="0"/>
    <n v="0"/>
    <n v="0"/>
    <n v="0"/>
    <n v="0"/>
    <m/>
    <m/>
    <m/>
    <n v="0"/>
    <n v="0"/>
    <m/>
    <m/>
    <m/>
    <m/>
    <m/>
    <n v="0"/>
    <n v="0"/>
    <n v="0"/>
    <n v="0"/>
    <n v="0"/>
    <n v="0"/>
  </r>
  <r>
    <x v="0"/>
    <n v="9940389320"/>
    <s v="Gestión Portal Web"/>
    <x v="6"/>
    <x v="3"/>
    <s v="CON"/>
    <n v="1.96668"/>
    <n v="1.99455"/>
    <n v="1.99163"/>
    <n v="1.99312"/>
    <n v="0.77112999999999998"/>
    <n v="0.80359000000000003"/>
    <n v="0.80445"/>
    <n v="0.77210000000000001"/>
    <n v="0.79590000000000005"/>
    <n v="0.79788999999999999"/>
    <n v="0.78845949999999998"/>
    <n v="0.78845949999999998"/>
    <n v="5.9528600000000003"/>
    <n v="3.5678400000000003"/>
    <n v="2.3724500000000002"/>
    <n v="2.3748089999999999"/>
    <n v="1.576919"/>
    <n v="14.267959000000001"/>
    <n v="0.29322999999999999"/>
    <n v="0.55101999999999995"/>
    <n v="0.66061999999999999"/>
    <n v="0.90486999999999995"/>
    <n v="4.829E-2"/>
    <n v="-0.10879999999999999"/>
    <n v="-4.4299999999999999E-2"/>
    <n v="0.56440999999999997"/>
    <n v="0.76919999999999999"/>
    <n v="0.47687000000000002"/>
    <n v="-0.18573799999999999"/>
    <n v="0.14079900000000001"/>
    <n v="1.5048699999999999"/>
    <n v="0.84436"/>
    <n v="1.28931"/>
    <n v="0.43193100000000006"/>
    <n v="-4.4938999999999979E-2"/>
    <n v="4.0704709999999995"/>
  </r>
  <r>
    <x v="0"/>
    <n v="9940389320"/>
    <s v="Gestión Portal Web"/>
    <x v="6"/>
    <x v="3"/>
    <s v="AMS"/>
    <n v="5.2404999999999999"/>
    <n v="5.3147700000000002"/>
    <n v="5.3069699999999997"/>
    <n v="5.3142399999999999"/>
    <n v="5.46814"/>
    <n v="5.6983300000000003"/>
    <n v="5.7044199999999998"/>
    <n v="5.4750199999999998"/>
    <n v="5.64377"/>
    <n v="5.6579300000000003"/>
    <n v="5.5910543500000003"/>
    <n v="5.5910543500000003"/>
    <n v="15.86224"/>
    <n v="16.480710000000002"/>
    <n v="16.82321"/>
    <n v="16.840038700000001"/>
    <n v="11.182108700000001"/>
    <n v="66.006198699999999"/>
    <n v="1.4436500000000001"/>
    <n v="1.39951"/>
    <n v="2.23434"/>
    <n v="2.3145799999999999"/>
    <n v="1.8749199999999999"/>
    <n v="2.06813"/>
    <n v="1.90635"/>
    <n v="1.86253"/>
    <n v="1.75587"/>
    <n v="1.24871"/>
    <n v="1.1287891999999999"/>
    <n v="1.3609900500000001"/>
    <n v="5.0775000000000006"/>
    <n v="6.2576299999999998"/>
    <n v="5.52475"/>
    <n v="3.7384892499999998"/>
    <n v="2.4897792499999998"/>
    <n v="20.598369250000001"/>
  </r>
  <r>
    <x v="0"/>
    <n v="9940389320"/>
    <s v="Gestión Portal Web"/>
    <x v="6"/>
    <x v="3"/>
    <s v="BPMS"/>
    <n v="9.7323500000000003"/>
    <n v="9.8702699999999997"/>
    <n v="9.8557900000000007"/>
    <n v="9.8693000000000008"/>
    <n v="10.15512"/>
    <n v="10.58262"/>
    <n v="10.59393"/>
    <n v="10.16789"/>
    <n v="10.481299999999999"/>
    <n v="10.507580000000001"/>
    <n v="10.38338665"/>
    <n v="10.38338665"/>
    <n v="29.458410000000001"/>
    <n v="30.607039999999998"/>
    <n v="31.243119999999998"/>
    <n v="31.274353300000001"/>
    <n v="20.766773300000001"/>
    <n v="122.5829233"/>
    <n v="2.36199"/>
    <n v="2.2701199999999999"/>
    <n v="3.89134"/>
    <n v="4.0464599999999997"/>
    <n v="3.18004"/>
    <n v="3.5357799999999999"/>
    <n v="3.2211699999999999"/>
    <n v="3.1554099999999998"/>
    <n v="2.93418"/>
    <n v="1.94851"/>
    <n v="2.0963227999999998"/>
    <n v="2.52755295"/>
    <n v="8.5234500000000004"/>
    <n v="10.762280000000001"/>
    <n v="9.3107600000000001"/>
    <n v="6.5723857500000005"/>
    <n v="4.6238757499999998"/>
    <n v="35.168875750000005"/>
  </r>
  <r>
    <x v="0"/>
    <n v="9940473365"/>
    <s v="MX-BK-SI-DF Atenea"/>
    <x v="7"/>
    <x v="3"/>
    <s v="CON"/>
    <n v="15.97119"/>
    <n v="17.647790000000001"/>
    <n v="20.972090000000001"/>
    <n v="19.083200000000001"/>
    <n v="19.198810000000002"/>
    <n v="14.763540000000001"/>
    <n v="15.672790000000001"/>
    <n v="11.19014"/>
    <n v="11.534929999999999"/>
    <n v="12.620850000000001"/>
    <n v="16.112616612"/>
    <n v="18.00660426"/>
    <n v="54.591070000000002"/>
    <n v="53.045549999999999"/>
    <n v="38.397859999999994"/>
    <n v="46.740070872000004"/>
    <n v="34.119220872"/>
    <n v="192.77455087199996"/>
    <n v="-16.791039999999999"/>
    <n v="-9.5579599999999996"/>
    <n v="-7.5286"/>
    <n v="-7.9426399999999999"/>
    <n v="-11.677960000000001"/>
    <n v="-17.61693"/>
    <n v="-29.078150000000001"/>
    <n v="-10.11252"/>
    <n v="-29.811679999999999"/>
    <n v="-31.557739999999999"/>
    <n v="-28.514544787999998"/>
    <n v="-46.204801840000002"/>
    <n v="-33.877599999999994"/>
    <n v="-37.23753"/>
    <n v="-69.002349999999993"/>
    <n v="-106.27708662800001"/>
    <n v="-74.719346627999997"/>
    <n v="-246.39456662800001"/>
  </r>
  <r>
    <x v="0"/>
    <n v="9940473365"/>
    <s v="MX-BK-SI-DF Atenea"/>
    <x v="7"/>
    <x v="3"/>
    <s v="SC"/>
    <n v="19.644200000000001"/>
    <n v="22.28837"/>
    <n v="27.45956"/>
    <n v="24.51979"/>
    <n v="24.547049999999999"/>
    <n v="16.448789999999999"/>
    <n v="18.137779999999999"/>
    <n v="11.204879999999999"/>
    <n v="11.56677"/>
    <n v="13.209490000000001"/>
    <n v="18.321337931999999"/>
    <n v="21.10623661"/>
    <n v="69.392129999999995"/>
    <n v="65.515630000000002"/>
    <n v="40.90943"/>
    <n v="52.637064542000005"/>
    <n v="39.427574542000002"/>
    <n v="228.454254542"/>
    <n v="-12.82432"/>
    <n v="-6.62629"/>
    <n v="-4.3851100000000001"/>
    <n v="-4.6390099999999999"/>
    <n v="-8.0591500000000007"/>
    <n v="-14.014250000000001"/>
    <n v="-23.599540000000001"/>
    <n v="-7.4877000000000002"/>
    <n v="-24.522960000000001"/>
    <n v="-26.01972"/>
    <n v="-28.026202468000001"/>
    <n v="-45.629727989999999"/>
    <n v="-23.835720000000002"/>
    <n v="-26.712410000000002"/>
    <n v="-55.610200000000006"/>
    <n v="-99.675650458000007"/>
    <n v="-73.655930458"/>
    <n v="-205.83398045800001"/>
  </r>
  <r>
    <x v="0"/>
    <n v="9940473365"/>
    <s v="MX-BK-SI-DF Atenea"/>
    <x v="7"/>
    <x v="3"/>
    <s v="SI"/>
    <n v="64.160610000000005"/>
    <n v="79.526009999999999"/>
    <n v="108.93119"/>
    <n v="92.201059999999998"/>
    <n v="90.961299999999994"/>
    <n v="33.951180000000001"/>
    <n v="46.06561"/>
    <n v="7.0103099999999996"/>
    <n v="7.4734600000000002"/>
    <n v="16.389240000000001"/>
    <n v="42.532511855999999"/>
    <n v="56.89328613"/>
    <n v="252.61781000000002"/>
    <n v="217.11353999999997"/>
    <n v="60.549379999999999"/>
    <n v="115.81503798599999"/>
    <n v="99.425797985999992"/>
    <n v="646.09576798600006"/>
    <n v="-7.9640899999999997"/>
    <n v="-11.888780000000001"/>
    <n v="-4.8361299999999998"/>
    <n v="-5.5171400000000004"/>
    <n v="-7.89621"/>
    <n v="-18.43139"/>
    <n v="-13.501530000000001"/>
    <n v="-22.15577"/>
    <n v="-15.45612"/>
    <n v="-17.009029999999999"/>
    <n v="-12.471551344"/>
    <n v="-12.351413170000001"/>
    <n v="-24.689"/>
    <n v="-31.844740000000002"/>
    <n v="-51.113419999999998"/>
    <n v="-41.831994514000002"/>
    <n v="-24.822964513999999"/>
    <n v="-149.47915451400002"/>
  </r>
  <r>
    <x v="0"/>
    <n v="9940473365"/>
    <s v="MX-BK-SI-DF Atenea"/>
    <x v="7"/>
    <x v="3"/>
    <s v="AMS"/>
    <n v="53.765329999999999"/>
    <n v="54.449750000000002"/>
    <n v="56.416589999999999"/>
    <n v="55.311599999999999"/>
    <n v="56.680149999999998"/>
    <n v="64.272980000000004"/>
    <n v="62.471029999999999"/>
    <n v="59.476410000000001"/>
    <n v="61.166739999999997"/>
    <n v="62.205779999999997"/>
    <n v="66.997489999999999"/>
    <n v="69.493020000000001"/>
    <n v="164.63166999999999"/>
    <n v="176.26472999999999"/>
    <n v="183.11418"/>
    <n v="198.69629"/>
    <n v="136.49051"/>
    <n v="722.70686999999998"/>
    <n v="-15.54762"/>
    <n v="-20.647099999999998"/>
    <n v="-2.42116"/>
    <n v="-14.797319999999999"/>
    <n v="-21.893799999999999"/>
    <n v="-58.520510000000002"/>
    <n v="-40.866160000000001"/>
    <n v="-63.097830000000002"/>
    <n v="-54.543520000000001"/>
    <n v="-73.99136"/>
    <n v="-54.321404999999999"/>
    <n v="-97.018569999999997"/>
    <n v="-38.615879999999997"/>
    <n v="-95.21163"/>
    <n v="-158.50751"/>
    <n v="-225.33133500000002"/>
    <n v="-151.33997499999998"/>
    <n v="-517.66635500000007"/>
  </r>
  <r>
    <x v="0"/>
    <n v="9940473365"/>
    <s v="MX-BK-SI-DF Atenea"/>
    <x v="7"/>
    <x v="3"/>
    <s v="IMS"/>
    <n v="31.604620000000001"/>
    <n v="32.693849999999998"/>
    <n v="33.163110000000003"/>
    <n v="32.513579999999997"/>
    <n v="33.318049999999999"/>
    <n v="37.781300000000002"/>
    <n v="36.722059999999999"/>
    <n v="34.961739999999999"/>
    <n v="35.955379999999998"/>
    <n v="36.56615"/>
    <n v="39.382835"/>
    <n v="40.849769999999999"/>
    <n v="97.461579999999998"/>
    <n v="103.61292999999999"/>
    <n v="107.63917999999998"/>
    <n v="116.798755"/>
    <n v="80.232605000000007"/>
    <n v="425.51244499999996"/>
    <n v="-47.781500000000001"/>
    <n v="-42.354300000000002"/>
    <n v="-28.339870000000001"/>
    <n v="-37.016249999999999"/>
    <n v="-29.574639999999999"/>
    <n v="-46.807729999999999"/>
    <n v="-55.64875"/>
    <n v="-55.517130000000002"/>
    <n v="-48.306480000000001"/>
    <n v="-61.04936"/>
    <n v="-22.672979999999999"/>
    <n v="-57.247410000000002"/>
    <n v="-118.47567000000001"/>
    <n v="-113.39861999999999"/>
    <n v="-159.47236000000001"/>
    <n v="-140.96975"/>
    <n v="-79.920389999999998"/>
    <n v="-532.31640000000004"/>
  </r>
  <r>
    <x v="0"/>
    <n v="9940473365"/>
    <s v="MX-BK-SI-DF Atenea"/>
    <x v="7"/>
    <x v="3"/>
    <s v="BPMS"/>
    <n v="120.10903"/>
    <n v="121.05262"/>
    <n v="123.45084"/>
    <n v="122.52836000000001"/>
    <n v="125.64269"/>
    <n v="163.05307999999999"/>
    <n v="158.67818"/>
    <n v="137.26613"/>
    <n v="141.36511999999999"/>
    <n v="142.53743"/>
    <n v="145.95622"/>
    <n v="148.26054999999999"/>
    <n v="364.61248999999998"/>
    <n v="411.22413"/>
    <n v="437.30942999999996"/>
    <n v="436.75419999999997"/>
    <n v="294.21677"/>
    <n v="1649.9002500000001"/>
    <n v="-45.571820000000002"/>
    <n v="-43.734369999999998"/>
    <n v="-12.08211"/>
    <n v="-26.569900000000001"/>
    <n v="-29.465050000000002"/>
    <n v="-41.34122"/>
    <n v="-28.82743"/>
    <n v="-53.588859999999997"/>
    <n v="-52.913980000000002"/>
    <n v="-102.18186"/>
    <n v="-47.194061400000002"/>
    <n v="-103.3903055"/>
    <n v="-101.3883"/>
    <n v="-97.376170000000002"/>
    <n v="-135.33027000000001"/>
    <n v="-252.76622689999999"/>
    <n v="-150.58436689999999"/>
    <n v="-586.86096689999999"/>
  </r>
  <r>
    <x v="0"/>
    <n v="9940322165"/>
    <s v="MX SAN - SWF SANTEC"/>
    <x v="8"/>
    <x v="1"/>
    <s v="SI"/>
    <n v="0"/>
    <n v="0"/>
    <m/>
    <n v="0"/>
    <n v="0"/>
    <n v="0"/>
    <n v="0"/>
    <n v="0"/>
    <n v="0"/>
    <m/>
    <m/>
    <m/>
    <n v="0"/>
    <n v="0"/>
    <n v="0"/>
    <n v="0"/>
    <n v="0"/>
    <n v="0"/>
    <n v="0"/>
    <n v="0"/>
    <m/>
    <n v="0"/>
    <n v="0"/>
    <n v="0"/>
    <n v="0"/>
    <n v="0"/>
    <n v="0"/>
    <m/>
    <m/>
    <m/>
    <n v="0"/>
    <n v="0"/>
    <n v="0"/>
    <n v="0"/>
    <n v="0"/>
    <n v="0"/>
  </r>
  <r>
    <x v="0"/>
    <n v="9940490800"/>
    <s v="SAP_Axial_Ph 1_SOW 1"/>
    <x v="9"/>
    <x v="4"/>
    <s v="CON"/>
    <n v="32.261110000000002"/>
    <n v="30.808029999999999"/>
    <n v="27.249659999999999"/>
    <n v="25.269670000000001"/>
    <n v="27.0581"/>
    <n v="19.616800000000001"/>
    <n v="27.845330000000001"/>
    <n v="23.765969999999999"/>
    <n v="23.708369999999999"/>
    <n v="24.203379999999999"/>
    <n v="9.7291694500000006"/>
    <n v="15.33212885"/>
    <n v="90.31880000000001"/>
    <n v="71.944569999999999"/>
    <n v="75.319670000000002"/>
    <n v="49.2646783"/>
    <n v="25.061298300000001"/>
    <n v="286.8477183"/>
    <n v="12.04377"/>
    <n v="11.412100000000001"/>
    <n v="9.8211499999999994"/>
    <n v="8.4816099999999999"/>
    <n v="9.6385100000000001"/>
    <n v="1.92353"/>
    <n v="9.3168900000000008"/>
    <n v="8.1602700000000006"/>
    <n v="8.4835499999999993"/>
    <n v="8.7066199999999991"/>
    <n v="0.62188235000000003"/>
    <n v="5.2291344000000004"/>
    <n v="33.27702"/>
    <n v="20.04365"/>
    <n v="25.960709999999999"/>
    <n v="14.55763675"/>
    <n v="5.8510167500000003"/>
    <n v="93.839016749999999"/>
  </r>
  <r>
    <x v="0"/>
    <n v="9940490800"/>
    <s v="SAP_Axial_Ph 1_SOW 1"/>
    <x v="9"/>
    <x v="4"/>
    <s v="SC"/>
    <n v="6.7918099999999999"/>
    <n v="6.4859"/>
    <n v="5.7367699999999999"/>
    <n v="5.3199300000000003"/>
    <n v="5.6964399999999999"/>
    <n v="4.1298599999999999"/>
    <n v="5.8621800000000004"/>
    <n v="5.0033599999999998"/>
    <n v="4.9912299999999998"/>
    <n v="5.0954600000000001"/>
    <n v="2.0482461999999999"/>
    <n v="3.2278166000000001"/>
    <n v="19.014479999999999"/>
    <n v="15.146229999999999"/>
    <n v="15.856769999999999"/>
    <n v="10.371522800000001"/>
    <n v="5.2760628000000001"/>
    <n v="60.389002799999993"/>
    <n v="2.5355400000000001"/>
    <n v="2.4025400000000001"/>
    <n v="2.06759"/>
    <n v="1.7856000000000001"/>
    <n v="2.0291600000000001"/>
    <n v="0.40495999999999999"/>
    <n v="1.9614499999999999"/>
    <n v="1.71793"/>
    <n v="1.786"/>
    <n v="1.8329800000000001"/>
    <n v="0.1309226"/>
    <n v="1.1008704"/>
    <n v="7.0056700000000003"/>
    <n v="4.2197200000000006"/>
    <n v="5.4653799999999997"/>
    <n v="3.0647729999999997"/>
    <n v="1.2317930000000001"/>
    <n v="19.755542999999999"/>
  </r>
  <r>
    <x v="0"/>
    <n v="9940490800"/>
    <s v="SAP_Axial_Ph 1_SOW 1"/>
    <x v="9"/>
    <x v="4"/>
    <s v="SI"/>
    <n v="130.74242000000001"/>
    <n v="124.8536"/>
    <n v="110.43283"/>
    <n v="102.40867"/>
    <n v="109.65652"/>
    <n v="79.499660000000006"/>
    <n v="112.84684"/>
    <n v="96.314700000000002"/>
    <n v="96.081280000000007"/>
    <n v="98.087379999999996"/>
    <n v="39.428739350000001"/>
    <n v="62.135469550000003"/>
    <n v="366.02885000000003"/>
    <n v="291.56484999999998"/>
    <n v="305.24281999999999"/>
    <n v="199.65158890000001"/>
    <n v="101.56420890000001"/>
    <n v="1162.4881089"/>
    <n v="48.809069999999998"/>
    <n v="46.24906"/>
    <n v="39.80151"/>
    <n v="34.372860000000003"/>
    <n v="39.061259999999997"/>
    <n v="7.7953599999999996"/>
    <n v="37.757930000000002"/>
    <n v="33.070549999999997"/>
    <n v="34.380710000000001"/>
    <n v="35.284730000000003"/>
    <n v="2.5202600500000001"/>
    <n v="21.191755199999999"/>
    <n v="134.85964000000001"/>
    <n v="81.229480000000009"/>
    <n v="105.20919000000001"/>
    <n v="58.996745250000004"/>
    <n v="23.71201525"/>
    <n v="380.29505525000002"/>
  </r>
  <r>
    <x v="0"/>
    <n v="9940566312"/>
    <s v="VIVA - Data Strategy"/>
    <x v="10"/>
    <x v="1"/>
    <s v="CON"/>
    <m/>
    <m/>
    <m/>
    <m/>
    <m/>
    <n v="0"/>
    <n v="105.84327"/>
    <n v="81.045140000000004"/>
    <n v="90.060580000000002"/>
    <n v="14.707079999999999"/>
    <n v="0"/>
    <n v="0"/>
    <n v="0"/>
    <n v="0"/>
    <n v="276.94899000000004"/>
    <n v="14.707079999999999"/>
    <n v="0"/>
    <n v="291.65607000000006"/>
    <m/>
    <m/>
    <m/>
    <m/>
    <m/>
    <n v="0"/>
    <n v="50.814360000000001"/>
    <n v="38.174259999999997"/>
    <n v="40.764249999999997"/>
    <n v="-12.793200000000001"/>
    <n v="6.6792353999999996"/>
    <n v="-1.1048435999999999"/>
    <n v="0"/>
    <n v="0"/>
    <n v="129.75287"/>
    <n v="-7.2188082000000007"/>
    <n v="5.5743917999999999"/>
    <n v="122.5340618"/>
  </r>
  <r>
    <x v="0"/>
    <n v="9940566312"/>
    <s v="VIVA - Data Strategy"/>
    <x v="10"/>
    <x v="1"/>
    <s v="SC"/>
    <m/>
    <m/>
    <m/>
    <m/>
    <m/>
    <n v="0"/>
    <n v="101.69256"/>
    <n v="77.866889999999998"/>
    <n v="86.528790000000001"/>
    <n v="14.130319999999999"/>
    <n v="0"/>
    <n v="0"/>
    <n v="0"/>
    <n v="0"/>
    <n v="266.08823999999998"/>
    <n v="14.130319999999999"/>
    <n v="0"/>
    <n v="280.21855999999997"/>
    <m/>
    <m/>
    <m/>
    <m/>
    <m/>
    <n v="0"/>
    <n v="48.821640000000002"/>
    <n v="36.677219999999998"/>
    <n v="39.165619999999997"/>
    <n v="-12.291539999999999"/>
    <n v="6.4173045999999996"/>
    <n v="-1.0615163999999999"/>
    <n v="0"/>
    <n v="0"/>
    <n v="124.66448"/>
    <n v="-6.9357518000000002"/>
    <n v="5.3557881999999992"/>
    <n v="117.72872819999999"/>
  </r>
  <r>
    <x v="0"/>
    <n v="9940280146"/>
    <s v="New IT Agreement 2018"/>
    <x v="11"/>
    <x v="0"/>
    <s v="AMS"/>
    <n v="86.111680000000007"/>
    <n v="95.454999999999998"/>
    <n v="85.069119999999998"/>
    <n v="75"/>
    <n v="85.000280000000004"/>
    <n v="86.044799999999995"/>
    <n v="89.05668"/>
    <n v="88.961590000000001"/>
    <n v="90.992810000000006"/>
    <n v="106.40233000000001"/>
    <n v="90.149952999999996"/>
    <n v="90.149952999999996"/>
    <n v="266.63580000000002"/>
    <n v="246.04507999999998"/>
    <n v="269.01107999999999"/>
    <n v="286.70223599999997"/>
    <n v="180.29990599999999"/>
    <n v="1068.394196"/>
    <n v="25.79532"/>
    <n v="29.281310000000001"/>
    <n v="31.802849999999999"/>
    <n v="28.096820000000001"/>
    <n v="30.76136"/>
    <n v="30.02129"/>
    <n v="28.47936"/>
    <n v="31.328199999999999"/>
    <n v="30.366009999999999"/>
    <n v="35.493729999999999"/>
    <n v="30.384191999999999"/>
    <n v="29.574881000000001"/>
    <n v="86.879480000000001"/>
    <n v="88.879469999999998"/>
    <n v="90.173569999999998"/>
    <n v="95.452803000000003"/>
    <n v="59.959073000000004"/>
    <n v="361.38532300000003"/>
  </r>
  <r>
    <x v="0"/>
    <n v="9940477325"/>
    <s v="UP Transformación SAP"/>
    <x v="12"/>
    <x v="0"/>
    <s v="SI"/>
    <n v="76.272499999999994"/>
    <n v="0"/>
    <n v="141.72022000000001"/>
    <n v="38.343060000000001"/>
    <n v="42.68824"/>
    <n v="44.416609999999999"/>
    <n v="19.54926"/>
    <n v="3.25074"/>
    <n v="2.6189499999999999"/>
    <n v="8.7553300000000007"/>
    <n v="0"/>
    <n v="0"/>
    <n v="217.99272000000002"/>
    <n v="125.44791000000001"/>
    <n v="25.418950000000002"/>
    <n v="8.7553300000000007"/>
    <n v="0"/>
    <n v="377.61491000000007"/>
    <n v="-35.58343"/>
    <n v="-95.754559999999998"/>
    <n v="104.75716"/>
    <n v="6.2073700000000001"/>
    <n v="17.717759999999998"/>
    <n v="11.529960000000001"/>
    <n v="4.2615299999999996"/>
    <n v="2.4288799999999999"/>
    <n v="-4.5893800000000002"/>
    <n v="8.3374500000000005"/>
    <n v="0"/>
    <n v="0"/>
    <n v="-26.580829999999992"/>
    <n v="35.455089999999998"/>
    <n v="2.1010299999999997"/>
    <n v="8.3374500000000005"/>
    <n v="0"/>
    <n v="19.312740000000005"/>
  </r>
  <r>
    <x v="0"/>
    <n v="9940540140"/>
    <s v="IPADE MIGRACION DATOS"/>
    <x v="12"/>
    <x v="1"/>
    <s v="CON"/>
    <n v="0"/>
    <n v="0"/>
    <n v="0"/>
    <m/>
    <m/>
    <m/>
    <m/>
    <m/>
    <m/>
    <m/>
    <m/>
    <m/>
    <n v="0"/>
    <n v="0"/>
    <n v="0"/>
    <n v="0"/>
    <n v="0"/>
    <n v="0"/>
    <n v="-0.1368"/>
    <n v="-0.10324"/>
    <n v="-0.11959"/>
    <m/>
    <m/>
    <m/>
    <m/>
    <m/>
    <m/>
    <m/>
    <m/>
    <m/>
    <n v="-0.35963000000000001"/>
    <n v="0"/>
    <n v="0"/>
    <n v="0"/>
    <n v="0"/>
    <n v="-0.35963000000000001"/>
  </r>
  <r>
    <x v="0"/>
    <n v="9940547100"/>
    <s v="KOF Procurement Nexus"/>
    <x v="13"/>
    <x v="4"/>
    <s v="CON"/>
    <n v="0"/>
    <n v="54.048839999999998"/>
    <n v="27.851880000000001"/>
    <n v="27.3"/>
    <n v="26.962129999999998"/>
    <n v="18.020630000000001"/>
    <n v="0"/>
    <n v="0"/>
    <n v="0"/>
    <n v="0"/>
    <n v="15.030798000000001"/>
    <n v="15.030798000000001"/>
    <n v="81.900720000000007"/>
    <n v="72.282759999999996"/>
    <n v="0"/>
    <n v="30.061596000000002"/>
    <n v="30.061596000000002"/>
    <n v="184.24507600000001"/>
    <n v="0"/>
    <n v="-121.71382"/>
    <n v="21.054290000000002"/>
    <n v="24.715630000000001"/>
    <n v="21.67427"/>
    <n v="13.66249"/>
    <n v="-3.3771800000000001"/>
    <n v="-3.2413799999999999"/>
    <n v="-3.3412899999999999"/>
    <n v="-3.3925800000000002"/>
    <n v="4.551876"/>
    <n v="9.4731059999999996"/>
    <n v="-100.65952999999999"/>
    <n v="60.052389999999995"/>
    <n v="-9.9598499999999994"/>
    <n v="10.632401999999999"/>
    <n v="14.024982"/>
    <n v="-39.934587999999991"/>
  </r>
  <r>
    <x v="0"/>
    <n v="9940547100"/>
    <s v="KOF Procurement Nexus"/>
    <x v="13"/>
    <x v="4"/>
    <s v="SI"/>
    <m/>
    <m/>
    <n v="0"/>
    <n v="0"/>
    <n v="0"/>
    <n v="0"/>
    <n v="0"/>
    <n v="0"/>
    <n v="0"/>
    <n v="2.5522800000000001"/>
    <n v="2.5221179999999999"/>
    <n v="2.5221179999999999"/>
    <n v="0"/>
    <n v="0"/>
    <n v="0"/>
    <n v="7.5965160000000003"/>
    <n v="5.0442359999999997"/>
    <n v="7.5965160000000003"/>
    <m/>
    <m/>
    <n v="0"/>
    <n v="0"/>
    <n v="0"/>
    <n v="-24.24156"/>
    <n v="-24.148099999999999"/>
    <n v="-23.78012"/>
    <n v="-19.372299999999999"/>
    <n v="-13.54646"/>
    <n v="-5.2992480000000004"/>
    <n v="2.3299859999999999"/>
    <n v="0"/>
    <n v="-24.24156"/>
    <n v="-67.300519999999992"/>
    <n v="-16.515722000000004"/>
    <n v="-2.9692620000000005"/>
    <n v="-108.05780200000001"/>
  </r>
  <r>
    <x v="0"/>
    <n v="9940547100"/>
    <s v="KOF Procurement Nexus"/>
    <x v="13"/>
    <x v="4"/>
    <s v="BPMS"/>
    <m/>
    <n v="125.14848000000001"/>
    <n v="0"/>
    <n v="63.797719999999998"/>
    <n v="92.075519999999997"/>
    <n v="95.917289999999994"/>
    <n v="96.019779999999997"/>
    <n v="92.158289999999994"/>
    <n v="128.31177"/>
    <n v="209.58063999999999"/>
    <n v="164.786292"/>
    <n v="596.39552400000002"/>
    <n v="125.14848000000001"/>
    <n v="251.79052999999999"/>
    <n v="316.48983999999996"/>
    <n v="970.76245600000004"/>
    <n v="761.18181600000003"/>
    <n v="1664.1913060000002"/>
    <m/>
    <n v="-24.526710000000001"/>
    <n v="-43.147799999999997"/>
    <n v="2.7017199999999999"/>
    <n v="-36.629689999999997"/>
    <n v="-27.541129999999999"/>
    <n v="-67.092259999999996"/>
    <n v="-258.43337000000002"/>
    <n v="-269.55680000000001"/>
    <n v="-233.57353000000001"/>
    <n v="-126.167484"/>
    <n v="344.73939000000001"/>
    <n v="-67.674509999999998"/>
    <n v="-61.469099999999997"/>
    <n v="-595.08243000000004"/>
    <n v="-15.001623999999993"/>
    <n v="218.57190600000001"/>
    <n v="-739.227664"/>
  </r>
  <r>
    <x v="0"/>
    <n v="9940416068"/>
    <s v="AMIS - MX Licencia AIP"/>
    <x v="14"/>
    <x v="0"/>
    <s v="AMS"/>
    <n v="0"/>
    <n v="0"/>
    <n v="0"/>
    <n v="0"/>
    <n v="0"/>
    <n v="0"/>
    <n v="0"/>
    <n v="0"/>
    <n v="0"/>
    <m/>
    <m/>
    <m/>
    <n v="0"/>
    <n v="0"/>
    <n v="0"/>
    <n v="0"/>
    <n v="0"/>
    <n v="0"/>
    <n v="1.9500999999999999"/>
    <n v="1.9777400000000001"/>
    <n v="1.9748399999999999"/>
    <n v="1.9775400000000001"/>
    <n v="0"/>
    <n v="0"/>
    <n v="0"/>
    <n v="0"/>
    <n v="0"/>
    <m/>
    <m/>
    <m/>
    <n v="5.9026800000000001"/>
    <n v="1.9775400000000001"/>
    <n v="0"/>
    <n v="0"/>
    <n v="0"/>
    <n v="7.8802200000000004"/>
  </r>
  <r>
    <x v="0"/>
    <n v="9940565208"/>
    <s v="AWS_Pegasus Mexico GTM"/>
    <x v="15"/>
    <x v="3"/>
    <s v="SI"/>
    <m/>
    <m/>
    <m/>
    <m/>
    <m/>
    <n v="6.8599800000000002"/>
    <n v="1.1902600000000001"/>
    <n v="106.83123000000001"/>
    <n v="174.29733999999999"/>
    <n v="275.93660999999997"/>
    <n v="191.01428000000001"/>
    <n v="174.27543"/>
    <n v="0"/>
    <n v="6.8599800000000002"/>
    <n v="282.31882999999999"/>
    <n v="641.22631999999999"/>
    <n v="365.28971000000001"/>
    <n v="930.40512999999999"/>
    <m/>
    <m/>
    <m/>
    <m/>
    <m/>
    <n v="3.25197"/>
    <n v="0.52612999999999999"/>
    <n v="57.23198"/>
    <n v="86.498320000000007"/>
    <n v="144.02152000000001"/>
    <n v="88.22072"/>
    <n v="79.413880000000006"/>
    <n v="0"/>
    <n v="3.25197"/>
    <n v="144.25643000000002"/>
    <n v="311.65611999999999"/>
    <n v="167.63460000000001"/>
    <n v="459.16452000000004"/>
  </r>
  <r>
    <x v="0"/>
    <n v="9940503547"/>
    <s v="Mining Technical Writer"/>
    <x v="16"/>
    <x v="0"/>
    <s v="SI"/>
    <n v="5.1970000000000002E-2"/>
    <n v="12.277089999999999"/>
    <n v="0"/>
    <n v="0"/>
    <n v="0"/>
    <n v="0"/>
    <n v="0"/>
    <n v="0"/>
    <n v="0"/>
    <n v="0"/>
    <n v="0"/>
    <n v="0"/>
    <n v="12.32906"/>
    <n v="0"/>
    <n v="0"/>
    <n v="0"/>
    <n v="0"/>
    <n v="12.32906"/>
    <n v="-0.89732000000000001"/>
    <n v="4.0953900000000001"/>
    <n v="-1.0579499999999999"/>
    <n v="-1.00895"/>
    <n v="-1.00895"/>
    <n v="-1.00895"/>
    <n v="-0.99895"/>
    <n v="-0.99895"/>
    <n v="-0.99895"/>
    <n v="-0.99895"/>
    <n v="-0.99895"/>
    <n v="-0.99895"/>
    <n v="2.14012"/>
    <n v="-3.02685"/>
    <n v="-2.9968500000000002"/>
    <n v="-2.9968500000000002"/>
    <n v="-1.9979"/>
    <n v="-6.8804300000000005"/>
  </r>
  <r>
    <x v="0"/>
    <n v="9940090675"/>
    <s v="Mexicana Kaizen # 219931"/>
    <x v="17"/>
    <x v="1"/>
    <s v="SC"/>
    <n v="0"/>
    <n v="0"/>
    <m/>
    <m/>
    <n v="0"/>
    <m/>
    <n v="0"/>
    <m/>
    <m/>
    <m/>
    <m/>
    <m/>
    <n v="0"/>
    <n v="0"/>
    <n v="0"/>
    <n v="0"/>
    <n v="0"/>
    <n v="0"/>
    <n v="0"/>
    <n v="0"/>
    <m/>
    <m/>
    <n v="0"/>
    <m/>
    <n v="0"/>
    <m/>
    <m/>
    <m/>
    <m/>
    <m/>
    <n v="0"/>
    <n v="0"/>
    <n v="0"/>
    <n v="0"/>
    <n v="0"/>
    <n v="0"/>
  </r>
  <r>
    <x v="0"/>
    <n v="9940531677"/>
    <s v="MX Actinver - SOC 3 años"/>
    <x v="18"/>
    <x v="2"/>
    <s v="IMS"/>
    <n v="0"/>
    <n v="13.12044"/>
    <n v="0"/>
    <n v="0"/>
    <n v="0"/>
    <n v="0"/>
    <n v="0"/>
    <n v="0"/>
    <n v="0"/>
    <n v="0"/>
    <n v="0"/>
    <n v="0"/>
    <n v="13.12044"/>
    <n v="0"/>
    <n v="0"/>
    <n v="0"/>
    <n v="0"/>
    <n v="13.12044"/>
    <n v="0.14688000000000001"/>
    <n v="12.54344"/>
    <n v="-4.7230000000000001E-2"/>
    <n v="0.48846000000000001"/>
    <n v="0.50111000000000006"/>
    <n v="0.52220999999999995"/>
    <n v="2.0799999999999998E-3"/>
    <n v="2E-3"/>
    <n v="2.0600000000000002E-3"/>
    <n v="2.0600000000000002E-3"/>
    <n v="-2.8448959999999999"/>
    <n v="0"/>
    <n v="12.643089999999999"/>
    <n v="1.5117799999999999"/>
    <n v="6.1400000000000005E-3"/>
    <n v="-2.8428359999999997"/>
    <n v="-2.8448959999999999"/>
    <n v="11.318173999999999"/>
  </r>
  <r>
    <x v="0"/>
    <n v="9940578543"/>
    <s v="Italika - Agentes Search"/>
    <x v="19"/>
    <x v="5"/>
    <s v="CON"/>
    <m/>
    <m/>
    <m/>
    <m/>
    <m/>
    <m/>
    <m/>
    <m/>
    <m/>
    <n v="0"/>
    <n v="83.929480799999993"/>
    <n v="83.929480799999993"/>
    <n v="0"/>
    <n v="0"/>
    <n v="0"/>
    <n v="167.85896159999999"/>
    <n v="167.85896159999999"/>
    <n v="167.85896159999999"/>
    <m/>
    <m/>
    <m/>
    <m/>
    <m/>
    <m/>
    <m/>
    <m/>
    <m/>
    <n v="0"/>
    <n v="37.4124762"/>
    <n v="36.573180600000001"/>
    <n v="0"/>
    <n v="0"/>
    <n v="0"/>
    <n v="73.985656800000001"/>
    <n v="73.985656800000001"/>
    <n v="73.985656800000001"/>
  </r>
  <r>
    <x v="0"/>
    <n v="9940425273"/>
    <s v="E2E - Bimbo TPO expansion"/>
    <x v="2"/>
    <x v="1"/>
    <s v="CON"/>
    <n v="9.2767900000000001"/>
    <n v="8.0124600000000008"/>
    <n v="9.2639399999999998"/>
    <n v="43.635019999999997"/>
    <n v="18.807790000000001"/>
    <n v="53.115340000000003"/>
    <n v="31.786570000000001"/>
    <n v="30.366299999999999"/>
    <n v="34.672759999999997"/>
    <n v="34.055929999999996"/>
    <n v="53.7472992"/>
    <n v="0"/>
    <n v="26.553190000000001"/>
    <n v="115.55815"/>
    <n v="96.82562999999999"/>
    <n v="87.803229200000004"/>
    <n v="53.7472992"/>
    <n v="326.74019920000001"/>
    <n v="3.7353999999999998"/>
    <n v="3.32884"/>
    <n v="3.7778"/>
    <n v="16.81664"/>
    <n v="2.6383899999999998"/>
    <n v="20.40315"/>
    <n v="12.782400000000001"/>
    <n v="11.932919999999999"/>
    <n v="13.88552"/>
    <n v="13.65368"/>
    <n v="22.4935452"/>
    <n v="-0.88183199999999995"/>
    <n v="10.842040000000001"/>
    <n v="39.858180000000004"/>
    <n v="38.600839999999998"/>
    <n v="35.265393199999998"/>
    <n v="21.611713200000001"/>
    <n v="124.56645320000001"/>
  </r>
  <r>
    <x v="0"/>
    <n v="9940364931"/>
    <s v="Data &amp; Analytics Framework"/>
    <x v="3"/>
    <x v="0"/>
    <s v="CON"/>
    <n v="4.5960900000000002"/>
    <n v="4.8905900000000004"/>
    <n v="4.08317"/>
    <n v="3.8424900000000002"/>
    <n v="4.9545899999999996"/>
    <n v="4.5656600000000003"/>
    <n v="4.7914000000000003"/>
    <n v="4.0552299999999999"/>
    <n v="6.13469"/>
    <n v="3.8233700000000002"/>
    <n v="5.2224437999999997"/>
    <n v="4.2"/>
    <n v="13.569849999999999"/>
    <n v="13.362739999999999"/>
    <n v="14.98132"/>
    <n v="13.245813800000001"/>
    <n v="9.4224437999999999"/>
    <n v="55.159723800000002"/>
    <n v="1.46733"/>
    <n v="1.7508900000000001"/>
    <n v="1.0778399999999999"/>
    <n v="0.94940999999999998"/>
    <n v="1.9355"/>
    <n v="1.5559400000000001"/>
    <n v="1.60765"/>
    <n v="0.97082999999999997"/>
    <n v="3.2532800000000002"/>
    <n v="0.9113"/>
    <n v="2.6683425999999999"/>
    <n v="0.50201200000000001"/>
    <n v="4.2960599999999998"/>
    <n v="4.4408500000000002"/>
    <n v="5.8317600000000001"/>
    <n v="4.0816545999999994"/>
    <n v="3.1703546"/>
    <n v="18.650324600000001"/>
  </r>
  <r>
    <x v="0"/>
    <n v="9940364931"/>
    <s v="Data &amp; Analytics Framework"/>
    <x v="3"/>
    <x v="0"/>
    <s v="SI"/>
    <n v="28.233129999999999"/>
    <n v="30.042210000000001"/>
    <n v="25.0823"/>
    <n v="23.6038"/>
    <n v="30.435359999999999"/>
    <n v="28.04617"/>
    <n v="29.43289"/>
    <n v="24.910699999999999"/>
    <n v="37.684530000000002"/>
    <n v="23.486329999999999"/>
    <n v="32.080726200000001"/>
    <n v="25.8"/>
    <n v="83.357640000000004"/>
    <n v="82.085329999999999"/>
    <n v="92.028120000000001"/>
    <n v="81.367056199999993"/>
    <n v="57.880726199999998"/>
    <n v="338.83814619999998"/>
    <n v="9.0136500000000002"/>
    <n v="10.75562"/>
    <n v="6.6210899999999997"/>
    <n v="5.8319799999999997"/>
    <n v="11.88968"/>
    <n v="9.5579499999999999"/>
    <n v="9.8757300000000008"/>
    <n v="5.9637399999999996"/>
    <n v="19.984400000000001"/>
    <n v="5.5979000000000001"/>
    <n v="16.391247400000001"/>
    <n v="3.0837880000000002"/>
    <n v="26.390359999999998"/>
    <n v="27.279609999999998"/>
    <n v="35.823869999999999"/>
    <n v="25.072935399999999"/>
    <n v="19.475035400000003"/>
    <n v="114.56677539999998"/>
  </r>
  <r>
    <x v="0"/>
    <n v="9940258710"/>
    <s v="KOF Application Outsourcing"/>
    <x v="13"/>
    <x v="4"/>
    <s v="AMS"/>
    <n v="48.78546"/>
    <n v="47.42568"/>
    <n v="46.946489999999997"/>
    <n v="36.033450000000002"/>
    <n v="32.455710000000003"/>
    <n v="37.506180000000001"/>
    <n v="42.56514"/>
    <n v="36.875309999999999"/>
    <n v="34.706249999999997"/>
    <n v="38.30997"/>
    <n v="34.07394"/>
    <n v="29.722850699999999"/>
    <n v="143.15762999999998"/>
    <n v="105.99534"/>
    <n v="114.1467"/>
    <n v="102.1067607"/>
    <n v="63.796790700000003"/>
    <n v="465.40643069999999"/>
    <n v="10.19031"/>
    <n v="7.0980600000000003"/>
    <n v="12.46149"/>
    <n v="3.47628"/>
    <n v="-2.15028"/>
    <n v="9.0273299999999992"/>
    <n v="8.2699800000000003"/>
    <n v="6.7787699999999997"/>
    <n v="6.6"/>
    <n v="1.9085700000000001"/>
    <n v="7.8645237000000003"/>
    <n v="7.3955307000000001"/>
    <n v="29.749859999999998"/>
    <n v="10.35333"/>
    <n v="21.64875"/>
    <n v="17.168624399999999"/>
    <n v="15.260054400000001"/>
    <n v="78.920564399999989"/>
  </r>
  <r>
    <x v="0"/>
    <n v="9940494556"/>
    <s v="Data Governance Imp_Phase 2"/>
    <x v="2"/>
    <x v="0"/>
    <s v="SI"/>
    <n v="0"/>
    <m/>
    <n v="0"/>
    <m/>
    <n v="0"/>
    <m/>
    <m/>
    <m/>
    <m/>
    <n v="0"/>
    <m/>
    <m/>
    <n v="0"/>
    <n v="0"/>
    <n v="0"/>
    <n v="0"/>
    <n v="0"/>
    <n v="0"/>
    <n v="0"/>
    <m/>
    <n v="0"/>
    <m/>
    <n v="0"/>
    <m/>
    <m/>
    <m/>
    <m/>
    <n v="0"/>
    <m/>
    <m/>
    <n v="0"/>
    <n v="0"/>
    <n v="0"/>
    <n v="0"/>
    <n v="0"/>
    <n v="0"/>
  </r>
  <r>
    <x v="0"/>
    <n v="9940334193"/>
    <s v="Newmont IT Capacity Services"/>
    <x v="16"/>
    <x v="2"/>
    <s v="AMS"/>
    <n v="4.3214699999999997"/>
    <n v="4.9359900000000003"/>
    <n v="4.29061"/>
    <n v="4.9054900000000004"/>
    <n v="4.8612599999999997"/>
    <n v="4.1573399999999996"/>
    <n v="4.8612299999999999"/>
    <n v="5.1178999999999997"/>
    <n v="4.3083400000000003"/>
    <n v="5.4418100000000003"/>
    <n v="5.1059881000000003"/>
    <n v="5.0878572000000002"/>
    <n v="13.548069999999999"/>
    <n v="13.92409"/>
    <n v="14.287469999999999"/>
    <n v="15.635655300000002"/>
    <n v="10.1938453"/>
    <n v="57.395285300000005"/>
    <n v="0.67974999999999997"/>
    <n v="1.2435099999999999"/>
    <n v="1.30827"/>
    <n v="1.8910800000000001"/>
    <n v="1.3690599999999999"/>
    <n v="0.16624"/>
    <n v="0.99450000000000005"/>
    <n v="2.38951"/>
    <n v="1.15351"/>
    <n v="1.5331600000000001"/>
    <n v="1.5091281999999999"/>
    <n v="1.402466"/>
    <n v="3.2315300000000002"/>
    <n v="3.42638"/>
    <n v="4.5375199999999998"/>
    <n v="4.4447542000000002"/>
    <n v="2.9115941999999997"/>
    <n v="15.6401842"/>
  </r>
  <r>
    <x v="0"/>
    <n v="9940334193"/>
    <s v="Newmont IT Capacity Services"/>
    <x v="16"/>
    <x v="2"/>
    <s v="IMS"/>
    <n v="3.7460100000000001"/>
    <n v="3.6359699999999999"/>
    <n v="3.0397599999999998"/>
    <n v="3.0280999999999998"/>
    <n v="3.6221800000000002"/>
    <n v="3.0384799999999998"/>
    <n v="3.4956499999999999"/>
    <n v="3.2374900000000002"/>
    <n v="3.0303399999999998"/>
    <n v="3.4275899999999999"/>
    <n v="3.9632638"/>
    <n v="3.6354948"/>
    <n v="10.42174"/>
    <n v="9.6887600000000003"/>
    <n v="9.7634800000000013"/>
    <n v="11.0263486"/>
    <n v="7.5987586"/>
    <n v="40.900328600000002"/>
    <n v="1.35683"/>
    <n v="1.04871"/>
    <n v="0.79015999999999997"/>
    <n v="0.83987999999999996"/>
    <n v="1.3320000000000001"/>
    <n v="1.0795600000000001"/>
    <n v="1.03332"/>
    <n v="1.2256100000000001"/>
    <n v="0.96306000000000003"/>
    <n v="0.93391999999999997"/>
    <n v="0.86555159999999998"/>
    <n v="0.86706760000000005"/>
    <n v="3.1957000000000004"/>
    <n v="3.2514399999999997"/>
    <n v="3.2219900000000004"/>
    <n v="2.6665391999999999"/>
    <n v="1.7326192"/>
    <n v="12.335669200000002"/>
  </r>
  <r>
    <x v="0"/>
    <n v="9940506422"/>
    <s v="HOLD - Hellerman Tyton Redes"/>
    <x v="20"/>
    <x v="1"/>
    <s v="CON"/>
    <n v="-9.1808800000000002"/>
    <m/>
    <m/>
    <n v="0"/>
    <n v="0"/>
    <n v="0"/>
    <m/>
    <m/>
    <n v="0"/>
    <m/>
    <m/>
    <m/>
    <n v="-9.1808800000000002"/>
    <n v="0"/>
    <n v="0"/>
    <n v="0"/>
    <n v="0"/>
    <n v="-9.1808800000000002"/>
    <n v="-12.665509999999999"/>
    <m/>
    <m/>
    <n v="0"/>
    <n v="0"/>
    <n v="0"/>
    <m/>
    <m/>
    <n v="0"/>
    <m/>
    <m/>
    <m/>
    <n v="-12.665509999999999"/>
    <n v="0"/>
    <n v="0"/>
    <n v="0"/>
    <n v="0"/>
    <n v="-12.665509999999999"/>
  </r>
  <r>
    <x v="0"/>
    <n v="9940522388"/>
    <s v="DESC_Células analíticas 2025"/>
    <x v="21"/>
    <x v="0"/>
    <s v="CON"/>
    <n v="-8.94E-3"/>
    <n v="0"/>
    <n v="0"/>
    <n v="0"/>
    <n v="0"/>
    <n v="0"/>
    <n v="0"/>
    <n v="0"/>
    <m/>
    <m/>
    <m/>
    <m/>
    <n v="-8.94E-3"/>
    <n v="0"/>
    <n v="0"/>
    <n v="0"/>
    <n v="0"/>
    <n v="-8.94E-3"/>
    <n v="-1.0363899999999999"/>
    <n v="-0.76963000000000004"/>
    <n v="-0.29988999999999999"/>
    <n v="-0.28342000000000001"/>
    <n v="-6.5360000000000001E-2"/>
    <n v="0"/>
    <n v="0"/>
    <n v="0"/>
    <m/>
    <m/>
    <m/>
    <m/>
    <n v="-2.1059099999999997"/>
    <n v="-0.34877999999999998"/>
    <n v="0"/>
    <n v="0"/>
    <n v="0"/>
    <n v="-2.4546899999999998"/>
  </r>
  <r>
    <x v="0"/>
    <n v="9940534372"/>
    <s v="AC - Implementación OTM Perú"/>
    <x v="13"/>
    <x v="0"/>
    <s v="SI"/>
    <n v="29.667120000000001"/>
    <n v="35.406619999999997"/>
    <n v="30.91046"/>
    <n v="10.4795"/>
    <n v="0"/>
    <n v="0"/>
    <n v="29.752739999999999"/>
    <n v="0"/>
    <n v="0"/>
    <n v="0"/>
    <n v="0"/>
    <n v="0"/>
    <n v="95.984200000000001"/>
    <n v="10.4795"/>
    <n v="29.752739999999999"/>
    <n v="0"/>
    <n v="0"/>
    <n v="136.21644000000001"/>
    <n v="8.2256999999999998"/>
    <n v="10.77154"/>
    <n v="8.5102399999999996"/>
    <n v="-12.429600000000001"/>
    <n v="-6.1102999999999996"/>
    <n v="-1.3584400000000001"/>
    <n v="27.096679999999999"/>
    <n v="-1.5288999999999999"/>
    <n v="-0.58208000000000004"/>
    <n v="-0.58353999999999995"/>
    <n v="-0.24088999999999999"/>
    <n v="0"/>
    <n v="27.507479999999997"/>
    <n v="-19.898340000000001"/>
    <n v="24.985699999999998"/>
    <n v="-0.82443"/>
    <n v="-0.24088999999999999"/>
    <n v="31.770409999999991"/>
  </r>
  <r>
    <x v="0"/>
    <n v="9940517574"/>
    <s v="MX Gentera - MBA Digital EXCO"/>
    <x v="22"/>
    <x v="1"/>
    <s v="CON"/>
    <n v="4.3962599999999998"/>
    <n v="0"/>
    <n v="0"/>
    <m/>
    <m/>
    <m/>
    <n v="0"/>
    <n v="0"/>
    <n v="0"/>
    <n v="0"/>
    <m/>
    <m/>
    <n v="4.3962599999999998"/>
    <n v="0"/>
    <n v="0"/>
    <n v="0"/>
    <n v="0"/>
    <n v="4.3962599999999998"/>
    <n v="-13.085520000000001"/>
    <n v="17.672599999999999"/>
    <n v="0.104"/>
    <m/>
    <m/>
    <m/>
    <n v="0"/>
    <n v="0"/>
    <n v="0"/>
    <n v="0"/>
    <m/>
    <m/>
    <n v="4.6910799999999986"/>
    <n v="0"/>
    <n v="0"/>
    <n v="0"/>
    <n v="0"/>
    <n v="4.6910799999999986"/>
  </r>
  <r>
    <x v="0"/>
    <n v="9940164708"/>
    <s v="OXXO - Application development"/>
    <x v="5"/>
    <x v="0"/>
    <s v="AMS"/>
    <n v="0"/>
    <n v="0"/>
    <n v="0"/>
    <n v="0"/>
    <n v="1.4859899999999999"/>
    <m/>
    <m/>
    <m/>
    <m/>
    <m/>
    <m/>
    <m/>
    <n v="0"/>
    <n v="1.4859899999999999"/>
    <n v="0"/>
    <n v="0"/>
    <n v="0"/>
    <n v="1.4859899999999999"/>
    <n v="-0.31874999999999998"/>
    <n v="-0.16119"/>
    <n v="-0.15648000000000001"/>
    <n v="-0.2208"/>
    <n v="0.74807999999999997"/>
    <m/>
    <m/>
    <m/>
    <m/>
    <m/>
    <m/>
    <m/>
    <n v="-0.63641999999999999"/>
    <n v="0.52727999999999997"/>
    <n v="0"/>
    <n v="0"/>
    <n v="0"/>
    <n v="-0.10914000000000001"/>
  </r>
  <r>
    <x v="0"/>
    <n v="9940250928"/>
    <s v="MX SAN - Nomina Dig onboarding"/>
    <x v="8"/>
    <x v="1"/>
    <s v="CON"/>
    <n v="1.69116"/>
    <n v="1.7470000000000001"/>
    <n v="1.56714"/>
    <n v="1.3571500000000001"/>
    <n v="1.6101399999999999"/>
    <n v="1.6558299999999999"/>
    <n v="1.7021299999999999"/>
    <n v="1.62212"/>
    <n v="1.7289699999999999"/>
    <n v="1.7781199999999999"/>
    <n v="1.8390788"/>
    <n v="1.8507776"/>
    <n v="5.0053000000000001"/>
    <n v="4.6231200000000001"/>
    <n v="5.0532199999999996"/>
    <n v="5.4679763999999995"/>
    <n v="3.6898564"/>
    <n v="20.149616399999999"/>
    <n v="1.45231"/>
    <n v="1.5062199999999999"/>
    <n v="1.3280700000000001"/>
    <n v="1.12022"/>
    <n v="1.37195"/>
    <n v="1.39242"/>
    <n v="1.454"/>
    <n v="1.38561"/>
    <n v="1.4872700000000001"/>
    <n v="1.53722"/>
    <n v="1.6011131999999999"/>
    <n v="-1.1329692"/>
    <n v="4.2866"/>
    <n v="3.8845899999999998"/>
    <n v="4.3268800000000001"/>
    <n v="2.0053640000000001"/>
    <n v="0.46814399999999989"/>
    <n v="14.503433999999999"/>
  </r>
  <r>
    <x v="0"/>
    <n v="9940250928"/>
    <s v="MX SAN - Nomina Dig onboarding"/>
    <x v="8"/>
    <x v="1"/>
    <s v="SI"/>
    <n v="2.93011"/>
    <n v="3.0268700000000002"/>
    <n v="2.7152599999999998"/>
    <n v="2.3513899999999999"/>
    <n v="2.7897500000000002"/>
    <n v="2.8689"/>
    <n v="2.9491399999999999"/>
    <n v="2.8104900000000002"/>
    <n v="2.9956399999999999"/>
    <n v="3.0807799999999999"/>
    <n v="3.1864080000000001"/>
    <n v="3.2066808"/>
    <n v="8.6722399999999986"/>
    <n v="8.01004"/>
    <n v="8.7552699999999994"/>
    <n v="9.4738688"/>
    <n v="6.3930888000000001"/>
    <n v="34.9114188"/>
    <n v="2.5681400000000001"/>
    <n v="2.66886"/>
    <n v="2.3525800000000001"/>
    <n v="2.0036800000000001"/>
    <n v="2.79149"/>
    <n v="2.8416399999999999"/>
    <n v="2.5827200000000001"/>
    <n v="2.4685700000000002"/>
    <n v="2.63855"/>
    <n v="2.6763300000000001"/>
    <n v="3.1829719999999999"/>
    <n v="3.2028596"/>
    <n v="7.5895799999999998"/>
    <n v="7.6368100000000005"/>
    <n v="7.6898400000000002"/>
    <n v="9.0621615999999996"/>
    <n v="6.3858315999999995"/>
    <n v="31.978391599999998"/>
  </r>
  <r>
    <x v="0"/>
    <n v="9940250928"/>
    <s v="MX SAN - Nomina Dig onboarding"/>
    <x v="8"/>
    <x v="1"/>
    <s v="AMS"/>
    <n v="3.2805499999999999"/>
    <n v="3.38889"/>
    <n v="3.04"/>
    <n v="2.6326200000000002"/>
    <n v="3.1234000000000002"/>
    <n v="3.2120299999999999"/>
    <n v="3.30186"/>
    <n v="3.14663"/>
    <n v="3.3539099999999999"/>
    <n v="3.4492400000000001"/>
    <n v="3.5675032"/>
    <n v="3.5902004000000001"/>
    <n v="9.7094400000000007"/>
    <n v="8.9680499999999999"/>
    <n v="9.8023999999999987"/>
    <n v="10.606943600000001"/>
    <n v="7.1577035999999996"/>
    <n v="39.086833599999999"/>
    <n v="0.67083000000000004"/>
    <n v="1.15394"/>
    <n v="1.58666"/>
    <n v="0.17978"/>
    <n v="0.53190999999999999"/>
    <n v="0.73863000000000001"/>
    <n v="1.89876"/>
    <n v="-2.7269999999999999E-2"/>
    <n v="-2.664E-2"/>
    <n v="-0.32386999999999999"/>
    <n v="2.1637591999999999"/>
    <n v="1.1697624"/>
    <n v="3.4114300000000002"/>
    <n v="1.4503200000000001"/>
    <n v="1.8448500000000001"/>
    <n v="3.0096515999999998"/>
    <n v="3.3335216000000001"/>
    <n v="9.7162515999999997"/>
  </r>
  <r>
    <x v="0"/>
    <n v="9940534052"/>
    <s v="DESC_Capacitación PBI Resirene"/>
    <x v="21"/>
    <x v="1"/>
    <s v="CON"/>
    <n v="0"/>
    <m/>
    <m/>
    <m/>
    <n v="0"/>
    <m/>
    <m/>
    <m/>
    <m/>
    <n v="0"/>
    <m/>
    <m/>
    <n v="0"/>
    <n v="0"/>
    <n v="0"/>
    <n v="0"/>
    <n v="0"/>
    <n v="0"/>
    <n v="-0.17538999999999999"/>
    <m/>
    <m/>
    <m/>
    <n v="0"/>
    <m/>
    <m/>
    <m/>
    <m/>
    <n v="0"/>
    <m/>
    <m/>
    <n v="-0.17538999999999999"/>
    <n v="0"/>
    <n v="0"/>
    <n v="0"/>
    <n v="0"/>
    <n v="-0.17538999999999999"/>
  </r>
  <r>
    <x v="0"/>
    <n v="9940537104"/>
    <s v="CITI GRU Transformation US 80%"/>
    <x v="6"/>
    <x v="0"/>
    <s v="CON"/>
    <m/>
    <m/>
    <m/>
    <m/>
    <m/>
    <n v="63.72"/>
    <n v="63.72"/>
    <n v="63.72"/>
    <n v="63.72"/>
    <n v="63.72"/>
    <n v="63.72"/>
    <n v="63.72"/>
    <n v="0"/>
    <n v="63.72"/>
    <n v="191.16"/>
    <n v="191.16"/>
    <n v="127.44"/>
    <n v="446.03999999999996"/>
    <m/>
    <m/>
    <m/>
    <m/>
    <m/>
    <n v="63.72"/>
    <n v="63.181049999999999"/>
    <n v="25.19049"/>
    <n v="14.828950000000001"/>
    <n v="8.3814499999999992"/>
    <n v="33.2766254"/>
    <n v="18.487478899999999"/>
    <n v="0"/>
    <n v="63.72"/>
    <n v="103.20049"/>
    <n v="60.145554300000001"/>
    <n v="51.7641043"/>
    <n v="227.06604429999999"/>
  </r>
  <r>
    <x v="0"/>
    <n v="9940537104"/>
    <s v="CITI GRU Transformation US 80%"/>
    <x v="6"/>
    <x v="0"/>
    <s v="SI"/>
    <m/>
    <m/>
    <m/>
    <m/>
    <m/>
    <n v="44.28"/>
    <n v="44.28"/>
    <n v="44.28"/>
    <n v="44.28"/>
    <n v="44.28"/>
    <n v="44.28"/>
    <n v="44.28"/>
    <n v="0"/>
    <n v="44.28"/>
    <n v="132.84"/>
    <n v="132.84"/>
    <n v="88.56"/>
    <n v="309.96000000000004"/>
    <m/>
    <m/>
    <m/>
    <m/>
    <m/>
    <n v="44.28"/>
    <n v="43.69614"/>
    <n v="2.5396999999999998"/>
    <n v="-8.6852999999999998"/>
    <n v="-15.67009"/>
    <n v="23.124434600000001"/>
    <n v="12.8472311"/>
    <n v="0"/>
    <n v="44.28"/>
    <n v="37.550539999999998"/>
    <n v="20.301575700000001"/>
    <n v="35.971665700000003"/>
    <n v="102.1321157"/>
  </r>
  <r>
    <x v="0"/>
    <n v="9940277877"/>
    <s v="DEVELOPMENT OPERATIONS SERVICES"/>
    <x v="3"/>
    <x v="0"/>
    <s v="AMS"/>
    <n v="35.823239999999998"/>
    <n v="36.178469999999997"/>
    <n v="27.922329999999999"/>
    <n v="28.266590000000001"/>
    <n v="21.979900000000001"/>
    <n v="23.15166"/>
    <n v="21.24194"/>
    <n v="18.939050000000002"/>
    <n v="14.459250000000001"/>
    <n v="16.498069999999998"/>
    <n v="15.6365575"/>
    <n v="16.430720000000001"/>
    <n v="99.924040000000005"/>
    <n v="73.398150000000001"/>
    <n v="54.640240000000006"/>
    <n v="48.565347500000001"/>
    <n v="32.067277500000003"/>
    <n v="276.52777750000001"/>
    <n v="11.89673"/>
    <n v="11.971970000000001"/>
    <n v="11.15025"/>
    <n v="8.5605200000000004"/>
    <n v="3.9702000000000002"/>
    <n v="6.6059900000000003"/>
    <n v="1.13517"/>
    <n v="2.101"/>
    <n v="0.21642"/>
    <n v="0.94762999999999997"/>
    <n v="2.2567474999999999"/>
    <n v="5.3060324999999997"/>
    <n v="35.018950000000004"/>
    <n v="19.136710000000001"/>
    <n v="3.4525899999999998"/>
    <n v="8.5104100000000003"/>
    <n v="7.5627800000000001"/>
    <n v="66.118660000000006"/>
  </r>
  <r>
    <x v="0"/>
    <n v="9940473405"/>
    <s v="Ford-ADAS Embedded SoftwareFY23"/>
    <x v="23"/>
    <x v="2"/>
    <s v="AMS"/>
    <n v="-7.2936100000000001"/>
    <m/>
    <m/>
    <m/>
    <m/>
    <m/>
    <m/>
    <m/>
    <m/>
    <m/>
    <m/>
    <m/>
    <n v="-7.2936100000000001"/>
    <n v="0"/>
    <n v="0"/>
    <n v="0"/>
    <n v="0"/>
    <n v="-7.2936100000000001"/>
    <n v="-7.7476200000000004"/>
    <m/>
    <m/>
    <m/>
    <m/>
    <m/>
    <m/>
    <m/>
    <m/>
    <m/>
    <m/>
    <m/>
    <n v="-7.7476200000000004"/>
    <n v="0"/>
    <n v="0"/>
    <n v="0"/>
    <n v="0"/>
    <n v="-7.7476200000000004"/>
  </r>
  <r>
    <x v="0"/>
    <n v="9940519950"/>
    <s v="Ternium Servicio Operaciones IT"/>
    <x v="24"/>
    <x v="2"/>
    <s v="IMS"/>
    <n v="106.56952"/>
    <n v="127.1135"/>
    <n v="109.40912"/>
    <n v="112.8129"/>
    <n v="116.99764"/>
    <n v="118.27736"/>
    <n v="116.37734"/>
    <n v="111.6889"/>
    <n v="109.03578"/>
    <n v="114.65476"/>
    <n v="98.821070000000006"/>
    <n v="98.479600000000005"/>
    <n v="343.09213999999997"/>
    <n v="348.08789999999999"/>
    <n v="337.10201999999998"/>
    <n v="311.95542999999998"/>
    <n v="197.30067000000003"/>
    <n v="1340.23749"/>
    <n v="17.259840000000001"/>
    <n v="22.9438"/>
    <n v="27.610320000000002"/>
    <n v="33.14922"/>
    <n v="33.159219999999998"/>
    <n v="39.360140000000001"/>
    <n v="30.848659999999999"/>
    <n v="24.993539999999999"/>
    <n v="22.836379999999998"/>
    <n v="33.693899999999999"/>
    <n v="-14.977399999999999"/>
    <n v="17.53145"/>
    <n v="67.813960000000009"/>
    <n v="105.66857999999999"/>
    <n v="78.678579999999997"/>
    <n v="36.247950000000003"/>
    <n v="2.5540500000000002"/>
    <n v="288.40906999999999"/>
  </r>
  <r>
    <x v="0"/>
    <n v="9940564448"/>
    <s v="SP-BK-BPO-SW-Full Funnel Agency"/>
    <x v="7"/>
    <x v="3"/>
    <s v="CON"/>
    <m/>
    <m/>
    <m/>
    <m/>
    <m/>
    <n v="0"/>
    <n v="0"/>
    <n v="0"/>
    <n v="6.7569600000000003"/>
    <n v="6.7027700000000001"/>
    <n v="6.3467700000000002"/>
    <n v="6.3467700000000002"/>
    <n v="0"/>
    <n v="0"/>
    <n v="6.7569600000000003"/>
    <n v="19.39631"/>
    <n v="12.69354"/>
    <n v="26.153269999999999"/>
    <m/>
    <m/>
    <m/>
    <m/>
    <m/>
    <n v="0"/>
    <n v="0"/>
    <n v="0"/>
    <n v="2.4806400000000002"/>
    <n v="0.47433999999999998"/>
    <n v="3.9833599999999998"/>
    <n v="2.6265100000000001"/>
    <n v="0"/>
    <n v="0"/>
    <n v="2.4806400000000002"/>
    <n v="7.0842100000000006"/>
    <n v="6.6098699999999999"/>
    <n v="9.5648499999999999"/>
  </r>
  <r>
    <x v="0"/>
    <n v="9940564448"/>
    <s v="SP-BK-BPO-SW-Full Funnel Agency"/>
    <x v="7"/>
    <x v="3"/>
    <s v="BPMS"/>
    <m/>
    <m/>
    <m/>
    <m/>
    <m/>
    <n v="0"/>
    <n v="0"/>
    <n v="0"/>
    <n v="27.36919"/>
    <n v="70.453109999999995"/>
    <n v="90.898200000000003"/>
    <n v="90.898200000000003"/>
    <n v="0"/>
    <n v="0"/>
    <n v="27.36919"/>
    <n v="252.24951000000001"/>
    <n v="181.79640000000001"/>
    <n v="279.61869999999999"/>
    <m/>
    <m/>
    <m/>
    <m/>
    <m/>
    <n v="0"/>
    <n v="0"/>
    <n v="0"/>
    <n v="6.9660200000000003"/>
    <n v="20.149989999999999"/>
    <n v="9.9395699999999998"/>
    <n v="23.507090000000002"/>
    <n v="0"/>
    <n v="0"/>
    <n v="6.9660200000000003"/>
    <n v="53.596649999999997"/>
    <n v="33.446660000000001"/>
    <n v="60.562669999999997"/>
  </r>
  <r>
    <x v="0"/>
    <n v="9940565303"/>
    <s v="Supply Chain - TMS Upgrade (BY)"/>
    <x v="25"/>
    <x v="4"/>
    <s v="CON"/>
    <m/>
    <m/>
    <m/>
    <m/>
    <m/>
    <n v="15.738989999999999"/>
    <n v="128.36392000000001"/>
    <n v="127.61302000000001"/>
    <n v="-0.83797999999999995"/>
    <n v="0"/>
    <n v="0"/>
    <n v="0"/>
    <n v="0"/>
    <n v="15.738989999999999"/>
    <n v="255.13896000000003"/>
    <n v="0"/>
    <n v="0"/>
    <n v="270.87795"/>
    <m/>
    <m/>
    <m/>
    <m/>
    <m/>
    <n v="7.1787200000000002"/>
    <n v="45.761879999999998"/>
    <n v="-0.60209000000000001"/>
    <n v="-45.28434"/>
    <n v="-29.68281"/>
    <n v="135.96495999999999"/>
    <n v="0"/>
    <n v="0"/>
    <n v="7.1787200000000002"/>
    <n v="-0.12454999999999927"/>
    <n v="106.28214999999999"/>
    <n v="135.96495999999999"/>
    <n v="113.33631999999999"/>
  </r>
  <r>
    <x v="0"/>
    <n v="9940422701"/>
    <s v="MKT VISTA_INS SAGE UXR US RR RFP"/>
    <x v="26"/>
    <x v="1"/>
    <s v="CON"/>
    <n v="-5.3159999999999999E-2"/>
    <m/>
    <m/>
    <m/>
    <m/>
    <m/>
    <m/>
    <m/>
    <m/>
    <m/>
    <m/>
    <m/>
    <n v="-5.3159999999999999E-2"/>
    <n v="0"/>
    <n v="0"/>
    <n v="0"/>
    <n v="0"/>
    <n v="-5.3159999999999999E-2"/>
    <n v="-5.3690000000000002E-2"/>
    <m/>
    <m/>
    <m/>
    <m/>
    <m/>
    <m/>
    <m/>
    <m/>
    <m/>
    <m/>
    <m/>
    <n v="-5.3690000000000002E-2"/>
    <n v="0"/>
    <n v="0"/>
    <n v="0"/>
    <n v="0"/>
    <n v="-5.3690000000000002E-2"/>
  </r>
  <r>
    <x v="0"/>
    <n v="9940447844"/>
    <s v="NLBA_Global CRM Agency Expansion"/>
    <x v="27"/>
    <x v="3"/>
    <s v="CON"/>
    <n v="8.0340600000000002"/>
    <n v="8.0568200000000001"/>
    <n v="8.0572300000000006"/>
    <n v="7.94998"/>
    <n v="-5.6919999999999998E-2"/>
    <n v="0"/>
    <n v="0"/>
    <n v="-9.5000000000000001E-2"/>
    <n v="0"/>
    <n v="0"/>
    <n v="0"/>
    <n v="0"/>
    <n v="24.148109999999999"/>
    <n v="7.8930600000000002"/>
    <n v="-9.5000000000000001E-2"/>
    <n v="0"/>
    <n v="0"/>
    <n v="31.946170000000002"/>
    <n v="3.2985199999999999"/>
    <n v="2.6681900000000001"/>
    <n v="3.8269899999999999"/>
    <n v="3.59545"/>
    <n v="-0.35519000000000001"/>
    <n v="-0.15417"/>
    <n v="-9.6170000000000005E-2"/>
    <n v="-0.10667"/>
    <n v="-8.6899999999999998E-3"/>
    <n v="-8.5900000000000004E-3"/>
    <n v="-9.7499999999999998E-5"/>
    <n v="0"/>
    <n v="9.7936999999999994"/>
    <n v="3.08609"/>
    <n v="-0.21153000000000002"/>
    <n v="-8.6875000000000008E-3"/>
    <n v="-9.7499999999999998E-5"/>
    <n v="12.659572499999999"/>
  </r>
  <r>
    <x v="0"/>
    <n v="9940447844"/>
    <s v="NLBA_Global CRM Agency Expansion"/>
    <x v="27"/>
    <x v="3"/>
    <s v="BPMS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</r>
  <r>
    <x v="0"/>
    <n v="9940530688"/>
    <s v="AMIS-MX-AIP-Licency Renewal 2025"/>
    <x v="14"/>
    <x v="1"/>
    <s v="CON"/>
    <n v="14.44627"/>
    <n v="14.650969999999999"/>
    <n v="14.629490000000001"/>
    <n v="14.64954"/>
    <n v="15.02896"/>
    <n v="15.661630000000001"/>
    <n v="4.6943400000000004"/>
    <n v="0"/>
    <n v="29.253409999999999"/>
    <n v="14.663410000000001"/>
    <n v="14.4901"/>
    <n v="14.4901"/>
    <n v="43.726730000000003"/>
    <n v="45.340130000000002"/>
    <n v="33.947749999999999"/>
    <n v="43.643610000000002"/>
    <n v="28.9802"/>
    <n v="166.65822"/>
    <n v="4.1289699999999998"/>
    <n v="4.1733799999999999"/>
    <n v="4.0072700000000001"/>
    <n v="3.87907"/>
    <n v="6.0295399999999999"/>
    <n v="6.5201399999999996"/>
    <n v="-4.60372"/>
    <n v="-9.3450000000000006"/>
    <n v="21.663620000000002"/>
    <n v="6.7847499999999998"/>
    <n v="6.3887499999999999"/>
    <n v="6.2659000000000002"/>
    <n v="12.309620000000001"/>
    <n v="16.428750000000001"/>
    <n v="7.7149000000000001"/>
    <n v="19.439399999999999"/>
    <n v="12.65465"/>
    <n v="55.892670000000003"/>
  </r>
  <r>
    <x v="0"/>
    <n v="9940532944"/>
    <s v="Chedraui - Retail Media Blueprint"/>
    <x v="28"/>
    <x v="3"/>
    <s v="CON"/>
    <n v="0"/>
    <n v="0"/>
    <n v="247.07932"/>
    <n v="276.96420000000001"/>
    <n v="315.85912000000002"/>
    <n v="334.21751999999998"/>
    <n v="358.12632000000002"/>
    <n v="334.08987999999999"/>
    <n v="311.30376000000001"/>
    <n v="545.46104000000003"/>
    <n v="189.24126290000001"/>
    <n v="0"/>
    <n v="247.07932"/>
    <n v="927.04083999999989"/>
    <n v="1003.5199600000001"/>
    <n v="734.70230290000006"/>
    <n v="189.24126290000001"/>
    <n v="2912.3424229000002"/>
    <n v="-10.455310000000001"/>
    <n v="-26.533729999999998"/>
    <n v="167.35472999999999"/>
    <n v="136.35744"/>
    <n v="137.42511999999999"/>
    <n v="145.16636"/>
    <n v="153.47888"/>
    <n v="137.18915999999999"/>
    <n v="84.543840000000003"/>
    <n v="297.14819999999997"/>
    <n v="63.398725800000001"/>
    <n v="0"/>
    <n v="130.36568999999997"/>
    <n v="418.94891999999999"/>
    <n v="375.21188000000001"/>
    <n v="360.5469258"/>
    <n v="63.398725800000001"/>
    <n v="1285.0734158"/>
  </r>
  <r>
    <x v="0"/>
    <n v="9940532944"/>
    <s v="Chedraui - Retail Media Blueprint"/>
    <x v="28"/>
    <x v="3"/>
    <s v="SC"/>
    <n v="0"/>
    <n v="0"/>
    <n v="247.07932"/>
    <n v="113.1262"/>
    <n v="129.01288"/>
    <n v="136.51140000000001"/>
    <n v="146.27696"/>
    <n v="136.45923999999999"/>
    <n v="127.15219999999999"/>
    <n v="222.79392000000001"/>
    <n v="77.295727099999993"/>
    <n v="0"/>
    <n v="247.07932"/>
    <n v="378.65048000000002"/>
    <n v="409.88839999999999"/>
    <n v="300.08964709999998"/>
    <n v="77.295727099999993"/>
    <n v="1335.7078471"/>
    <n v="-10.455310000000001"/>
    <n v="-26.533729999999998"/>
    <n v="167.35472999999999"/>
    <n v="63.723799999999997"/>
    <n v="66.319760000000002"/>
    <n v="70.087999999999994"/>
    <n v="74.373679999999993"/>
    <n v="67.277879999999996"/>
    <n v="47.479759999999999"/>
    <n v="135.54884000000001"/>
    <n v="25.8952542"/>
    <n v="0"/>
    <n v="130.36568999999997"/>
    <n v="200.13156000000001"/>
    <n v="189.13131999999999"/>
    <n v="161.44409420000002"/>
    <n v="25.8952542"/>
    <n v="681.07266419999996"/>
  </r>
  <r>
    <x v="0"/>
    <n v="9940547078"/>
    <s v="MX SAN - Nomina Digital (Intern.)"/>
    <x v="8"/>
    <x v="0"/>
    <s v="C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940547078"/>
    <s v="MX SAN - Nomina Digital (Intern.)"/>
    <x v="8"/>
    <x v="0"/>
    <s v="S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940547078"/>
    <s v="MX SAN - Nomina Digital (Intern.)"/>
    <x v="8"/>
    <x v="0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940547078"/>
    <s v="MX SAN - Nomina Digital (Intern.)"/>
    <x v="8"/>
    <x v="0"/>
    <s v="AM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940547078"/>
    <s v="MX SAN - Nomina Digital (Intern.)"/>
    <x v="8"/>
    <x v="0"/>
    <s v="BPM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940548855"/>
    <s v="Proximidad - Finance Processes L4"/>
    <x v="5"/>
    <x v="1"/>
    <s v="CON"/>
    <m/>
    <n v="148.96360000000001"/>
    <n v="256.13357999999999"/>
    <n v="199.40317999999999"/>
    <n v="317.40874000000002"/>
    <n v="282.41678000000002"/>
    <n v="158.93456"/>
    <n v="220.26130000000001"/>
    <n v="141.77145999999999"/>
    <n v="33.264600000000002"/>
    <n v="0"/>
    <n v="0"/>
    <n v="405.09717999999998"/>
    <n v="799.2287"/>
    <n v="520.96731999999997"/>
    <n v="33.264600000000002"/>
    <n v="0"/>
    <n v="1758.5577999999998"/>
    <m/>
    <n v="63.667459999999998"/>
    <n v="124.22172"/>
    <n v="82.456199999999995"/>
    <n v="176.38087999999999"/>
    <n v="143.39599999999999"/>
    <n v="-6.91282"/>
    <n v="144.08860000000001"/>
    <n v="75.345420000000004"/>
    <n v="-8.6490799999999997"/>
    <n v="-30.042654899999999"/>
    <n v="-6.1665324000000004"/>
    <n v="187.88918000000001"/>
    <n v="402.23307999999997"/>
    <n v="212.52120000000002"/>
    <n v="-44.858267300000001"/>
    <n v="-36.209187299999996"/>
    <n v="757.78519270000004"/>
  </r>
  <r>
    <x v="0"/>
    <n v="9940548855"/>
    <s v="Proximidad - Finance Processes L4"/>
    <x v="5"/>
    <x v="1"/>
    <s v="SI"/>
    <m/>
    <n v="11.21232"/>
    <n v="19.278880000000001"/>
    <n v="15.008839999999999"/>
    <n v="23.890979999999999"/>
    <n v="21.257180000000002"/>
    <n v="11.962820000000001"/>
    <n v="16.578800000000001"/>
    <n v="10.67098"/>
    <n v="2.5038"/>
    <n v="0"/>
    <n v="0"/>
    <n v="30.491199999999999"/>
    <n v="60.156999999999996"/>
    <n v="39.212600000000002"/>
    <n v="2.5038"/>
    <n v="0"/>
    <n v="132.36460000000002"/>
    <m/>
    <n v="4.7921800000000001"/>
    <n v="9.3499800000000004"/>
    <n v="6.2062799999999996"/>
    <n v="13.27594"/>
    <n v="10.793200000000001"/>
    <n v="-0.52036000000000004"/>
    <n v="10.845280000000001"/>
    <n v="5.6711"/>
    <n v="-0.65102000000000004"/>
    <n v="-2.2612751000000002"/>
    <n v="-0.46414759999999999"/>
    <n v="14.142160000000001"/>
    <n v="30.275419999999997"/>
    <n v="15.996020000000001"/>
    <n v="-3.3764427000000001"/>
    <n v="-2.7254227000000002"/>
    <n v="57.037157300000004"/>
  </r>
  <r>
    <x v="0"/>
    <n v="9940548949"/>
    <s v="IPADE Modelo de datos y reporting"/>
    <x v="12"/>
    <x v="1"/>
    <s v="CON"/>
    <m/>
    <n v="5.9672099999999997"/>
    <n v="8.0134299999999996"/>
    <n v="7.9950799999999997"/>
    <n v="-3.5589999999999997E-2"/>
    <n v="1.04E-2"/>
    <n v="0"/>
    <n v="0"/>
    <m/>
    <m/>
    <m/>
    <m/>
    <n v="13.980639999999999"/>
    <n v="7.9698899999999995"/>
    <n v="0"/>
    <n v="0"/>
    <n v="0"/>
    <n v="21.950530000000001"/>
    <m/>
    <n v="3.1259100000000002"/>
    <n v="3.4018999999999999"/>
    <n v="3.4026200000000002"/>
    <n v="-5.2712500000000002"/>
    <n v="-2.3241100000000001"/>
    <n v="0"/>
    <n v="0"/>
    <m/>
    <m/>
    <m/>
    <m/>
    <n v="6.5278100000000006"/>
    <n v="-4.1927400000000006"/>
    <n v="0"/>
    <n v="0"/>
    <n v="0"/>
    <n v="2.33507"/>
  </r>
  <r>
    <x v="0"/>
    <n v="9940551082"/>
    <s v="MX SAN -Recursos Data CIB -$76.3K"/>
    <x v="8"/>
    <x v="5"/>
    <s v="SI"/>
    <m/>
    <n v="25.004110000000001"/>
    <n v="26.683689999999999"/>
    <n v="24.748860000000001"/>
    <n v="-0.13292999999999999"/>
    <n v="0"/>
    <n v="-2.3999999999999998E-3"/>
    <n v="-6.7970000000000003E-2"/>
    <m/>
    <n v="0"/>
    <m/>
    <m/>
    <n v="51.687799999999996"/>
    <n v="24.615929999999999"/>
    <n v="-7.0370000000000002E-2"/>
    <n v="0"/>
    <n v="0"/>
    <n v="76.233360000000005"/>
    <m/>
    <n v="8.6086799999999997"/>
    <n v="8.5827899999999993"/>
    <n v="6.0229600000000003"/>
    <n v="-0.65561000000000003"/>
    <n v="-0.41547000000000001"/>
    <n v="-2.3999999999999998E-3"/>
    <n v="-6.7970000000000003E-2"/>
    <m/>
    <n v="0"/>
    <m/>
    <m/>
    <n v="17.191469999999999"/>
    <n v="4.9518800000000001"/>
    <n v="-7.0370000000000002E-2"/>
    <n v="0"/>
    <n v="0"/>
    <n v="22.072979999999998"/>
  </r>
  <r>
    <x v="0"/>
    <n v="9940447770"/>
    <s v="MKT VISTA_Research SAGE Travel PRO"/>
    <x v="26"/>
    <x v="3"/>
    <s v="CON"/>
    <m/>
    <m/>
    <m/>
    <n v="175.13758000000001"/>
    <n v="119.81146"/>
    <n v="114.10616"/>
    <n v="125.51676"/>
    <n v="163.25595999999999"/>
    <n v="155.82651999999999"/>
    <n v="163.24686"/>
    <n v="163.25855999999999"/>
    <n v="155.26367999999999"/>
    <n v="0"/>
    <n v="409.05520000000001"/>
    <n v="444.59924000000001"/>
    <n v="481.76909999999998"/>
    <n v="318.52224000000001"/>
    <n v="1335.42354"/>
    <m/>
    <m/>
    <m/>
    <n v="71.270560000000003"/>
    <n v="27.933579999999999"/>
    <n v="40.041539999999998"/>
    <n v="37.545780000000001"/>
    <n v="57.145040000000002"/>
    <n v="28.61374"/>
    <n v="46.361660000000001"/>
    <n v="66.922380000000004"/>
    <n v="50.720669999999998"/>
    <n v="0"/>
    <n v="139.24567999999999"/>
    <n v="123.30456000000001"/>
    <n v="164.00470999999999"/>
    <n v="117.64305"/>
    <n v="426.55495000000002"/>
  </r>
  <r>
    <x v="0"/>
    <n v="9940542499"/>
    <s v="AP26_MX Actinver - QE core banking"/>
    <x v="18"/>
    <x v="0"/>
    <s v="SI"/>
    <m/>
    <m/>
    <m/>
    <n v="38.813809999999997"/>
    <n v="35.363779999999998"/>
    <n v="43.896749999999997"/>
    <n v="20.843540000000001"/>
    <n v="0.16375999999999999"/>
    <n v="6.4599999999999996E-3"/>
    <n v="6.1799999999999997E-3"/>
    <n v="6.985881"/>
    <n v="0"/>
    <n v="0"/>
    <n v="118.07433999999999"/>
    <n v="21.013760000000001"/>
    <n v="6.9920609999999996"/>
    <n v="6.985881"/>
    <n v="146.080161"/>
    <m/>
    <m/>
    <m/>
    <n v="15.24663"/>
    <n v="11.44868"/>
    <n v="19.984839999999998"/>
    <n v="8.3426299999999998"/>
    <n v="-0.81964000000000004"/>
    <n v="-1.02417"/>
    <n v="0.20677000000000001"/>
    <n v="2.6238608999999999"/>
    <n v="0"/>
    <n v="0"/>
    <n v="46.680149999999998"/>
    <n v="6.4988200000000003"/>
    <n v="2.8306309000000001"/>
    <n v="2.6238608999999999"/>
    <n v="56.009600900000002"/>
  </r>
  <r>
    <x v="0"/>
    <n v="9940575134"/>
    <s v="2026 | NA Payroll Assessment (JDE)"/>
    <x v="29"/>
    <x v="1"/>
    <s v="CON"/>
    <m/>
    <m/>
    <m/>
    <m/>
    <m/>
    <m/>
    <m/>
    <m/>
    <n v="0"/>
    <n v="284.57628999999997"/>
    <n v="135.03147999999999"/>
    <n v="5.2115799999999997"/>
    <n v="0"/>
    <n v="0"/>
    <n v="0"/>
    <n v="424.81934999999999"/>
    <n v="140.24305999999999"/>
    <n v="424.81934999999999"/>
    <m/>
    <m/>
    <m/>
    <m/>
    <m/>
    <m/>
    <m/>
    <m/>
    <n v="0"/>
    <n v="152.15357"/>
    <n v="41.230179999999997"/>
    <n v="-12.933"/>
    <n v="0"/>
    <n v="0"/>
    <n v="0"/>
    <n v="180.45075"/>
    <n v="28.297179999999997"/>
    <n v="180.45075"/>
  </r>
  <r>
    <x v="0"/>
    <n v="9940397792"/>
    <s v="L'Oréal Neo Roll-Out - Central Team"/>
    <x v="30"/>
    <x v="4"/>
    <s v="CON"/>
    <m/>
    <m/>
    <m/>
    <m/>
    <m/>
    <n v="0.57160999999999995"/>
    <n v="0.57699"/>
    <n v="0.83703000000000005"/>
    <n v="0.70601999999999998"/>
    <n v="1.0819000000000001"/>
    <n v="1.1152987560000001"/>
    <n v="0.92675700000000005"/>
    <n v="0"/>
    <n v="0.57160999999999995"/>
    <n v="2.1200399999999999"/>
    <n v="3.123955756"/>
    <n v="2.0420557559999999"/>
    <n v="5.8156057560000001"/>
    <m/>
    <m/>
    <m/>
    <m/>
    <m/>
    <n v="0.25789000000000001"/>
    <n v="0.14354"/>
    <n v="0.36363000000000001"/>
    <n v="0.26429999999999998"/>
    <n v="0.47119"/>
    <n v="0.37459967999999999"/>
    <n v="0.30026256000000001"/>
    <n v="0"/>
    <n v="0.25789000000000001"/>
    <n v="0.77146999999999999"/>
    <n v="1.1460522399999999"/>
    <n v="0.67486223999999995"/>
    <n v="2.17541224"/>
  </r>
  <r>
    <x v="0"/>
    <n v="9940397792"/>
    <s v="L'Oréal Neo Roll-Out - Central Team"/>
    <x v="30"/>
    <x v="4"/>
    <s v="SI"/>
    <m/>
    <m/>
    <m/>
    <m/>
    <m/>
    <n v="3.8254000000000001"/>
    <n v="3.8613900000000001"/>
    <n v="5.6016599999999999"/>
    <n v="4.7249400000000001"/>
    <n v="7.2403899999999997"/>
    <n v="7.4639224439999996"/>
    <n v="6.2021430000000004"/>
    <n v="0"/>
    <n v="3.8254000000000001"/>
    <n v="14.187989999999999"/>
    <n v="20.906455443999999"/>
    <n v="13.666065444000001"/>
    <n v="38.919845444000003"/>
    <m/>
    <m/>
    <m/>
    <m/>
    <m/>
    <n v="1.5247900000000001"/>
    <n v="0.68271000000000004"/>
    <n v="2.13009"/>
    <n v="1.48566"/>
    <n v="2.76186"/>
    <n v="2.5069363199999999"/>
    <n v="2.00944944"/>
    <n v="0"/>
    <n v="1.5247900000000001"/>
    <n v="4.2984600000000004"/>
    <n v="7.2782457599999999"/>
    <n v="4.5163857600000004"/>
    <n v="13.101495760000001"/>
  </r>
  <r>
    <x v="0"/>
    <n v="9940499510"/>
    <s v="SP-BK-JV Smart Assistant Dev Q224MX"/>
    <x v="7"/>
    <x v="0"/>
    <s v="SI"/>
    <n v="11.98413"/>
    <n v="15.35421"/>
    <n v="15.11078"/>
    <n v="10.41118"/>
    <n v="14.277329999999999"/>
    <n v="17.984290000000001"/>
    <n v="13.747719999999999"/>
    <n v="20.26577"/>
    <n v="19.280380000000001"/>
    <n v="24.223990000000001"/>
    <n v="17.479150000000001"/>
    <n v="18.117660000000001"/>
    <n v="42.449120000000001"/>
    <n v="42.672800000000002"/>
    <n v="53.293869999999998"/>
    <n v="59.820800000000006"/>
    <n v="35.596810000000005"/>
    <n v="198.23659000000004"/>
    <n v="3.9304199999999998"/>
    <n v="6.5246399999999998"/>
    <n v="5.8244499999999997"/>
    <n v="4.6267399999999999"/>
    <n v="5.5214100000000004"/>
    <n v="7.3871700000000002"/>
    <n v="2.5411700000000002"/>
    <n v="9.37195"/>
    <n v="7.6352500000000001"/>
    <n v="9.0970200000000006"/>
    <n v="6.9278199999999996"/>
    <n v="6.6655300000000004"/>
    <n v="16.279509999999998"/>
    <n v="17.535320000000002"/>
    <n v="19.548369999999998"/>
    <n v="22.690370000000001"/>
    <n v="13.593350000000001"/>
    <n v="76.053570000000008"/>
  </r>
  <r>
    <x v="0"/>
    <n v="9940564207"/>
    <s v="MX SAN - Asistentes Virt REG $27.5k"/>
    <x v="8"/>
    <x v="5"/>
    <s v="SI"/>
    <m/>
    <m/>
    <m/>
    <m/>
    <m/>
    <n v="0"/>
    <n v="23.733699999999999"/>
    <n v="2.06284"/>
    <n v="8.8611799999999992"/>
    <n v="2.2587000000000002"/>
    <n v="0"/>
    <n v="0"/>
    <n v="0"/>
    <n v="0"/>
    <n v="34.657719999999998"/>
    <n v="2.2587000000000002"/>
    <n v="0"/>
    <n v="36.916419999999995"/>
    <m/>
    <m/>
    <m/>
    <m/>
    <m/>
    <n v="0"/>
    <n v="7.91465"/>
    <n v="-4.4340400000000004"/>
    <n v="2.5011399999999999"/>
    <n v="1.8092900000000001"/>
    <n v="8.5029999999999994E-2"/>
    <n v="0"/>
    <n v="0"/>
    <n v="0"/>
    <n v="5.9817499999999999"/>
    <n v="1.89432"/>
    <n v="8.5029999999999994E-2"/>
    <n v="7.8760700000000003"/>
  </r>
  <r>
    <x v="0"/>
    <n v="9940572727"/>
    <s v="Metlife-MX-Intent driven care - NBM"/>
    <x v="31"/>
    <x v="3"/>
    <s v="CON"/>
    <m/>
    <m/>
    <m/>
    <m/>
    <m/>
    <m/>
    <m/>
    <n v="0"/>
    <n v="156.94951"/>
    <n v="127.34797"/>
    <n v="60.8429"/>
    <n v="16.89828"/>
    <n v="0"/>
    <n v="0"/>
    <n v="156.94951"/>
    <n v="205.08915000000002"/>
    <n v="77.74118"/>
    <n v="362.03866000000005"/>
    <m/>
    <m/>
    <m/>
    <m/>
    <m/>
    <m/>
    <m/>
    <n v="0"/>
    <n v="67.161199999999994"/>
    <n v="25.277170000000002"/>
    <n v="17.682130000000001"/>
    <n v="4.0189199999999996"/>
    <n v="0"/>
    <n v="0"/>
    <n v="67.161199999999994"/>
    <n v="46.97822"/>
    <n v="21.701050000000002"/>
    <n v="114.13942"/>
  </r>
  <r>
    <x v="0"/>
    <n v="9940480171"/>
    <s v="MX-BK-AMS JMR POST D&amp;D Services 2024"/>
    <x v="7"/>
    <x v="0"/>
    <s v="AMS"/>
    <m/>
    <m/>
    <m/>
    <m/>
    <m/>
    <m/>
    <n v="150.33302"/>
    <n v="122.18156"/>
    <n v="133.81012999999999"/>
    <n v="138.82980000000001"/>
    <n v="178.11303000000001"/>
    <n v="179.90831399999999"/>
    <n v="0"/>
    <n v="0"/>
    <n v="406.32470999999998"/>
    <n v="496.85114399999998"/>
    <n v="358.021344"/>
    <n v="903.17585399999996"/>
    <m/>
    <m/>
    <m/>
    <m/>
    <m/>
    <m/>
    <n v="55.426450000000003"/>
    <n v="39.471339999999998"/>
    <n v="42.558199999999999"/>
    <n v="32.372010000000003"/>
    <n v="37.146585000000002"/>
    <n v="50.006202000000002"/>
    <n v="0"/>
    <n v="0"/>
    <n v="137.45598999999999"/>
    <n v="119.52479700000001"/>
    <n v="87.152787000000004"/>
    <n v="256.98078699999996"/>
  </r>
  <r>
    <x v="0"/>
    <n v="9940576284"/>
    <s v="MX Gentera - North Star Core. Fase 1"/>
    <x v="22"/>
    <x v="0"/>
    <s v="CON"/>
    <m/>
    <m/>
    <m/>
    <m/>
    <m/>
    <m/>
    <m/>
    <m/>
    <n v="0"/>
    <n v="105.55453"/>
    <n v="133.9511856"/>
    <n v="35.308636800000002"/>
    <n v="0"/>
    <n v="0"/>
    <n v="0"/>
    <n v="274.81435240000002"/>
    <n v="169.25982240000002"/>
    <n v="274.81435240000002"/>
    <m/>
    <m/>
    <m/>
    <m/>
    <m/>
    <m/>
    <m/>
    <m/>
    <n v="0"/>
    <n v="52.325719999999997"/>
    <n v="60.277286400000001"/>
    <n v="0.57372000000000001"/>
    <n v="0"/>
    <n v="0"/>
    <n v="0"/>
    <n v="113.17672639999999"/>
    <n v="60.851006400000003"/>
    <n v="113.17672639999999"/>
  </r>
  <r>
    <x v="0"/>
    <n v="9940576284"/>
    <s v="MX Gentera - North Star Core. Fase 1"/>
    <x v="22"/>
    <x v="0"/>
    <s v="SI"/>
    <m/>
    <m/>
    <m/>
    <m/>
    <m/>
    <m/>
    <m/>
    <m/>
    <n v="0"/>
    <n v="114.35074"/>
    <n v="145.11378439999999"/>
    <n v="38.251023199999999"/>
    <n v="0"/>
    <n v="0"/>
    <n v="0"/>
    <n v="297.71554759999998"/>
    <n v="183.36480759999998"/>
    <n v="297.71554759999998"/>
    <m/>
    <m/>
    <m/>
    <m/>
    <m/>
    <m/>
    <m/>
    <m/>
    <n v="0"/>
    <n v="49.293340000000001"/>
    <n v="65.300393600000007"/>
    <n v="0.62153000000000003"/>
    <n v="0"/>
    <n v="0"/>
    <n v="0"/>
    <n v="115.21526360000001"/>
    <n v="65.921923600000014"/>
    <n v="115.21526360000001"/>
  </r>
  <r>
    <x v="0"/>
    <n v="9940505640"/>
    <s v="Digital&amp;Data Managed Services RFP 50%"/>
    <x v="16"/>
    <x v="0"/>
    <s v="CON"/>
    <n v="72.687719999999999"/>
    <n v="85.815359999999998"/>
    <n v="62.642229999999998"/>
    <n v="3.6503299999999999"/>
    <n v="0"/>
    <n v="97.761259999999993"/>
    <n v="114.59764"/>
    <n v="65.002380000000002"/>
    <n v="78.097359999999995"/>
    <n v="93.065349999999995"/>
    <n v="128.59448209999999"/>
    <n v="112.95811930000001"/>
    <n v="221.14530999999999"/>
    <n v="101.41158999999999"/>
    <n v="257.69738000000001"/>
    <n v="334.61795139999998"/>
    <n v="241.55260140000001"/>
    <n v="914.87223139999992"/>
    <n v="47.955959999999997"/>
    <n v="15.83433"/>
    <n v="24.399270000000001"/>
    <n v="-30.49785"/>
    <n v="-26.086849999999998"/>
    <n v="71.504009999999994"/>
    <n v="73.318600000000004"/>
    <n v="25.905830000000002"/>
    <n v="32.022840000000002"/>
    <n v="35.854790000000001"/>
    <n v="67.232530299999993"/>
    <n v="50.4059721"/>
    <n v="88.18956"/>
    <n v="14.919309999999996"/>
    <n v="131.24727000000001"/>
    <n v="153.49329239999997"/>
    <n v="117.63850239999999"/>
    <n v="387.84943239999996"/>
  </r>
  <r>
    <x v="0"/>
    <n v="9940505640"/>
    <s v="Digital&amp;Data Managed Services RFP 50%"/>
    <x v="16"/>
    <x v="0"/>
    <s v="SI"/>
    <n v="186.91127"/>
    <n v="220.66807"/>
    <n v="161.08001999999999"/>
    <n v="6.7791800000000002"/>
    <n v="0"/>
    <n v="181.55663999999999"/>
    <n v="255.07216"/>
    <n v="144.68270999999999"/>
    <n v="173.82961"/>
    <n v="207.14546000000001"/>
    <n v="286.22642789999998"/>
    <n v="251.42291069999999"/>
    <n v="568.65935999999999"/>
    <n v="188.33581999999998"/>
    <n v="573.58447999999999"/>
    <n v="744.79479859999992"/>
    <n v="537.64933859999996"/>
    <n v="2075.3744585999998"/>
    <n v="126.36109999999999"/>
    <n v="49.335239999999999"/>
    <n v="67.450689999999994"/>
    <n v="-56.638890000000004"/>
    <n v="-48.447009999999999"/>
    <n v="132.79317"/>
    <n v="163.19299000000001"/>
    <n v="57.661349999999999"/>
    <n v="71.276650000000004"/>
    <n v="79.805819999999997"/>
    <n v="149.6465997"/>
    <n v="112.19393789999999"/>
    <n v="243.14702999999997"/>
    <n v="27.707269999999994"/>
    <n v="292.13099"/>
    <n v="341.64635759999999"/>
    <n v="261.8405376"/>
    <n v="904.63164759999995"/>
  </r>
  <r>
    <x v="0"/>
    <n v="9940505640"/>
    <s v="Digital&amp;Data Managed Services RFP 50%"/>
    <x v="16"/>
    <x v="0"/>
    <s v="AMS"/>
    <n v="227.14021"/>
    <n v="217.48250999999999"/>
    <n v="216.70249000000001"/>
    <n v="191.56594999999999"/>
    <n v="147.70735999999999"/>
    <n v="93.597340000000003"/>
    <n v="132.41800000000001"/>
    <n v="98.118889999999993"/>
    <n v="93.186999999999998"/>
    <n v="113.33476"/>
    <n v="116.87401"/>
    <n v="109.95001000000001"/>
    <n v="661.32520999999997"/>
    <n v="432.87064999999996"/>
    <n v="323.72388999999998"/>
    <n v="340.15878000000004"/>
    <n v="226.82402000000002"/>
    <n v="1758.0785299999998"/>
    <n v="-7.2318600000000002"/>
    <n v="164.95983000000001"/>
    <n v="87.764020000000002"/>
    <n v="48.953440000000001"/>
    <n v="22.81202"/>
    <n v="-18.235959999999999"/>
    <n v="26.64433"/>
    <n v="17.08501"/>
    <n v="31.599080000000001"/>
    <n v="20.430879999999998"/>
    <n v="43.776200000000003"/>
    <n v="30.859729999999999"/>
    <n v="245.49198999999999"/>
    <n v="53.529500000000006"/>
    <n v="75.328419999999994"/>
    <n v="95.066810000000004"/>
    <n v="74.635930000000002"/>
    <n v="469.41671999999994"/>
  </r>
  <r>
    <x v="0"/>
    <n v="9940509186"/>
    <s v="MX SAN - Data Snowflake Migración BOR"/>
    <x v="8"/>
    <x v="0"/>
    <s v="SI"/>
    <n v="10.76055"/>
    <n v="0"/>
    <n v="0"/>
    <n v="0"/>
    <n v="0"/>
    <n v="-1.66404"/>
    <n v="0"/>
    <m/>
    <n v="0"/>
    <m/>
    <m/>
    <m/>
    <n v="10.76055"/>
    <n v="-1.66404"/>
    <n v="0"/>
    <n v="0"/>
    <n v="0"/>
    <n v="9.0965100000000003"/>
    <n v="-14.87374"/>
    <n v="-11.455880000000001"/>
    <n v="1.45513"/>
    <n v="-9.7439999999999999E-2"/>
    <n v="-0.38363000000000003"/>
    <n v="-1.90978"/>
    <n v="0"/>
    <m/>
    <n v="0"/>
    <m/>
    <m/>
    <m/>
    <n v="-24.874489999999998"/>
    <n v="-2.3908499999999999"/>
    <n v="0"/>
    <n v="0"/>
    <n v="0"/>
    <n v="-27.265339999999998"/>
  </r>
  <r>
    <x v="0"/>
    <n v="9940525535"/>
    <s v="MX SAN - Asistentes virtuales Digital"/>
    <x v="8"/>
    <x v="3"/>
    <s v="SI"/>
    <n v="0"/>
    <n v="0"/>
    <m/>
    <m/>
    <m/>
    <n v="0"/>
    <n v="0"/>
    <m/>
    <n v="0"/>
    <n v="0"/>
    <m/>
    <m/>
    <n v="0"/>
    <n v="0"/>
    <n v="0"/>
    <n v="0"/>
    <n v="0"/>
    <n v="0"/>
    <n v="3.1932499999999999"/>
    <n v="0"/>
    <m/>
    <m/>
    <m/>
    <n v="0"/>
    <n v="0"/>
    <m/>
    <n v="0"/>
    <n v="0"/>
    <m/>
    <m/>
    <n v="3.1932499999999999"/>
    <n v="0"/>
    <n v="0"/>
    <n v="0"/>
    <n v="0"/>
    <n v="3.1932499999999999"/>
  </r>
  <r>
    <x v="0"/>
    <n v="9940559900"/>
    <s v="MX SAN - Migración Tableau a Power BI"/>
    <x v="8"/>
    <x v="0"/>
    <s v="SI"/>
    <m/>
    <m/>
    <m/>
    <m/>
    <n v="8.2942599999999995"/>
    <n v="32.905630000000002"/>
    <n v="13.960050000000001"/>
    <n v="0.78163000000000005"/>
    <n v="0"/>
    <n v="-1.0000000000000001E-5"/>
    <n v="0"/>
    <n v="0"/>
    <n v="0"/>
    <n v="41.199890000000003"/>
    <n v="14.741680000000001"/>
    <n v="-1.0000000000000001E-5"/>
    <n v="0"/>
    <n v="55.941560000000003"/>
    <m/>
    <m/>
    <m/>
    <m/>
    <n v="3.1568700000000001"/>
    <n v="12.383100000000001"/>
    <n v="-7.1753999999999998"/>
    <n v="-0.29952000000000001"/>
    <n v="-0.57552999999999999"/>
    <n v="-0.64854999999999996"/>
    <n v="0"/>
    <n v="0"/>
    <n v="0"/>
    <n v="15.53997"/>
    <n v="-8.0504499999999997"/>
    <n v="-0.64854999999999996"/>
    <n v="0"/>
    <n v="6.8409700000000004"/>
  </r>
  <r>
    <x v="0"/>
    <n v="9940500613"/>
    <s v="KOF Promo V0 y V1 &amp; Dynamic Pricing V1"/>
    <x v="13"/>
    <x v="3"/>
    <s v="CON"/>
    <n v="489.06529999999998"/>
    <n v="459.22989999999999"/>
    <n v="446.99329999999998"/>
    <n v="337.08305999999999"/>
    <n v="260.19389999999999"/>
    <n v="230.9228"/>
    <n v="-7.8483299999999998"/>
    <n v="193.91637"/>
    <n v="204.10927000000001"/>
    <n v="235.78076999999999"/>
    <n v="320.31074999999998"/>
    <n v="0"/>
    <n v="1395.2885000000001"/>
    <n v="828.19975999999997"/>
    <n v="390.17731000000003"/>
    <n v="556.09151999999995"/>
    <n v="320.31074999999998"/>
    <n v="3169.7570900000001"/>
    <n v="146.91533000000001"/>
    <n v="126.03891"/>
    <n v="120.15446"/>
    <n v="59.998959999999997"/>
    <n v="-5.0120399999999998"/>
    <n v="66.754019999999997"/>
    <n v="-206.28442999999999"/>
    <n v="14.193849999999999"/>
    <n v="28.37527"/>
    <n v="35.160670000000003"/>
    <n v="35.984900000000003"/>
    <n v="-180.30394999999999"/>
    <n v="393.1087"/>
    <n v="121.74093999999999"/>
    <n v="-163.71530999999999"/>
    <n v="-109.15837999999998"/>
    <n v="-144.31904999999998"/>
    <n v="241.97595000000007"/>
  </r>
  <r>
    <x v="0"/>
    <n v="9940534232"/>
    <s v="CITI-MX-Adobe Migration for Separation"/>
    <x v="6"/>
    <x v="3"/>
    <s v="AMS"/>
    <n v="0"/>
    <n v="0"/>
    <n v="11.928800000000001"/>
    <n v="42.322879999999998"/>
    <n v="43.419040000000003"/>
    <n v="45.246830000000003"/>
    <n v="45.295189999999998"/>
    <n v="43.473599999999998"/>
    <n v="63.452649999999998"/>
    <n v="66.952600000000004"/>
    <n v="57.805396000000002"/>
    <n v="57.805396000000002"/>
    <n v="11.928800000000001"/>
    <n v="130.98874999999998"/>
    <n v="152.22144"/>
    <n v="182.56339200000002"/>
    <n v="115.610792"/>
    <n v="477.702382"/>
    <n v="-0.29955999999999999"/>
    <n v="-10.600989999999999"/>
    <n v="-17.511220000000002"/>
    <n v="11.96791"/>
    <n v="4.4611599999999996"/>
    <n v="5.9426399999999999"/>
    <n v="14.85914"/>
    <n v="20.900880000000001"/>
    <n v="25.685320000000001"/>
    <n v="26.587669999999999"/>
    <n v="17.561508"/>
    <n v="27.630188"/>
    <n v="-28.411770000000001"/>
    <n v="22.37171"/>
    <n v="61.445340000000002"/>
    <n v="71.779365999999996"/>
    <n v="45.191696"/>
    <n v="127.184646"/>
  </r>
  <r>
    <x v="0"/>
    <n v="9940540197"/>
    <s v="Rebate Holding L'Oreal Amer Latina Mex"/>
    <x v="30"/>
    <x v="3"/>
    <s v="CON"/>
    <n v="0"/>
    <n v="0"/>
    <n v="0"/>
    <n v="1E-4"/>
    <n v="0"/>
    <n v="0"/>
    <n v="0"/>
    <n v="0"/>
    <n v="0"/>
    <n v="0"/>
    <n v="0"/>
    <n v="0"/>
    <n v="0"/>
    <n v="1E-4"/>
    <n v="0"/>
    <n v="0"/>
    <n v="0"/>
    <n v="1E-4"/>
    <n v="0"/>
    <n v="0"/>
    <n v="2.4930000000000001E-2"/>
    <n v="2.5069999999999999E-2"/>
    <n v="5.0900000000000001E-2"/>
    <n v="6.4689999999999998E-2"/>
    <n v="3.9910000000000001E-2"/>
    <n v="3.8300000000000001E-2"/>
    <n v="3.9480000000000001E-2"/>
    <n v="3.9579999999999997E-2"/>
    <n v="-0.32457000000000003"/>
    <n v="0"/>
    <n v="2.4930000000000001E-2"/>
    <n v="0.14066000000000001"/>
    <n v="0.11769"/>
    <n v="-0.28499000000000002"/>
    <n v="-0.32457000000000003"/>
    <n v="-1.7099999999999893E-3"/>
  </r>
  <r>
    <x v="0"/>
    <n v="9940572803"/>
    <s v="MX Gentera - Arquitectura People datos"/>
    <x v="22"/>
    <x v="0"/>
    <s v="SI"/>
    <m/>
    <m/>
    <m/>
    <m/>
    <m/>
    <m/>
    <m/>
    <n v="10.123239999999999"/>
    <n v="77.437579999999997"/>
    <n v="19.23114"/>
    <n v="30.416640000000001"/>
    <n v="0"/>
    <n v="0"/>
    <n v="0"/>
    <n v="87.560819999999993"/>
    <n v="49.647779999999997"/>
    <n v="30.416640000000001"/>
    <n v="137.20859999999999"/>
    <m/>
    <m/>
    <m/>
    <m/>
    <m/>
    <m/>
    <m/>
    <n v="4.3567999999999998"/>
    <n v="34.206060000000001"/>
    <n v="7.9812799999999999"/>
    <n v="12.93629"/>
    <n v="0"/>
    <n v="0"/>
    <n v="0"/>
    <n v="38.562860000000001"/>
    <n v="20.917569999999998"/>
    <n v="12.93629"/>
    <n v="59.480429999999998"/>
  </r>
  <r>
    <x v="0"/>
    <n v="9940513403"/>
    <s v="AP25 ABI MX Supply Chain Command Center"/>
    <x v="32"/>
    <x v="0"/>
    <s v="SI"/>
    <n v="0"/>
    <m/>
    <n v="0"/>
    <n v="-20.374880000000001"/>
    <n v="0"/>
    <n v="0"/>
    <n v="0"/>
    <n v="0"/>
    <n v="0"/>
    <n v="0"/>
    <n v="0"/>
    <n v="0"/>
    <n v="0"/>
    <n v="-20.374880000000001"/>
    <n v="0"/>
    <n v="0"/>
    <n v="0"/>
    <n v="-20.374880000000001"/>
    <n v="0"/>
    <m/>
    <n v="0"/>
    <n v="-22.00395"/>
    <n v="0.24246999999999999"/>
    <n v="0.25268000000000002"/>
    <n v="0.25295000000000001"/>
    <n v="0.24277000000000001"/>
    <n v="0.25025999999999998"/>
    <n v="0.25089"/>
    <n v="0"/>
    <n v="0"/>
    <n v="0"/>
    <n v="-21.508799999999997"/>
    <n v="0.74598000000000009"/>
    <n v="0.25089"/>
    <n v="0"/>
    <n v="-20.51193"/>
  </r>
  <r>
    <x v="0"/>
    <n v="9940471730"/>
    <s v="Data &amp; Analytic Maturity Assesment LATAM"/>
    <x v="30"/>
    <x v="3"/>
    <s v="CON"/>
    <m/>
    <n v="-2.4968499999999998"/>
    <m/>
    <n v="0"/>
    <n v="0"/>
    <n v="-2.7899999999999999E-3"/>
    <n v="0"/>
    <n v="0"/>
    <n v="0"/>
    <n v="0"/>
    <n v="0"/>
    <n v="0"/>
    <n v="-2.4968499999999998"/>
    <n v="-2.7899999999999999E-3"/>
    <n v="0"/>
    <n v="0"/>
    <n v="0"/>
    <n v="-2.4996399999999999"/>
    <m/>
    <n v="-2.4968499999999998"/>
    <m/>
    <n v="0"/>
    <n v="0"/>
    <n v="-2.7899999999999999E-3"/>
    <n v="2.8819999999999998E-2"/>
    <n v="2.767E-2"/>
    <n v="2.852E-2"/>
    <n v="2.8590000000000001E-2"/>
    <n v="-0.11301"/>
    <n v="0"/>
    <n v="-2.4968499999999998"/>
    <n v="-2.7899999999999999E-3"/>
    <n v="8.5010000000000002E-2"/>
    <n v="-8.4419999999999995E-2"/>
    <n v="-0.11301"/>
    <n v="-2.49905"/>
  </r>
  <r>
    <x v="0"/>
    <n v="9940540705"/>
    <s v="MX SAN - Asistentes Virtuales Continuida"/>
    <x v="8"/>
    <x v="0"/>
    <s v="SI"/>
    <n v="20.362110000000001"/>
    <n v="27.22692"/>
    <n v="43.4069"/>
    <n v="45.639719999999997"/>
    <n v="7.1292799999999996"/>
    <n v="0"/>
    <n v="0"/>
    <n v="0"/>
    <n v="0"/>
    <m/>
    <m/>
    <m/>
    <n v="90.995930000000001"/>
    <n v="52.768999999999998"/>
    <n v="0"/>
    <n v="0"/>
    <n v="0"/>
    <n v="143.76492999999999"/>
    <n v="6.9966799999999996"/>
    <n v="7.96943"/>
    <n v="14.40645"/>
    <n v="14.309839999999999"/>
    <n v="-5.1763599999999999"/>
    <n v="-24.90089"/>
    <n v="10.738329999999999"/>
    <n v="2.81643"/>
    <n v="3.391"/>
    <m/>
    <m/>
    <m/>
    <n v="29.37256"/>
    <n v="-15.767410000000002"/>
    <n v="16.94576"/>
    <n v="0"/>
    <n v="0"/>
    <n v="30.550909999999998"/>
  </r>
  <r>
    <x v="0"/>
    <n v="9940543177"/>
    <s v="AU Resale Coca Cola Femsa de Buenos Aire"/>
    <x v="13"/>
    <x v="5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.0000000000000002E-5"/>
    <n v="4.9979800000000001"/>
    <n v="-5.3732100000000003"/>
    <n v="-1.12992"/>
    <n v="1.3072299999999999"/>
    <n v="1.09195"/>
    <n v="0.43251000000000001"/>
    <n v="0.43429000000000001"/>
    <n v="0.4249"/>
    <n v="0.42476000000000003"/>
    <n v="2.9083700000000001"/>
    <n v="0"/>
    <n v="-0.37525000000000031"/>
    <n v="1.2692599999999998"/>
    <n v="1.2917000000000001"/>
    <n v="3.3331300000000001"/>
    <n v="2.9083700000000001"/>
    <n v="5.5188399999999991"/>
  </r>
  <r>
    <x v="0"/>
    <n v="9940569550"/>
    <s v="MX-BK-SI-VZ OpenControl Modernization F1"/>
    <x v="7"/>
    <x v="2"/>
    <s v="CON"/>
    <m/>
    <m/>
    <m/>
    <m/>
    <m/>
    <m/>
    <n v="0"/>
    <n v="19.252579999999998"/>
    <n v="45.938369999999999"/>
    <n v="55.023310000000002"/>
    <n v="8.812856"/>
    <n v="7.594436"/>
    <n v="0"/>
    <n v="0"/>
    <n v="65.190950000000001"/>
    <n v="71.430602000000007"/>
    <n v="16.407291999999998"/>
    <n v="136.62155200000001"/>
    <m/>
    <m/>
    <m/>
    <m/>
    <m/>
    <m/>
    <n v="0"/>
    <n v="7.9560300000000002"/>
    <n v="17.576840000000001"/>
    <n v="19.419309999999999"/>
    <n v="2.3560880000000002"/>
    <n v="2.3157960000000002"/>
    <n v="0"/>
    <n v="0"/>
    <n v="25.532870000000003"/>
    <n v="24.091193999999998"/>
    <n v="4.6718840000000004"/>
    <n v="49.624064000000004"/>
  </r>
  <r>
    <x v="0"/>
    <n v="9940569550"/>
    <s v="MX-BK-SI-VZ OpenControl Modernization F1"/>
    <x v="7"/>
    <x v="2"/>
    <s v="SI"/>
    <m/>
    <m/>
    <m/>
    <m/>
    <m/>
    <m/>
    <n v="0"/>
    <n v="28.878869999999999"/>
    <n v="68.907550000000001"/>
    <n v="82.534949999999995"/>
    <n v="13.219284"/>
    <n v="11.391654000000001"/>
    <n v="0"/>
    <n v="0"/>
    <n v="97.786419999999993"/>
    <n v="107.145888"/>
    <n v="24.610938000000001"/>
    <n v="204.93230799999998"/>
    <m/>
    <m/>
    <m/>
    <m/>
    <m/>
    <m/>
    <n v="0"/>
    <n v="11.20992"/>
    <n v="24.547190000000001"/>
    <n v="26.846640000000001"/>
    <n v="3.5341320000000001"/>
    <n v="3.4736940000000001"/>
    <n v="0"/>
    <n v="0"/>
    <n v="35.757109999999997"/>
    <n v="33.854466000000002"/>
    <n v="7.0078259999999997"/>
    <n v="69.611575999999999"/>
  </r>
  <r>
    <x v="1"/>
    <n v="9940558396"/>
    <s v="Opella_ERP_NR"/>
    <x v="0"/>
    <x v="0"/>
    <s v="CON"/>
    <n v="5.7169668600000003"/>
    <n v="5.6105616600000001"/>
    <n v="5.9081299200000004"/>
    <n v="4.4560177200000002"/>
    <n v="4.49327538"/>
    <n v="6.2819499600000004"/>
    <n v="4.3146180000000003"/>
    <n v="3.1076238599999999"/>
    <n v="3.8763390599999998"/>
    <n v="3.9947173199999999"/>
    <n v="3.6892528200000001"/>
    <n v="3.1332490200000001"/>
    <n v="17.235658440000002"/>
    <n v="15.231243060000001"/>
    <n v="11.298580919999999"/>
    <n v="10.81721916"/>
    <n v="6.8225018400000002"/>
    <n v="54.582701580000005"/>
    <n v="2.1139529399999999"/>
    <n v="2.1554082000000001"/>
    <n v="2.2477435200000002"/>
    <n v="1.6521159599999999"/>
    <n v="1.7261838"/>
    <n v="2.4786808200000001"/>
    <n v="1.7484588000000001"/>
    <n v="1.1902413599999999"/>
    <n v="1.0805473800000001"/>
    <n v="1.12524588"/>
    <n v="1.39214196"/>
    <n v="1.1077822799999999"/>
    <n v="6.5171046600000002"/>
    <n v="5.8569805800000001"/>
    <n v="4.0192475400000003"/>
    <n v="3.6251701199999999"/>
    <n v="2.4999242399999999"/>
    <n v="20.018502900000001"/>
  </r>
  <r>
    <x v="1"/>
    <n v="9940558396"/>
    <s v="Opella_ERP_NR"/>
    <x v="0"/>
    <x v="0"/>
    <s v="SI"/>
    <n v="32.396145539999999"/>
    <n v="31.793182739999999"/>
    <n v="33.479402880000002"/>
    <n v="25.250767079999999"/>
    <n v="25.46189382"/>
    <n v="35.597716439999999"/>
    <n v="24.449501999999999"/>
    <n v="17.609868540000001"/>
    <n v="21.965921340000001"/>
    <n v="22.636731480000002"/>
    <n v="20.905765980000002"/>
    <n v="17.755077780000001"/>
    <n v="97.668731159999993"/>
    <n v="86.310377340000002"/>
    <n v="64.025291879999997"/>
    <n v="61.297575240000008"/>
    <n v="38.660843760000006"/>
    <n v="309.30197562000001"/>
    <n v="11.979066660000001"/>
    <n v="12.213979800000001"/>
    <n v="12.737213280000001"/>
    <n v="9.3619904399999996"/>
    <n v="9.7817082000000006"/>
    <n v="14.045857979999999"/>
    <n v="9.9079332000000004"/>
    <n v="6.7447010399999998"/>
    <n v="6.1231018199999996"/>
    <n v="6.37639332"/>
    <n v="7.8888044400000004"/>
    <n v="6.2774329199999999"/>
    <n v="36.930259740000004"/>
    <n v="33.189556619999998"/>
    <n v="22.77573606"/>
    <n v="20.542630679999998"/>
    <n v="14.16623736"/>
    <n v="113.4381831"/>
  </r>
  <r>
    <x v="1"/>
    <n v="9940488298"/>
    <s v="MDLZ SAP S4 HANA"/>
    <x v="3"/>
    <x v="0"/>
    <s v="CON"/>
    <n v="3.0047272450000002"/>
    <n v="2.1514779599999998"/>
    <n v="1.9359904999999999"/>
    <n v="1.4379567799999999"/>
    <n v="1.467296615"/>
    <n v="1.4676597849999999"/>
    <n v="1.468090345"/>
    <n v="1.4703556149999999"/>
    <n v="1.47383471"/>
    <n v="1.4824823650000001"/>
    <n v="1.48622136"/>
    <n v="1.4930662750000001"/>
    <n v="7.092195705"/>
    <n v="4.3729131799999994"/>
    <n v="4.4122806700000003"/>
    <n v="4.4617700000000005"/>
    <n v="2.9792876350000004"/>
    <n v="20.339159555000002"/>
    <n v="-0.28783798500000002"/>
    <n v="-0.46582992499999998"/>
    <n v="0.294212205"/>
    <n v="0.52356142000000006"/>
    <n v="0.54239152000000002"/>
    <n v="0.53304098499999997"/>
    <n v="0.52324126000000004"/>
    <n v="0.49988613999999998"/>
    <n v="0.48718645999999999"/>
    <n v="0.41229558500000002"/>
    <n v="0.40973752499999999"/>
    <n v="0.39680934000000001"/>
    <n v="-0.45945570499999999"/>
    <n v="1.598993925"/>
    <n v="1.5103138599999999"/>
    <n v="1.2188424499999999"/>
    <n v="0.80654686500000006"/>
    <n v="3.8686945299999995"/>
  </r>
  <r>
    <x v="1"/>
    <n v="9940488298"/>
    <s v="MDLZ SAP S4 HANA"/>
    <x v="3"/>
    <x v="0"/>
    <s v="SI"/>
    <n v="10.059304255000001"/>
    <n v="7.2027740400000004"/>
    <n v="6.4813594999999999"/>
    <n v="4.8140292200000001"/>
    <n v="4.9122538850000002"/>
    <n v="4.9134697149999997"/>
    <n v="4.9149111550000004"/>
    <n v="4.9224948849999999"/>
    <n v="4.9341422899999996"/>
    <n v="4.9630931350000003"/>
    <n v="4.9756106400000002"/>
    <n v="4.998526225"/>
    <n v="23.743437795000002"/>
    <n v="14.63975282"/>
    <n v="14.771548330000002"/>
    <n v="14.93723"/>
    <n v="9.9741368650000002"/>
    <n v="68.091968945000005"/>
    <n v="-0.96363151499999999"/>
    <n v="-1.5595175750000001"/>
    <n v="0.98497129500000002"/>
    <n v="1.7527925799999999"/>
    <n v="1.8158324800000001"/>
    <n v="1.7845285150000001"/>
    <n v="1.7517207400000001"/>
    <n v="1.67353186"/>
    <n v="1.6310155399999999"/>
    <n v="1.380293915"/>
    <n v="1.371729975"/>
    <n v="1.3284486600000001"/>
    <n v="-1.538177795"/>
    <n v="5.3531535750000003"/>
    <n v="5.0562681400000002"/>
    <n v="4.0804725500000005"/>
    <n v="2.7001786350000003"/>
    <n v="12.951716470000001"/>
  </r>
  <r>
    <x v="1"/>
    <n v="9940481651"/>
    <s v="Due Diligence AMS"/>
    <x v="1"/>
    <x v="0"/>
    <s v="CON"/>
    <n v="6.485544"/>
    <n v="6.485544"/>
    <n v="6.485544"/>
    <n v="6.485544"/>
    <n v="6.485544"/>
    <n v="6.485544"/>
    <n v="6.485544"/>
    <n v="6.485544"/>
    <n v="6.485544"/>
    <n v="6.485544"/>
    <n v="6.485544"/>
    <n v="6.485544"/>
    <n v="19.456631999999999"/>
    <n v="19.456631999999999"/>
    <n v="19.456631999999999"/>
    <n v="19.456631999999999"/>
    <n v="12.971088"/>
    <n v="77.826527999999996"/>
    <n v="5.1351779999999998"/>
    <n v="5.0677320000000003"/>
    <n v="5.0002820000000003"/>
    <n v="4.9328320000000003"/>
    <n v="4.865386"/>
    <n v="4.797936"/>
    <n v="4.730486"/>
    <n v="4.6630380000000002"/>
    <n v="4.5955899999999996"/>
    <n v="4.5281419999999999"/>
    <n v="4.4606919999999999"/>
    <n v="4.3886320000000003"/>
    <n v="15.203192"/>
    <n v="14.596154"/>
    <n v="13.989113999999999"/>
    <n v="13.377466000000002"/>
    <n v="8.8493239999999993"/>
    <n v="57.165925999999999"/>
  </r>
  <r>
    <x v="1"/>
    <n v="9940481651"/>
    <s v="Due Diligence AMS"/>
    <x v="1"/>
    <x v="0"/>
    <s v="AMS"/>
    <n v="396.34259364000002"/>
    <n v="123.60214062"/>
    <n v="93.7217232"/>
    <n v="91.432289339999997"/>
    <n v="78.987968640000005"/>
    <n v="66.9267459"/>
    <n v="66.299265899999995"/>
    <n v="57.581153280000002"/>
    <n v="55.710296460000002"/>
    <n v="51.113027700000004"/>
    <n v="51.12628668"/>
    <n v="46.377220680000001"/>
    <n v="613.66645746000006"/>
    <n v="237.34700387999999"/>
    <n v="179.59071563999998"/>
    <n v="148.61653505999999"/>
    <n v="97.50350736"/>
    <n v="1179.2207120399999"/>
    <n v="285.23081789999998"/>
    <n v="22.092652260000001"/>
    <n v="10.44669654"/>
    <n v="15.607501559999999"/>
    <n v="12.7512378"/>
    <n v="6.4169280000000004"/>
    <n v="5.7226302000000002"/>
    <n v="2.5383960000000001"/>
    <n v="2.1311665199999998"/>
    <n v="-1.41482124"/>
    <n v="-9.2441159999999994E-2"/>
    <n v="-22.974537600000001"/>
    <n v="317.7701667"/>
    <n v="34.77566736"/>
    <n v="10.392192720000001"/>
    <n v="-24.4818"/>
    <n v="-23.066978760000001"/>
    <n v="338.45622678000001"/>
  </r>
  <r>
    <x v="1"/>
    <n v="9940481651"/>
    <s v="Due Diligence AMS"/>
    <x v="1"/>
    <x v="0"/>
    <s v="IMS"/>
    <n v="232.77263436000001"/>
    <n v="72.591733379999994"/>
    <n v="55.0429168"/>
    <n v="53.698328660000001"/>
    <n v="46.389759359999999"/>
    <n v="39.306184100000003"/>
    <n v="38.937664099999999"/>
    <n v="33.81750272"/>
    <n v="32.71874554"/>
    <n v="30.018762299999999"/>
    <n v="30.026549320000001"/>
    <n v="27.23741532"/>
    <n v="360.40728454000003"/>
    <n v="139.39427212000001"/>
    <n v="105.47391236"/>
    <n v="87.282726940000003"/>
    <n v="57.263964639999998"/>
    <n v="692.55819596000003"/>
    <n v="167.5165121"/>
    <n v="12.975049739999999"/>
    <n v="6.1353614600000004"/>
    <n v="9.1663104400000002"/>
    <n v="7.4888222000000004"/>
    <n v="3.768672"/>
    <n v="3.3609097999999999"/>
    <n v="1.490804"/>
    <n v="1.2516374800000001"/>
    <n v="-0.83092675999999999"/>
    <n v="-5.429084E-2"/>
    <n v="-13.492982400000001"/>
    <n v="186.62692330000002"/>
    <n v="20.42380464"/>
    <n v="6.10335128"/>
    <n v="-14.378200000000001"/>
    <n v="-13.547273240000001"/>
    <n v="198.77587922000001"/>
  </r>
  <r>
    <x v="1"/>
    <n v="9940533180"/>
    <s v="Citrus and Orange"/>
    <x v="4"/>
    <x v="3"/>
    <s v="C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33180"/>
    <s v="Citrus and Orange"/>
    <x v="4"/>
    <x v="3"/>
    <s v="S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33180"/>
    <s v="Citrus and Orange"/>
    <x v="4"/>
    <x v="3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33180"/>
    <s v="Citrus and Orange"/>
    <x v="4"/>
    <x v="3"/>
    <s v="BPMS"/>
    <n v="10.666841"/>
    <n v="10.5264556"/>
    <n v="9.4669679999999996"/>
    <n v="10.666841"/>
    <n v="10.6160918"/>
    <n v="8.6807105999999994"/>
    <n v="9.8805835999999996"/>
    <n v="9.7401982"/>
    <n v="8.6807105999999994"/>
    <n v="9.8805835999999996"/>
    <n v="9.8805835999999996"/>
    <n v="9.8805835999999996"/>
    <n v="30.660264599999998"/>
    <n v="29.963643399999995"/>
    <n v="28.301492400000001"/>
    <n v="29.641750799999997"/>
    <n v="19.761167199999999"/>
    <n v="118.5671512"/>
    <n v="1.5441284"/>
    <n v="1.7213324999999999"/>
    <n v="0.82144810000000001"/>
    <n v="1.9601786000000001"/>
    <n v="2.0473246999999999"/>
    <n v="0.28242469999999997"/>
    <n v="1.5662358999999999"/>
    <n v="1.484588"/>
    <n v="0.53695510000000002"/>
    <n v="2.6801838"/>
    <n v="2.7689727"/>
    <n v="2.7711261"/>
    <n v="4.0869090000000003"/>
    <n v="4.2899279999999997"/>
    <n v="3.5877790000000003"/>
    <n v="8.2202826000000009"/>
    <n v="5.5400988"/>
    <n v="20.1848986"/>
  </r>
  <r>
    <x v="1"/>
    <n v="9940543402"/>
    <s v="Proximidad - MSSP"/>
    <x v="5"/>
    <x v="2"/>
    <s v="IMS"/>
    <n v="25.8304635"/>
    <n v="25.8387855"/>
    <n v="25.8387855"/>
    <n v="25.8387855"/>
    <n v="25.396574999999999"/>
    <n v="21.833226"/>
    <n v="26.2688205"/>
    <n v="25.396574999999999"/>
    <n v="25.396574999999999"/>
    <n v="25.396574999999999"/>
    <n v="25.396574999999999"/>
    <n v="25.396574999999999"/>
    <n v="77.508034500000008"/>
    <n v="73.068586499999995"/>
    <n v="77.061970500000001"/>
    <n v="76.189724999999996"/>
    <n v="50.793149999999997"/>
    <n v="303.82831649999997"/>
    <n v="4.8440595000000002"/>
    <n v="5.1564734999999997"/>
    <n v="8.1571049999999996"/>
    <n v="9.6403455000000005"/>
    <n v="7.1272064999999998"/>
    <n v="52.122301499999999"/>
    <n v="8.1378315000000008"/>
    <n v="7.3837964999999999"/>
    <n v="6.8020785000000004"/>
    <n v="4.9914494999999999"/>
    <n v="4.6688070000000002"/>
    <n v="5.9313345000000002"/>
    <n v="18.157637999999999"/>
    <n v="68.889853500000001"/>
    <n v="22.3237065"/>
    <n v="15.591590999999999"/>
    <n v="10.600141499999999"/>
    <n v="124.962789"/>
  </r>
  <r>
    <x v="1"/>
    <n v="9940389320"/>
    <s v="Gestión Portal Web"/>
    <x v="6"/>
    <x v="3"/>
    <s v="CON"/>
    <n v="0.78845949999999998"/>
    <n v="0.7884565"/>
    <n v="0.78845949999999998"/>
    <n v="0.78845949999999998"/>
    <n v="0.78845949999999998"/>
    <n v="0.78845949999999998"/>
    <n v="0.78845949999999998"/>
    <n v="0.78845949999999998"/>
    <n v="0"/>
    <n v="0"/>
    <n v="0"/>
    <n v="0"/>
    <n v="2.3653754999999999"/>
    <n v="2.3653784999999998"/>
    <n v="1.576919"/>
    <n v="0"/>
    <n v="0"/>
    <n v="6.3076729999999994"/>
    <n v="8.6805499999999994E-2"/>
    <n v="0.24826300000000001"/>
    <n v="0.13084000000000001"/>
    <n v="0.2616945"/>
    <n v="8.8222499999999995E-2"/>
    <n v="0.16752400000000001"/>
    <n v="0.2468255"/>
    <n v="0.23997950000000001"/>
    <n v="-3.5620000000000001E-3"/>
    <n v="5.4449499999999998E-2"/>
    <n v="6.3634999999999997E-2"/>
    <n v="6.3634999999999997E-2"/>
    <n v="0.4659085"/>
    <n v="0.51744100000000004"/>
    <n v="0.48324300000000003"/>
    <n v="0.18171949999999998"/>
    <n v="0.12726999999999999"/>
    <n v="1.6483120000000002"/>
  </r>
  <r>
    <x v="1"/>
    <n v="9940389320"/>
    <s v="Gestión Portal Web"/>
    <x v="6"/>
    <x v="3"/>
    <s v="AMS"/>
    <n v="5.5910543500000003"/>
    <n v="5.5910543500000003"/>
    <n v="5.5910543500000003"/>
    <n v="5.5910543500000003"/>
    <n v="5.5910543500000003"/>
    <n v="5.5910543500000003"/>
    <n v="5.5910543500000003"/>
    <n v="5.5910543500000003"/>
    <n v="0"/>
    <n v="0"/>
    <n v="0"/>
    <n v="0"/>
    <n v="16.773163050000001"/>
    <n v="16.773163050000001"/>
    <n v="11.182108700000001"/>
    <n v="0"/>
    <n v="0"/>
    <n v="44.728434800000002"/>
    <n v="0.81622309999999998"/>
    <n v="1.5082007500000001"/>
    <n v="0.97495912500000004"/>
    <n v="1.581925625"/>
    <n v="1.0291123499999999"/>
    <n v="1.34071735"/>
    <n v="1.7523318750000001"/>
    <n v="2.0521913999999999"/>
    <n v="-0.15254382499999999"/>
    <n v="-8.7408125000000003E-2"/>
    <n v="-2.227225E-2"/>
    <n v="-2.227225E-2"/>
    <n v="3.2993829750000003"/>
    <n v="3.9517553249999997"/>
    <n v="3.6519794500000002"/>
    <n v="-0.13195262499999999"/>
    <n v="-4.4544500000000001E-2"/>
    <n v="10.771165125"/>
  </r>
  <r>
    <x v="1"/>
    <n v="9940389320"/>
    <s v="Gestión Portal Web"/>
    <x v="6"/>
    <x v="3"/>
    <s v="BPMS"/>
    <n v="10.38338665"/>
    <n v="10.38338665"/>
    <n v="10.38338665"/>
    <n v="10.38338665"/>
    <n v="10.38338665"/>
    <n v="10.38338665"/>
    <n v="10.38338665"/>
    <n v="10.38338665"/>
    <n v="0"/>
    <n v="0"/>
    <n v="0"/>
    <n v="0"/>
    <n v="31.150159950000003"/>
    <n v="31.150159950000003"/>
    <n v="20.766773300000001"/>
    <n v="0"/>
    <n v="0"/>
    <n v="83.067093200000002"/>
    <n v="1.5158429"/>
    <n v="2.8009442500000001"/>
    <n v="1.8106383749999999"/>
    <n v="2.9378618749999998"/>
    <n v="1.9112086500000001"/>
    <n v="2.48990365"/>
    <n v="3.2543306250000001"/>
    <n v="3.8112126000000002"/>
    <n v="-0.28329567500000002"/>
    <n v="-0.162329375"/>
    <n v="-4.1362749999999997E-2"/>
    <n v="-4.1362749999999997E-2"/>
    <n v="6.1274255249999996"/>
    <n v="7.3389741750000006"/>
    <n v="6.782247550000001"/>
    <n v="-0.24505487500000001"/>
    <n v="-8.2725499999999993E-2"/>
    <n v="20.003592375"/>
  </r>
  <r>
    <x v="1"/>
    <n v="9940473365"/>
    <s v="MX-BK-SI-DF Atenea"/>
    <x v="7"/>
    <x v="3"/>
    <s v="CON"/>
    <n v="16.287499608000001"/>
    <n v="16.886121855999999"/>
    <n v="17.452312012"/>
    <n v="18.535544260000002"/>
    <n v="17.251851508000001"/>
    <n v="17.445533756"/>
    <n v="17.652926004000001"/>
    <n v="17.738695752000002"/>
    <n v="17.834553"/>
    <n v="19.217195247999999"/>
    <n v="20.192322495999999"/>
    <n v="21.308794744"/>
    <n v="50.625933476"/>
    <n v="53.232929523999999"/>
    <n v="53.226174756000006"/>
    <n v="60.718312487999995"/>
    <n v="41.501117239999999"/>
    <n v="217.803350244"/>
    <n v="-19.134852691999999"/>
    <n v="-22.440254044"/>
    <n v="-19.178687188000001"/>
    <n v="-18.34925294"/>
    <n v="-7.7731162920000001"/>
    <n v="-7.5458072439999997"/>
    <n v="6.2449321040000001"/>
    <n v="6.1181938520000001"/>
    <n v="6.5922934"/>
    <n v="7.8268878480000001"/>
    <n v="8.9603221959999999"/>
    <n v="10.102449344"/>
    <n v="-60.753793923999993"/>
    <n v="-33.668176475999999"/>
    <n v="18.955419356"/>
    <n v="26.889659387999998"/>
    <n v="19.06277154"/>
    <n v="-48.576891656000001"/>
  </r>
  <r>
    <x v="1"/>
    <n v="9940473365"/>
    <s v="MX-BK-SI-DF Atenea"/>
    <x v="7"/>
    <x v="3"/>
    <s v="SC"/>
    <n v="17.980833738000001"/>
    <n v="18.561441766000002"/>
    <n v="19.109617957000001"/>
    <n v="20.174835985000001"/>
    <n v="18.873129013"/>
    <n v="19.048797041"/>
    <n v="19.238175069"/>
    <n v="19.305930597"/>
    <n v="19.383773625"/>
    <n v="20.748401652999998"/>
    <n v="21.705514681"/>
    <n v="22.803972709"/>
    <n v="55.651893461"/>
    <n v="58.096762038999998"/>
    <n v="57.927879290999996"/>
    <n v="65.257889043000006"/>
    <n v="44.509487390000004"/>
    <n v="236.934423834"/>
    <n v="-18.845890312000002"/>
    <n v="-22.162720633999999"/>
    <n v="-18.912405743000001"/>
    <n v="-18.094046965"/>
    <n v="-7.5288092869999996"/>
    <n v="-7.3122227090000003"/>
    <n v="6.4679709189999999"/>
    <n v="6.3308634469999996"/>
    <n v="6.7947705249999997"/>
    <n v="8.0193490030000003"/>
    <n v="9.1429438810000008"/>
    <n v="10.275408308999999"/>
    <n v="-59.921016689000005"/>
    <n v="-32.935078961000002"/>
    <n v="19.593604890999998"/>
    <n v="27.437701193000002"/>
    <n v="19.41835219"/>
    <n v="-45.824789566000014"/>
  </r>
  <r>
    <x v="1"/>
    <n v="9940473365"/>
    <s v="MX-BK-SI-DF Atenea"/>
    <x v="7"/>
    <x v="3"/>
    <s v="SI"/>
    <n v="34.996049253999999"/>
    <n v="35.092259577999997"/>
    <n v="35.168788931000002"/>
    <n v="35.559134254999996"/>
    <n v="34.512854578999999"/>
    <n v="34.363279902999999"/>
    <n v="34.222030226999998"/>
    <n v="34.006955550999997"/>
    <n v="33.798005875000001"/>
    <n v="34.370081198999998"/>
    <n v="34.694811522999998"/>
    <n v="35.105331847000002"/>
    <n v="105.25709776299999"/>
    <n v="104.435268737"/>
    <n v="102.026991653"/>
    <n v="104.170224569"/>
    <n v="69.800143370000001"/>
    <n v="415.889582722"/>
    <n v="-12.577519396"/>
    <n v="-12.253592122000001"/>
    <n v="-11.947228169000001"/>
    <n v="-11.324030595"/>
    <n v="-12.138309320999999"/>
    <n v="-12.036429347"/>
    <n v="-11.933831723000001"/>
    <n v="-11.902365399000001"/>
    <n v="-11.861131425"/>
    <n v="-11.036148751000001"/>
    <n v="-10.464787377"/>
    <n v="-9.8019733529999993"/>
    <n v="-36.778339686999999"/>
    <n v="-35.498769263"/>
    <n v="-35.697328546999998"/>
    <n v="-31.302909481"/>
    <n v="-20.266760730000001"/>
    <n v="-139.277346978"/>
  </r>
  <r>
    <x v="1"/>
    <n v="9940473365"/>
    <s v="MX-BK-SI-DF Atenea"/>
    <x v="7"/>
    <x v="3"/>
    <s v="AMS"/>
    <n v="72.321119999999993"/>
    <n v="75.663065000000003"/>
    <n v="78.832279999999997"/>
    <n v="84.755399999999995"/>
    <n v="78.071600000000004"/>
    <n v="79.256725000000003"/>
    <n v="80.514870000000002"/>
    <n v="81.125230000000002"/>
    <n v="81.78931"/>
    <n v="89.307169999999999"/>
    <n v="94.654489999999996"/>
    <n v="100.75465"/>
    <n v="226.81646499999999"/>
    <n v="242.08372500000002"/>
    <n v="243.42941000000002"/>
    <n v="284.71631000000002"/>
    <n v="195.40913999999998"/>
    <n v="997.04591000000005"/>
    <n v="-69.076390000000004"/>
    <n v="-40.804034999999999"/>
    <n v="-30.972435000000001"/>
    <n v="-22.362155000000001"/>
    <n v="-40.231625000000001"/>
    <n v="-36.029060000000001"/>
    <n v="-47.489150000000002"/>
    <n v="-47.045765000000003"/>
    <n v="-30.31888"/>
    <n v="-27.455065000000001"/>
    <n v="-21.420895000000002"/>
    <n v="-38.220615000000002"/>
    <n v="-140.85285999999999"/>
    <n v="-98.622839999999997"/>
    <n v="-124.85379500000002"/>
    <n v="-87.096575000000001"/>
    <n v="-59.641510000000004"/>
    <n v="-451.42606999999998"/>
  </r>
  <r>
    <x v="1"/>
    <n v="9940473365"/>
    <s v="MX-BK-SI-DF Atenea"/>
    <x v="7"/>
    <x v="3"/>
    <s v="IMS"/>
    <n v="42.5122"/>
    <n v="44.476685000000003"/>
    <n v="46.33963"/>
    <n v="49.821390000000001"/>
    <n v="45.892479999999999"/>
    <n v="46.589125000000003"/>
    <n v="47.328699999999998"/>
    <n v="47.687480000000001"/>
    <n v="48.077845000000003"/>
    <n v="52.497034999999997"/>
    <n v="55.640324999999997"/>
    <n v="59.226154999999999"/>
    <n v="133.32851500000001"/>
    <n v="142.30299500000001"/>
    <n v="143.09402499999999"/>
    <n v="167.36351500000001"/>
    <n v="114.86648"/>
    <n v="586.08905000000004"/>
    <n v="-16.213584999999998"/>
    <n v="-33.705415000000002"/>
    <n v="-20.159025"/>
    <n v="-11.392620000000001"/>
    <n v="-12.88317"/>
    <n v="-19.390260000000001"/>
    <n v="-11.22627"/>
    <n v="-14.698650000000001"/>
    <n v="-10.017765000000001"/>
    <n v="-7.8420800000000002"/>
    <n v="-2.4352550000000002"/>
    <n v="-7.3176449999999997"/>
    <n v="-70.078024999999997"/>
    <n v="-43.666049999999998"/>
    <n v="-35.942684999999997"/>
    <n v="-17.59498"/>
    <n v="-9.7529000000000003"/>
    <n v="-167.28173999999999"/>
  </r>
  <r>
    <x v="1"/>
    <n v="9940473365"/>
    <s v="MX-BK-SI-DF Atenea"/>
    <x v="7"/>
    <x v="3"/>
    <s v="BPMS"/>
    <n v="150.87197"/>
    <n v="153.95786000000001"/>
    <n v="156.88426000000001"/>
    <n v="162.353565"/>
    <n v="134.91421"/>
    <n v="136.00853499999999"/>
    <n v="137.17028500000001"/>
    <n v="137.73387500000001"/>
    <n v="138.34708000000001"/>
    <n v="145.28894"/>
    <n v="150.22656000000001"/>
    <n v="155.85934"/>
    <n v="461.71409000000006"/>
    <n v="433.27631000000002"/>
    <n v="413.25124000000005"/>
    <n v="451.37483999999995"/>
    <n v="306.08590000000004"/>
    <n v="1759.6164800000001"/>
    <n v="-40.062607900000003"/>
    <n v="-66.886805300000006"/>
    <n v="-31.387412600000001"/>
    <n v="-23.303550000000001"/>
    <n v="-53.703272400000003"/>
    <n v="-46.429464799999998"/>
    <n v="-37.6171772"/>
    <n v="-59.606714500000002"/>
    <n v="-53.4630619"/>
    <n v="-52.509514299999999"/>
    <n v="-70.766686699999994"/>
    <n v="-40.869739099999997"/>
    <n v="-138.33682580000001"/>
    <n v="-123.43628720000001"/>
    <n v="-150.68695359999998"/>
    <n v="-164.14594009999999"/>
    <n v="-111.63642579999998"/>
    <n v="-576.60600669999997"/>
  </r>
  <r>
    <x v="1"/>
    <n v="9940490800"/>
    <s v="SAP_Axial_Ph 1_SOW 1"/>
    <x v="9"/>
    <x v="4"/>
    <s v="CON"/>
    <n v="14.6259093"/>
    <n v="13.349635599999999"/>
    <n v="12.5921512"/>
    <n v="12.045326449999999"/>
    <n v="6.0027355499999997"/>
    <n v="0"/>
    <n v="0"/>
    <n v="0"/>
    <n v="0"/>
    <n v="0"/>
    <n v="0"/>
    <n v="0"/>
    <n v="40.567696099999999"/>
    <n v="18.048061999999998"/>
    <n v="0"/>
    <n v="0"/>
    <n v="0"/>
    <n v="58.615758099999994"/>
    <n v="5.44297845"/>
    <n v="4.1782947500000001"/>
    <n v="4.5723699499999997"/>
    <n v="4.2676688499999997"/>
    <n v="-1.4264668"/>
    <n v="-5.8687266500000002"/>
    <n v="-0.44407085000000002"/>
    <n v="-0.35845874999999999"/>
    <n v="-3.1283499999999999E-2"/>
    <n v="-3.0533950000000001E-2"/>
    <n v="-2.8377449999999999E-2"/>
    <n v="0"/>
    <n v="14.19364315"/>
    <n v="-3.0275246000000005"/>
    <n v="-0.83381309999999997"/>
    <n v="-5.8911400000000003E-2"/>
    <n v="-2.8377449999999999E-2"/>
    <n v="10.27339405"/>
  </r>
  <r>
    <x v="1"/>
    <n v="9940490800"/>
    <s v="SAP_Axial_Ph 1_SOW 1"/>
    <x v="9"/>
    <x v="4"/>
    <s v="SC"/>
    <n v="3.0791388"/>
    <n v="2.8104496000000001"/>
    <n v="2.6509792000000001"/>
    <n v="2.5358581999999998"/>
    <n v="1.2637338"/>
    <n v="0"/>
    <n v="0"/>
    <n v="0"/>
    <n v="0"/>
    <n v="0"/>
    <n v="0"/>
    <n v="0"/>
    <n v="8.5405675999999993"/>
    <n v="3.7995919999999996"/>
    <n v="0"/>
    <n v="0"/>
    <n v="0"/>
    <n v="12.3401596"/>
    <n v="1.1458902"/>
    <n v="0.87964100000000001"/>
    <n v="0.96260420000000002"/>
    <n v="0.89845660000000005"/>
    <n v="-0.30030879999999999"/>
    <n v="-1.2355214000000001"/>
    <n v="-9.3488600000000005E-2"/>
    <n v="-7.5465000000000004E-2"/>
    <n v="-6.5859999999999998E-3"/>
    <n v="-6.4282000000000002E-3"/>
    <n v="-5.9741999999999998E-3"/>
    <n v="0"/>
    <n v="2.9881354"/>
    <n v="-0.6373736000000001"/>
    <n v="-0.17553960000000002"/>
    <n v="-1.2402400000000001E-2"/>
    <n v="-5.9741999999999998E-3"/>
    <n v="2.1628197999999998"/>
  </r>
  <r>
    <x v="1"/>
    <n v="9940490800"/>
    <s v="SAP_Axial_Ph 1_SOW 1"/>
    <x v="9"/>
    <x v="4"/>
    <s v="SI"/>
    <n v="59.273421900000002"/>
    <n v="54.101154800000003"/>
    <n v="51.031349599999999"/>
    <n v="48.815270349999999"/>
    <n v="24.326875650000002"/>
    <n v="0"/>
    <n v="0"/>
    <n v="0"/>
    <n v="0"/>
    <n v="0"/>
    <n v="0"/>
    <n v="0"/>
    <n v="164.4059263"/>
    <n v="73.142145999999997"/>
    <n v="0"/>
    <n v="0"/>
    <n v="0"/>
    <n v="237.5480723"/>
    <n v="22.058386349999999"/>
    <n v="16.933089249999998"/>
    <n v="18.530130849999999"/>
    <n v="17.29528955"/>
    <n v="-5.7809444000000001"/>
    <n v="-23.78378695"/>
    <n v="-1.79965555"/>
    <n v="-1.4527012500000001"/>
    <n v="-0.12678049999999999"/>
    <n v="-0.12374285"/>
    <n v="-0.11500335"/>
    <n v="0"/>
    <n v="57.52160645"/>
    <n v="-12.269441799999999"/>
    <n v="-3.3791373000000005"/>
    <n v="-0.23874620000000002"/>
    <n v="-0.11500335"/>
    <n v="41.634281149999993"/>
  </r>
  <r>
    <x v="1"/>
    <n v="9940566312"/>
    <s v="VIVA - Data Strategy"/>
    <x v="10"/>
    <x v="1"/>
    <s v="C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1685856"/>
    <n v="-0.1685856"/>
    <n v="0"/>
    <n v="0"/>
    <n v="0"/>
    <n v="0"/>
    <n v="0"/>
    <n v="0"/>
    <n v="0"/>
    <n v="0"/>
    <n v="0"/>
    <n v="0"/>
    <n v="-0.3371712"/>
    <n v="0"/>
    <n v="0"/>
    <n v="0"/>
    <n v="0"/>
    <n v="-0.3371712"/>
  </r>
  <r>
    <x v="1"/>
    <n v="9940566312"/>
    <s v="VIVA - Data Strategy"/>
    <x v="10"/>
    <x v="1"/>
    <s v="S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16197439999999999"/>
    <n v="-0.16197439999999999"/>
    <n v="0"/>
    <n v="0"/>
    <n v="0"/>
    <n v="0"/>
    <n v="0"/>
    <n v="0"/>
    <n v="0"/>
    <n v="0"/>
    <n v="0"/>
    <n v="0"/>
    <n v="-0.32394879999999998"/>
    <n v="0"/>
    <n v="0"/>
    <n v="0"/>
    <n v="0"/>
    <n v="-0.32394879999999998"/>
  </r>
  <r>
    <x v="1"/>
    <n v="9940280146"/>
    <s v="New IT Agreement 2018"/>
    <x v="11"/>
    <x v="0"/>
    <s v="AMS"/>
    <n v="96.589236"/>
    <n v="96.589236"/>
    <n v="96.589236"/>
    <n v="96.589236"/>
    <n v="105.2359"/>
    <n v="108.972471"/>
    <n v="108.972471"/>
    <n v="108.972471"/>
    <n v="108.972471"/>
    <n v="108.972471"/>
    <n v="108.972471"/>
    <n v="93.984807000000004"/>
    <n v="289.76770799999997"/>
    <n v="310.79760699999997"/>
    <n v="326.91741300000001"/>
    <n v="311.92974900000002"/>
    <n v="202.957278"/>
    <n v="1239.4124769999999"/>
    <n v="32.365943999999999"/>
    <n v="32.172879000000002"/>
    <n v="32.187733999999999"/>
    <n v="31.722747999999999"/>
    <n v="33.859802000000002"/>
    <n v="35.977749000000003"/>
    <n v="35.400475999999998"/>
    <n v="35.655841000000002"/>
    <n v="35.359726000000002"/>
    <n v="35.804285999999998"/>
    <n v="34.899822"/>
    <n v="30.511690000000002"/>
    <n v="96.726557000000014"/>
    <n v="101.560299"/>
    <n v="106.416043"/>
    <n v="101.21579799999999"/>
    <n v="65.411512000000002"/>
    <n v="405.91869700000001"/>
  </r>
  <r>
    <x v="1"/>
    <n v="9940477325"/>
    <s v="UP Transformación SAP"/>
    <x v="12"/>
    <x v="0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486464"/>
    <s v="SAP_Axial_Phase 1_MSA"/>
    <x v="9"/>
    <x v="5"/>
    <s v="CON"/>
    <n v="5.6999999999999996E-6"/>
    <n v="0"/>
    <n v="0"/>
    <n v="0"/>
    <n v="0"/>
    <n v="0"/>
    <n v="0"/>
    <n v="0"/>
    <n v="0"/>
    <n v="0"/>
    <n v="0"/>
    <n v="0"/>
    <n v="5.6999999999999996E-6"/>
    <n v="0"/>
    <n v="0"/>
    <n v="0"/>
    <n v="0"/>
    <n v="5.6999999999999996E-6"/>
    <n v="-2.5066643000000002"/>
    <n v="0"/>
    <n v="0"/>
    <n v="0"/>
    <n v="0"/>
    <n v="0"/>
    <n v="0"/>
    <n v="0"/>
    <n v="0"/>
    <n v="0"/>
    <n v="0"/>
    <n v="0"/>
    <n v="-2.5066643000000002"/>
    <n v="0"/>
    <n v="0"/>
    <n v="0"/>
    <n v="0"/>
    <n v="-2.5066643000000002"/>
  </r>
  <r>
    <x v="1"/>
    <n v="9940486464"/>
    <s v="SAP_Axial_Phase 1_MSA"/>
    <x v="9"/>
    <x v="5"/>
    <s v="SI"/>
    <n v="2.4300000000000001E-5"/>
    <n v="0"/>
    <n v="0"/>
    <n v="0"/>
    <n v="0"/>
    <n v="0"/>
    <n v="0"/>
    <n v="0"/>
    <n v="0"/>
    <n v="0"/>
    <n v="0"/>
    <n v="0"/>
    <n v="2.4300000000000001E-5"/>
    <n v="0"/>
    <n v="0"/>
    <n v="0"/>
    <n v="0"/>
    <n v="2.4300000000000001E-5"/>
    <n v="-10.6863057"/>
    <n v="0"/>
    <n v="0"/>
    <n v="0"/>
    <n v="0"/>
    <n v="0"/>
    <n v="0"/>
    <n v="0"/>
    <n v="0"/>
    <n v="0"/>
    <n v="0"/>
    <n v="0"/>
    <n v="-10.6863057"/>
    <n v="0"/>
    <n v="0"/>
    <n v="0"/>
    <n v="0"/>
    <n v="-10.6863057"/>
  </r>
  <r>
    <x v="1"/>
    <n v="9940547100"/>
    <s v="KOF Procurement Nexus"/>
    <x v="13"/>
    <x v="4"/>
    <s v="CON"/>
    <n v="15.030798000000001"/>
    <n v="15.030798000000001"/>
    <n v="15.030798000000001"/>
    <n v="15.030798000000001"/>
    <n v="15.030798000000001"/>
    <n v="15.030798000000001"/>
    <n v="15.030798000000001"/>
    <n v="15.030798000000001"/>
    <n v="15.030798000000001"/>
    <n v="15.030798000000001"/>
    <n v="15.030798000000001"/>
    <n v="15.030798000000001"/>
    <n v="45.092393999999999"/>
    <n v="45.092393999999999"/>
    <n v="45.092393999999999"/>
    <n v="45.092393999999999"/>
    <n v="30.061596000000002"/>
    <n v="180.369576"/>
    <n v="9.3674400000000002"/>
    <n v="9.2617799999999999"/>
    <n v="9.1561199999999996"/>
    <n v="9.0504540000000002"/>
    <n v="8.9447939999999999"/>
    <n v="8.8391339999999996"/>
    <n v="8.7334739999999993"/>
    <n v="8.6278079999999999"/>
    <n v="8.5221479999999996"/>
    <n v="8.4164879999999993"/>
    <n v="8.3108219999999999"/>
    <n v="8.2051619999999996"/>
    <n v="27.785339999999998"/>
    <n v="26.834381999999998"/>
    <n v="25.883429999999997"/>
    <n v="24.932471999999997"/>
    <n v="16.515984"/>
    <n v="105.43562399999999"/>
  </r>
  <r>
    <x v="1"/>
    <n v="9940547100"/>
    <s v="KOF Procurement Nexus"/>
    <x v="13"/>
    <x v="4"/>
    <s v="SI"/>
    <n v="2.5221179999999999"/>
    <n v="2.5221179999999999"/>
    <n v="2.5221179999999999"/>
    <n v="2.5221179999999999"/>
    <n v="2.5221179999999999"/>
    <n v="2.5221179999999999"/>
    <n v="2.5221179999999999"/>
    <n v="2.5221179999999999"/>
    <n v="2.5221179999999999"/>
    <n v="2.5221179999999999"/>
    <n v="2.5221179999999999"/>
    <n v="2.5221179999999999"/>
    <n v="7.5663539999999996"/>
    <n v="7.5663539999999996"/>
    <n v="7.5663539999999996"/>
    <n v="7.5663539999999996"/>
    <n v="5.0442359999999997"/>
    <n v="30.265415999999998"/>
    <n v="2.3085659999999999"/>
    <n v="2.2871220000000001"/>
    <n v="2.2656779999999999"/>
    <n v="2.2442340000000001"/>
    <n v="2.2227899999999998"/>
    <n v="2.2013579999999999"/>
    <n v="2.1799140000000001"/>
    <n v="2.1584699999999999"/>
    <n v="2.1370260000000001"/>
    <n v="2.1155819999999999"/>
    <n v="2.094144"/>
    <n v="2.0727000000000002"/>
    <n v="6.8613660000000003"/>
    <n v="6.6683820000000003"/>
    <n v="6.4754100000000001"/>
    <n v="6.2824260000000001"/>
    <n v="4.1668440000000002"/>
    <n v="26.287584000000003"/>
  </r>
  <r>
    <x v="1"/>
    <n v="9940547100"/>
    <s v="KOF Procurement Nexus"/>
    <x v="13"/>
    <x v="4"/>
    <s v="BPMS"/>
    <n v="368.15821799999998"/>
    <n v="368.15821799999998"/>
    <n v="370.70995799999997"/>
    <n v="344.29663199999999"/>
    <n v="316.736268"/>
    <n v="322.893756"/>
    <n v="314.01200399999999"/>
    <n v="313.96054800000002"/>
    <n v="314.88409200000001"/>
    <n v="308.05140599999999"/>
    <n v="302.82409799999999"/>
    <n v="308.619078"/>
    <n v="1107.026394"/>
    <n v="983.92665599999987"/>
    <n v="942.85664399999996"/>
    <n v="919.49458200000004"/>
    <n v="611.44317599999999"/>
    <n v="3953.3042759999998"/>
    <n v="136.05499800000001"/>
    <n v="113.954328"/>
    <n v="121.539396"/>
    <n v="101.11091399999999"/>
    <n v="80.626050000000006"/>
    <n v="91.496958000000006"/>
    <n v="81.870701999999994"/>
    <n v="83.137770000000003"/>
    <n v="84.280985999999999"/>
    <n v="105.05250599999999"/>
    <n v="105.42388200000001"/>
    <n v="111.385446"/>
    <n v="371.548722"/>
    <n v="273.23392200000001"/>
    <n v="249.28945799999997"/>
    <n v="321.86183399999999"/>
    <n v="216.80932799999999"/>
    <n v="1215.9339359999999"/>
  </r>
  <r>
    <x v="1"/>
    <n v="9940565208"/>
    <s v="AWS_Pegasus Mexico GTM"/>
    <x v="15"/>
    <x v="3"/>
    <s v="SI"/>
    <n v="187.14467999999999"/>
    <n v="189.06827999999999"/>
    <n v="176.99521999999999"/>
    <n v="159.49844999999999"/>
    <n v="180.07300000000001"/>
    <n v="172.11152999999999"/>
    <n v="196.38570999999999"/>
    <n v="188.42420000000001"/>
    <n v="181.24216999999999"/>
    <n v="197.15442999999999"/>
    <n v="197.42204000000001"/>
    <n v="195.28117"/>
    <n v="553.20817999999997"/>
    <n v="511.68298000000004"/>
    <n v="566.05207999999993"/>
    <n v="589.85763999999995"/>
    <n v="392.70321000000001"/>
    <n v="2220.8008799999998"/>
    <n v="91.286799999999999"/>
    <n v="94.402159999999995"/>
    <n v="83.728880000000004"/>
    <n v="76.276949999999999"/>
    <n v="89.50761"/>
    <n v="80.510059999999996"/>
    <n v="94.939750000000004"/>
    <n v="93.039349999999999"/>
    <n v="84.274039999999999"/>
    <n v="93.895759999999996"/>
    <n v="96.274720000000002"/>
    <n v="90.467759999999998"/>
    <n v="269.41784000000001"/>
    <n v="246.29462000000001"/>
    <n v="272.25314000000003"/>
    <n v="280.63824"/>
    <n v="186.74248"/>
    <n v="1068.60384"/>
  </r>
  <r>
    <x v="1"/>
    <n v="9940503547"/>
    <s v="Mining Technical Writer"/>
    <x v="16"/>
    <x v="0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99895"/>
    <n v="0"/>
    <n v="0"/>
    <n v="8.0805299999999995"/>
    <n v="0"/>
    <n v="0"/>
    <n v="0"/>
    <n v="0"/>
    <n v="0"/>
    <n v="0"/>
    <n v="0"/>
    <n v="0"/>
    <n v="-0.99895"/>
    <n v="8.0805299999999995"/>
    <n v="0"/>
    <n v="0"/>
    <n v="0"/>
    <n v="7.0815799999999998"/>
  </r>
  <r>
    <x v="1"/>
    <n v="9940531677"/>
    <s v="MX Actinver - SOC 3 años"/>
    <x v="18"/>
    <x v="2"/>
    <s v="IM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78543"/>
    <s v="Italika - Agentes Search"/>
    <x v="19"/>
    <x v="5"/>
    <s v="C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.8128747999999999"/>
    <n v="-0.97357919999999998"/>
    <n v="0"/>
    <n v="0"/>
    <n v="0"/>
    <n v="0"/>
    <n v="0"/>
    <n v="0"/>
    <n v="0"/>
    <n v="0"/>
    <n v="0"/>
    <n v="0"/>
    <n v="-2.786454"/>
    <n v="0"/>
    <n v="0"/>
    <n v="0"/>
    <n v="0"/>
    <n v="-2.786454"/>
  </r>
  <r>
    <x v="1"/>
    <n v="9940425273"/>
    <s v="E2E - Bimbo TPO expansion"/>
    <x v="2"/>
    <x v="1"/>
    <s v="C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44091599999999997"/>
    <n v="0"/>
    <n v="0"/>
    <n v="0"/>
    <n v="0"/>
    <n v="0"/>
    <n v="0"/>
    <n v="0"/>
    <n v="0"/>
    <n v="0"/>
    <n v="0"/>
    <n v="0"/>
    <n v="-0.44091599999999997"/>
    <n v="0"/>
    <n v="0"/>
    <n v="0"/>
    <n v="0"/>
    <n v="-0.44091599999999997"/>
  </r>
  <r>
    <x v="1"/>
    <n v="9940364931"/>
    <s v="Data &amp; Analytics Framework"/>
    <x v="3"/>
    <x v="0"/>
    <s v="CON"/>
    <n v="4.2"/>
    <n v="4.2"/>
    <n v="4.2"/>
    <n v="4.1999985999999998"/>
    <n v="4.2"/>
    <n v="4.2005656"/>
    <n v="4.2005543999999997"/>
    <n v="4.1988478000000002"/>
    <n v="0"/>
    <n v="0"/>
    <n v="0"/>
    <n v="0"/>
    <n v="12.600000000000001"/>
    <n v="12.600564200000001"/>
    <n v="8.3994022000000008"/>
    <n v="0"/>
    <n v="0"/>
    <n v="33.5999664"/>
    <n v="1.2054"/>
    <n v="1.2054"/>
    <n v="1.2053986000000001"/>
    <n v="1.2054"/>
    <n v="1.2045977999999999"/>
    <n v="7.5592999999999994E-2"/>
    <n v="4.5086453999999998"/>
    <n v="-0.48049120000000001"/>
    <n v="2.5368000000000001E-3"/>
    <n v="5.754E-4"/>
    <n v="0"/>
    <n v="0"/>
    <n v="3.6161986000000002"/>
    <n v="2.4855908000000002"/>
    <n v="4.0306909999999991"/>
    <n v="5.754E-4"/>
    <n v="0"/>
    <n v="10.133055799999999"/>
  </r>
  <r>
    <x v="1"/>
    <n v="9940364931"/>
    <s v="Data &amp; Analytics Framework"/>
    <x v="3"/>
    <x v="0"/>
    <s v="SI"/>
    <n v="25.8"/>
    <n v="25.8"/>
    <n v="25.8"/>
    <n v="25.7999914"/>
    <n v="25.8"/>
    <n v="25.803474399999999"/>
    <n v="25.803405600000001"/>
    <n v="25.7929222"/>
    <n v="0"/>
    <n v="0"/>
    <n v="0"/>
    <n v="0"/>
    <n v="77.400000000000006"/>
    <n v="77.403465799999992"/>
    <n v="51.596327799999997"/>
    <n v="0"/>
    <n v="0"/>
    <n v="206.39979360000001"/>
    <n v="7.4046000000000003"/>
    <n v="7.4046000000000003"/>
    <n v="7.4045914000000002"/>
    <n v="7.4046000000000003"/>
    <n v="7.3996722000000004"/>
    <n v="0.46435700000000002"/>
    <n v="27.6959646"/>
    <n v="-2.9515888000000001"/>
    <n v="1.55832E-2"/>
    <n v="3.5346000000000002E-3"/>
    <n v="0"/>
    <n v="0"/>
    <n v="22.213791400000002"/>
    <n v="15.268629199999999"/>
    <n v="24.759958999999998"/>
    <n v="3.5346000000000002E-3"/>
    <n v="0"/>
    <n v="62.245914199999994"/>
  </r>
  <r>
    <x v="1"/>
    <n v="9940258710"/>
    <s v="KOF Application Outsourcing"/>
    <x v="13"/>
    <x v="4"/>
    <s v="AMS"/>
    <n v="100.60938299999999"/>
    <n v="28.6694748"/>
    <n v="29.277519300000002"/>
    <n v="29.3068566"/>
    <n v="31.038904200000001"/>
    <n v="31.038904200000001"/>
    <n v="31.038904200000001"/>
    <n v="31.038904200000001"/>
    <n v="31.038904200000001"/>
    <n v="31.038904200000001"/>
    <n v="17.9378289"/>
    <n v="0"/>
    <n v="158.55637709999999"/>
    <n v="91.384664999999998"/>
    <n v="93.1167126"/>
    <n v="48.976733100000004"/>
    <n v="17.9378289"/>
    <n v="392.03448780000002"/>
    <n v="78.201921900000002"/>
    <n v="6.4628484000000004"/>
    <n v="5.6974992000000002"/>
    <n v="5.1344048999999998"/>
    <n v="18.308264699999999"/>
    <n v="16.0883781"/>
    <n v="15.507922799999999"/>
    <n v="15.2333388"/>
    <n v="18.637686299999999"/>
    <n v="19.8434928"/>
    <n v="11.6136009"/>
    <n v="-0.67255350000000003"/>
    <n v="90.362269499999996"/>
    <n v="39.531047700000002"/>
    <n v="49.3789479"/>
    <n v="30.784540200000002"/>
    <n v="10.9410474"/>
    <n v="210.05680530000004"/>
  </r>
  <r>
    <x v="1"/>
    <n v="9940334193"/>
    <s v="Newmont IT Capacity Services"/>
    <x v="16"/>
    <x v="2"/>
    <s v="AMS"/>
    <n v="4.9605382000000002"/>
    <n v="4.9698228999999996"/>
    <n v="4.6611690000000001"/>
    <n v="4.6673134000000003"/>
    <n v="4.5353776000000003"/>
    <n v="4.4435821999999998"/>
    <n v="4.5181351000000003"/>
    <n v="4.5289058000000004"/>
    <n v="4.5060988999999996"/>
    <n v="4.5788183"/>
    <n v="4.5870610000000003"/>
    <n v="4.5590733999999999"/>
    <n v="14.5915301"/>
    <n v="13.646273200000001"/>
    <n v="13.5531398"/>
    <n v="13.724952699999999"/>
    <n v="9.1461344000000011"/>
    <n v="55.51589580000001"/>
    <n v="1.5296178"/>
    <n v="1.5555139"/>
    <n v="1.5821327999999999"/>
    <n v="1.5684174"/>
    <n v="1.5185103"/>
    <n v="1.4697271999999999"/>
    <n v="1.5262798"/>
    <n v="1.5221136"/>
    <n v="1.4876997999999999"/>
    <n v="1.5223779"/>
    <n v="1.5636117"/>
    <n v="1.545866"/>
    <n v="4.6672644999999999"/>
    <n v="4.5566548999999998"/>
    <n v="4.5360931999999998"/>
    <n v="4.6318555999999997"/>
    <n v="3.1094777000000002"/>
    <n v="18.391868199999998"/>
  </r>
  <r>
    <x v="1"/>
    <n v="9940334193"/>
    <s v="Newmont IT Capacity Services"/>
    <x v="16"/>
    <x v="2"/>
    <s v="IMS"/>
    <n v="3.7562909000000002"/>
    <n v="3.7604142"/>
    <n v="3.5367142999999999"/>
    <n v="3.886212"/>
    <n v="3.7997662000000001"/>
    <n v="3.5625863"/>
    <n v="3.8004877000000001"/>
    <n v="3.7775861000000002"/>
    <n v="3.6084236999999999"/>
    <n v="3.7803870000000002"/>
    <n v="3.9374996000000002"/>
    <n v="3.6125869000000002"/>
    <n v="11.053419399999999"/>
    <n v="11.248564500000001"/>
    <n v="11.1864975"/>
    <n v="11.3304735"/>
    <n v="7.5500865000000008"/>
    <n v="44.818954899999994"/>
    <n v="0.94901599999999997"/>
    <n v="0.96715899999999999"/>
    <n v="0.97112039999999999"/>
    <n v="1.1031500999999999"/>
    <n v="1.0655577000000001"/>
    <n v="0.9728791"/>
    <n v="1.0450035"/>
    <n v="1.0362216"/>
    <n v="0.94944419999999996"/>
    <n v="0.9935621"/>
    <n v="1.0476202999999999"/>
    <n v="0.88348660000000001"/>
    <n v="2.8872954000000002"/>
    <n v="3.1415869000000001"/>
    <n v="3.0306693"/>
    <n v="2.9246689999999997"/>
    <n v="1.9311069000000001"/>
    <n v="11.9842206"/>
  </r>
  <r>
    <x v="1"/>
    <n v="9940534372"/>
    <s v="AC - Implementación OTM Perú"/>
    <x v="13"/>
    <x v="0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250928"/>
    <s v="MX SAN - Nomina Dig onboarding"/>
    <x v="8"/>
    <x v="1"/>
    <s v="CON"/>
    <n v="6.9761199999999995E-2"/>
    <n v="0"/>
    <n v="0"/>
    <n v="0"/>
    <n v="0"/>
    <n v="0"/>
    <n v="0"/>
    <n v="0"/>
    <n v="0"/>
    <n v="0"/>
    <n v="0"/>
    <n v="0"/>
    <n v="6.9761199999999995E-2"/>
    <n v="0"/>
    <n v="0"/>
    <n v="0"/>
    <n v="0"/>
    <n v="6.9761199999999995E-2"/>
    <n v="7.0339200000000004E-2"/>
    <n v="0"/>
    <n v="0"/>
    <n v="0"/>
    <n v="0"/>
    <n v="0"/>
    <n v="0"/>
    <n v="0"/>
    <n v="0"/>
    <n v="0"/>
    <n v="0"/>
    <n v="0"/>
    <n v="7.0339200000000004E-2"/>
    <n v="0"/>
    <n v="0"/>
    <n v="0"/>
    <n v="0"/>
    <n v="7.0339200000000004E-2"/>
  </r>
  <r>
    <x v="1"/>
    <n v="9940250928"/>
    <s v="MX SAN - Nomina Dig onboarding"/>
    <x v="8"/>
    <x v="1"/>
    <s v="SI"/>
    <n v="0.1208708"/>
    <n v="0"/>
    <n v="0"/>
    <n v="0"/>
    <n v="0"/>
    <n v="0"/>
    <n v="0"/>
    <n v="0"/>
    <n v="0"/>
    <n v="0"/>
    <n v="0"/>
    <n v="0"/>
    <n v="0.1208708"/>
    <n v="0"/>
    <n v="0"/>
    <n v="0"/>
    <n v="0"/>
    <n v="0.1208708"/>
    <n v="0.1168468"/>
    <n v="0"/>
    <n v="0"/>
    <n v="0"/>
    <n v="0"/>
    <n v="0"/>
    <n v="0"/>
    <n v="0"/>
    <n v="0"/>
    <n v="0"/>
    <n v="0"/>
    <n v="0"/>
    <n v="0.1168468"/>
    <n v="0"/>
    <n v="0"/>
    <n v="0"/>
    <n v="0"/>
    <n v="0.1168468"/>
  </r>
  <r>
    <x v="1"/>
    <n v="9940250928"/>
    <s v="MX SAN - Nomina Dig onboarding"/>
    <x v="8"/>
    <x v="1"/>
    <s v="AMS"/>
    <n v="0.13532640000000001"/>
    <n v="0"/>
    <n v="0"/>
    <n v="0"/>
    <n v="0"/>
    <n v="0"/>
    <n v="0"/>
    <n v="0"/>
    <n v="0"/>
    <n v="0"/>
    <n v="0"/>
    <n v="0"/>
    <n v="0.13532640000000001"/>
    <n v="0"/>
    <n v="0"/>
    <n v="0"/>
    <n v="0"/>
    <n v="0.13532640000000001"/>
    <n v="0.1364852"/>
    <n v="0"/>
    <n v="0"/>
    <n v="0"/>
    <n v="0"/>
    <n v="0"/>
    <n v="0"/>
    <n v="0"/>
    <n v="0"/>
    <n v="0"/>
    <n v="0"/>
    <n v="0"/>
    <n v="0.1364852"/>
    <n v="0"/>
    <n v="0"/>
    <n v="0"/>
    <n v="0"/>
    <n v="0.1364852"/>
  </r>
  <r>
    <x v="1"/>
    <n v="9940537104"/>
    <s v="CITI GRU Transformation US 80%"/>
    <x v="6"/>
    <x v="0"/>
    <s v="CON"/>
    <n v="63.72"/>
    <n v="63.72"/>
    <n v="63.228081600000003"/>
    <n v="0"/>
    <n v="0"/>
    <n v="0"/>
    <n v="0"/>
    <n v="0"/>
    <n v="0"/>
    <n v="0"/>
    <n v="0"/>
    <n v="0"/>
    <n v="190.66808159999999"/>
    <n v="0"/>
    <n v="0"/>
    <n v="0"/>
    <n v="0"/>
    <n v="190.66808159999999"/>
    <n v="13.1442265"/>
    <n v="12.7360527"/>
    <n v="11.756062699999999"/>
    <n v="-48.018855100000003"/>
    <n v="-0.92406390000000005"/>
    <n v="0"/>
    <n v="0"/>
    <n v="0"/>
    <n v="0"/>
    <n v="0"/>
    <n v="0"/>
    <n v="0"/>
    <n v="37.636341899999998"/>
    <n v="-48.942919000000003"/>
    <n v="0"/>
    <n v="0"/>
    <n v="0"/>
    <n v="-11.306577100000005"/>
  </r>
  <r>
    <x v="1"/>
    <n v="9940537104"/>
    <s v="CITI GRU Transformation US 80%"/>
    <x v="6"/>
    <x v="0"/>
    <s v="SI"/>
    <n v="44.28"/>
    <n v="44.28"/>
    <n v="43.938158399999999"/>
    <n v="0"/>
    <n v="0"/>
    <n v="0"/>
    <n v="0"/>
    <n v="0"/>
    <n v="0"/>
    <n v="0"/>
    <n v="0"/>
    <n v="0"/>
    <n v="132.49815839999999"/>
    <n v="0"/>
    <n v="0"/>
    <n v="0"/>
    <n v="0"/>
    <n v="132.49815839999999"/>
    <n v="9.1341234999999994"/>
    <n v="8.8504772999999997"/>
    <n v="8.1694673000000009"/>
    <n v="-33.369034900000003"/>
    <n v="-0.64214610000000005"/>
    <n v="0"/>
    <n v="0"/>
    <n v="0"/>
    <n v="0"/>
    <n v="0"/>
    <n v="0"/>
    <n v="0"/>
    <n v="26.1540681"/>
    <n v="-34.011181000000001"/>
    <n v="0"/>
    <n v="0"/>
    <n v="0"/>
    <n v="-7.8571129000000006"/>
  </r>
  <r>
    <x v="1"/>
    <n v="9940277877"/>
    <s v="DEVELOPMENT OPERATIONS SERVICES"/>
    <x v="3"/>
    <x v="0"/>
    <s v="AMS"/>
    <n v="30.583982500000001"/>
    <n v="29.886107500000001"/>
    <n v="29.836365000000001"/>
    <n v="29.425135000000001"/>
    <n v="27.389119999999998"/>
    <n v="23.7456"/>
    <n v="27.08325"/>
    <n v="27.08325"/>
    <n v="27.08325"/>
    <n v="27.08325"/>
    <n v="27.08325"/>
    <n v="27.08325"/>
    <n v="90.306455"/>
    <n v="80.559854999999999"/>
    <n v="81.249750000000006"/>
    <n v="81.249750000000006"/>
    <n v="54.166499999999999"/>
    <n v="333.36581000000001"/>
    <n v="8.3179625000000001"/>
    <n v="9.3797774999999994"/>
    <n v="9.3708749999999998"/>
    <n v="8.7738525000000003"/>
    <n v="7.0763775000000004"/>
    <n v="4.4445724999999996"/>
    <n v="7.5012024999999998"/>
    <n v="7.5541824999999996"/>
    <n v="7.5950775000000004"/>
    <n v="7.5981750000000003"/>
    <n v="7.5832499999999996"/>
    <n v="7.5832499999999996"/>
    <n v="27.068615000000001"/>
    <n v="20.294802499999999"/>
    <n v="22.6504625"/>
    <n v="22.764675"/>
    <n v="15.166499999999999"/>
    <n v="92.778554999999997"/>
  </r>
  <r>
    <x v="1"/>
    <n v="9940519950"/>
    <s v="Ternium Servicio Operaciones IT"/>
    <x v="24"/>
    <x v="2"/>
    <s v="IMS"/>
    <n v="98.479600000000005"/>
    <n v="98.479600000000005"/>
    <n v="98.479600000000005"/>
    <n v="98.479600000000005"/>
    <n v="98.479600000000005"/>
    <n v="98.479600000000005"/>
    <n v="98.479600000000005"/>
    <n v="93.931120000000007"/>
    <n v="93.931120000000007"/>
    <n v="93.931120000000007"/>
    <n v="93.931120000000007"/>
    <n v="93.931120000000007"/>
    <n v="295.43880000000001"/>
    <n v="295.43880000000001"/>
    <n v="286.34184000000005"/>
    <n v="281.79336000000001"/>
    <n v="187.86224000000001"/>
    <n v="1159.0128"/>
    <n v="25.05218"/>
    <n v="19.545190000000002"/>
    <n v="20.168800000000001"/>
    <n v="31.582840000000001"/>
    <n v="22.755590000000002"/>
    <n v="29.356300000000001"/>
    <n v="26.369610000000002"/>
    <n v="25.54823"/>
    <n v="19.859570000000001"/>
    <n v="19.042010000000001"/>
    <n v="18.94069"/>
    <n v="19.712319999999998"/>
    <n v="64.766170000000002"/>
    <n v="83.694730000000007"/>
    <n v="71.777410000000003"/>
    <n v="57.69502"/>
    <n v="38.653009999999995"/>
    <n v="277.93333000000001"/>
  </r>
  <r>
    <x v="1"/>
    <n v="9940564448"/>
    <s v="SP-BK-BPO-SW-Full Funnel Agency"/>
    <x v="7"/>
    <x v="3"/>
    <s v="CON"/>
    <n v="6.3467700000000002"/>
    <n v="6.3467700000000002"/>
    <n v="6.1388800000000003"/>
    <n v="6.1388800000000003"/>
    <n v="6.1388800000000003"/>
    <n v="6.1388800000000003"/>
    <n v="6.1388800000000003"/>
    <n v="7.3092100000000002"/>
    <n v="6.1388800000000003"/>
    <n v="6.1388800000000003"/>
    <n v="6.1388800000000003"/>
    <n v="6.1388800000000003"/>
    <n v="18.832419999999999"/>
    <n v="18.416640000000001"/>
    <n v="19.586970000000001"/>
    <n v="18.416640000000001"/>
    <n v="12.277760000000001"/>
    <n v="75.252669999999995"/>
    <n v="2.9428700000000001"/>
    <n v="4.18926"/>
    <n v="3.9813700000000001"/>
    <n v="3.9828100000000002"/>
    <n v="3.9530400000000001"/>
    <n v="3.9530400000000001"/>
    <n v="3.9530400000000001"/>
    <n v="5.1240600000000001"/>
    <n v="3.9769299999999999"/>
    <n v="3.97628"/>
    <n v="3.9556200000000001"/>
    <n v="3.9556200000000001"/>
    <n v="11.1135"/>
    <n v="11.88889"/>
    <n v="13.054029999999999"/>
    <n v="11.88752"/>
    <n v="7.9112400000000003"/>
    <n v="47.943939999999998"/>
  </r>
  <r>
    <x v="1"/>
    <n v="9940564448"/>
    <s v="SP-BK-BPO-SW-Full Funnel Agency"/>
    <x v="7"/>
    <x v="3"/>
    <s v="BPMS"/>
    <n v="83.324449999999999"/>
    <n v="83.324449999999999"/>
    <n v="77.187809999999999"/>
    <n v="72.637280000000004"/>
    <n v="72.637280000000004"/>
    <n v="72.637280000000004"/>
    <n v="72.637280000000004"/>
    <n v="107.18429"/>
    <n v="98.255049999999997"/>
    <n v="72.637280000000004"/>
    <n v="72.637280000000004"/>
    <n v="72.637280000000004"/>
    <n v="243.83670999999998"/>
    <n v="217.91184000000001"/>
    <n v="278.07661999999999"/>
    <n v="217.91184000000001"/>
    <n v="145.27456000000001"/>
    <n v="957.73701000000005"/>
    <n v="21.225460000000002"/>
    <n v="24.922280000000001"/>
    <n v="18.938040000000001"/>
    <n v="14.058120000000001"/>
    <n v="13.87975"/>
    <n v="13.986079999999999"/>
    <n v="13.590310000000001"/>
    <n v="49.160159999999998"/>
    <n v="43.149619999999999"/>
    <n v="18.122"/>
    <n v="18.049040000000002"/>
    <n v="18.387350000000001"/>
    <n v="65.08578"/>
    <n v="41.923949999999998"/>
    <n v="105.90009000000001"/>
    <n v="54.558390000000003"/>
    <n v="36.436390000000003"/>
    <n v="267.46821"/>
  </r>
  <r>
    <x v="1"/>
    <n v="9940565303"/>
    <s v="Supply Chain - TMS Upgrade (BY)"/>
    <x v="25"/>
    <x v="4"/>
    <s v="C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447844"/>
    <s v="NLBA_Global CRM Agency Expansion"/>
    <x v="27"/>
    <x v="3"/>
    <s v="C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30688"/>
    <s v="AMIS-MX-AIP-Licency Renewal 2025"/>
    <x v="14"/>
    <x v="1"/>
    <s v="CON"/>
    <n v="14.4901"/>
    <n v="14.4901"/>
    <n v="14.4901"/>
    <n v="14.4901"/>
    <n v="14.4901"/>
    <n v="14.4901"/>
    <n v="14.489940000000001"/>
    <n v="0"/>
    <n v="0"/>
    <n v="0"/>
    <n v="0"/>
    <n v="0"/>
    <n v="43.470300000000002"/>
    <n v="43.470300000000002"/>
    <n v="14.489940000000001"/>
    <n v="0"/>
    <n v="0"/>
    <n v="101.43054000000001"/>
    <n v="6.1210000000000004"/>
    <n v="5.9760900000000001"/>
    <n v="5.8311900000000003"/>
    <n v="5.6862899999999996"/>
    <n v="5.5413899999999998"/>
    <n v="5.39649"/>
    <n v="5.25143"/>
    <n v="0"/>
    <n v="0"/>
    <n v="0"/>
    <n v="0"/>
    <n v="0"/>
    <n v="17.928280000000001"/>
    <n v="16.624169999999999"/>
    <n v="5.25143"/>
    <n v="0"/>
    <n v="0"/>
    <n v="39.803879999999999"/>
  </r>
  <r>
    <x v="1"/>
    <n v="9940532944"/>
    <s v="Chedraui - Retail Media Blueprint"/>
    <x v="28"/>
    <x v="3"/>
    <s v="C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32944"/>
    <s v="Chedraui - Retail Media Blueprint"/>
    <x v="28"/>
    <x v="3"/>
    <s v="S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47078"/>
    <s v="MX SAN - Nomina Digital (Intern.)"/>
    <x v="8"/>
    <x v="0"/>
    <s v="CON"/>
    <n v="28.883835000000001"/>
    <n v="28.883835000000001"/>
    <n v="28.883835000000001"/>
    <n v="28.883835000000001"/>
    <n v="28.883835000000001"/>
    <n v="28.883835000000001"/>
    <n v="28.883835000000001"/>
    <n v="28.883835000000001"/>
    <n v="28.883835000000001"/>
    <n v="28.883835000000001"/>
    <n v="28.883835000000001"/>
    <n v="28.883835000000001"/>
    <n v="86.651505"/>
    <n v="86.651505"/>
    <n v="86.651505"/>
    <n v="86.651505"/>
    <n v="57.767670000000003"/>
    <n v="346.60602"/>
    <n v="11.81349"/>
    <n v="11.81349"/>
    <n v="11.81349"/>
    <n v="11.81349"/>
    <n v="11.81349"/>
    <n v="11.81349"/>
    <n v="11.81349"/>
    <n v="11.81349"/>
    <n v="11.81349"/>
    <n v="11.81349"/>
    <n v="11.81349"/>
    <n v="11.81349"/>
    <n v="35.440469999999998"/>
    <n v="35.440469999999998"/>
    <n v="35.440469999999998"/>
    <n v="35.440469999999998"/>
    <n v="23.62698"/>
    <n v="141.76187999999999"/>
  </r>
  <r>
    <x v="1"/>
    <n v="9940547078"/>
    <s v="MX SAN - Nomina Digital (Intern.)"/>
    <x v="8"/>
    <x v="0"/>
    <s v="S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47078"/>
    <s v="MX SAN - Nomina Digital (Intern.)"/>
    <x v="8"/>
    <x v="0"/>
    <s v="SI"/>
    <n v="170.32416499999999"/>
    <n v="170.32416499999999"/>
    <n v="170.32416499999999"/>
    <n v="170.32416499999999"/>
    <n v="170.32416499999999"/>
    <n v="170.32416499999999"/>
    <n v="170.32416499999999"/>
    <n v="170.32416499999999"/>
    <n v="170.32416499999999"/>
    <n v="170.32416499999999"/>
    <n v="170.32416499999999"/>
    <n v="170.32416499999999"/>
    <n v="510.97249499999998"/>
    <n v="510.97249499999998"/>
    <n v="510.97249499999998"/>
    <n v="510.97249499999998"/>
    <n v="340.64832999999999"/>
    <n v="2043.8899799999999"/>
    <n v="61.487025000000003"/>
    <n v="61.487025000000003"/>
    <n v="61.487025000000003"/>
    <n v="61.487025000000003"/>
    <n v="61.487025000000003"/>
    <n v="61.487025000000003"/>
    <n v="61.487025000000003"/>
    <n v="61.487025000000003"/>
    <n v="61.487025000000003"/>
    <n v="61.487025000000003"/>
    <n v="61.487025000000003"/>
    <n v="61.487025000000003"/>
    <n v="184.46107499999999"/>
    <n v="184.46107499999999"/>
    <n v="184.46107499999999"/>
    <n v="184.46107499999999"/>
    <n v="122.97405000000001"/>
    <n v="737.84429999999998"/>
  </r>
  <r>
    <x v="1"/>
    <n v="9940547078"/>
    <s v="MX SAN - Nomina Digital (Intern.)"/>
    <x v="8"/>
    <x v="0"/>
    <s v="AMS"/>
    <n v="145.21627000000001"/>
    <n v="145.21627000000001"/>
    <n v="145.21627000000001"/>
    <n v="145.21627000000001"/>
    <n v="145.21627000000001"/>
    <n v="145.21627000000001"/>
    <n v="145.21627000000001"/>
    <n v="145.21627000000001"/>
    <n v="145.21627000000001"/>
    <n v="145.21627000000001"/>
    <n v="145.21627000000001"/>
    <n v="145.21627000000001"/>
    <n v="435.64881000000003"/>
    <n v="435.64881000000003"/>
    <n v="435.64881000000003"/>
    <n v="435.64881000000003"/>
    <n v="290.43254000000002"/>
    <n v="1742.5952400000001"/>
    <n v="46.178775000000002"/>
    <n v="46.178775000000002"/>
    <n v="46.178775000000002"/>
    <n v="46.178775000000002"/>
    <n v="46.178775000000002"/>
    <n v="46.178775000000002"/>
    <n v="46.178775000000002"/>
    <n v="46.178775000000002"/>
    <n v="46.178775000000002"/>
    <n v="46.178775000000002"/>
    <n v="46.178775000000002"/>
    <n v="46.178775000000002"/>
    <n v="138.53632500000001"/>
    <n v="138.53632500000001"/>
    <n v="138.53632500000001"/>
    <n v="138.53632500000001"/>
    <n v="92.357550000000003"/>
    <n v="554.14530000000002"/>
  </r>
  <r>
    <x v="1"/>
    <n v="9940547078"/>
    <s v="MX SAN - Nomina Digital (Intern.)"/>
    <x v="8"/>
    <x v="0"/>
    <s v="BPMS"/>
    <n v="203.01415"/>
    <n v="203.01415"/>
    <n v="203.01415"/>
    <n v="203.01415"/>
    <n v="203.01415"/>
    <n v="203.01415"/>
    <n v="203.01415"/>
    <n v="203.01415"/>
    <n v="203.01415"/>
    <n v="203.01415"/>
    <n v="203.01415"/>
    <n v="203.01415"/>
    <n v="609.04245000000003"/>
    <n v="609.04245000000003"/>
    <n v="609.04245000000003"/>
    <n v="609.04245000000003"/>
    <n v="406.0283"/>
    <n v="2436.1698000000001"/>
    <n v="77.145375000000001"/>
    <n v="77.145375000000001"/>
    <n v="77.145375000000001"/>
    <n v="77.145375000000001"/>
    <n v="77.145375000000001"/>
    <n v="77.145375000000001"/>
    <n v="77.145375000000001"/>
    <n v="77.145375000000001"/>
    <n v="77.145375000000001"/>
    <n v="77.145375000000001"/>
    <n v="77.145375000000001"/>
    <n v="77.145375000000001"/>
    <n v="231.436125"/>
    <n v="231.436125"/>
    <n v="231.436125"/>
    <n v="231.436125"/>
    <n v="154.29075"/>
    <n v="925.74450000000002"/>
  </r>
  <r>
    <x v="1"/>
    <n v="9940548855"/>
    <s v="Proximidad - Finance Processes L4"/>
    <x v="5"/>
    <x v="1"/>
    <s v="C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48855"/>
    <s v="Proximidad - Finance Processes L4"/>
    <x v="5"/>
    <x v="1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447770"/>
    <s v="MKT VISTA_Research SAGE Travel PRO"/>
    <x v="26"/>
    <x v="3"/>
    <s v="CON"/>
    <n v="156.5376"/>
    <n v="164.02176"/>
    <n v="143.99039999999999"/>
    <n v="126.6"/>
    <n v="0"/>
    <n v="0"/>
    <n v="0"/>
    <n v="0"/>
    <n v="0"/>
    <n v="0"/>
    <n v="0"/>
    <n v="0"/>
    <n v="464.54975999999999"/>
    <n v="126.6"/>
    <n v="0"/>
    <n v="0"/>
    <n v="0"/>
    <n v="591.14976000000001"/>
    <n v="50.638449999999999"/>
    <n v="53.446170000000002"/>
    <n v="46.028790000000001"/>
    <n v="39.527389999999997"/>
    <n v="-2.7059199999999999"/>
    <n v="-1.2660199999999999"/>
    <n v="-2.0000000000000002E-5"/>
    <n v="-2.0000000000000002E-5"/>
    <n v="-2.0000000000000002E-5"/>
    <n v="-2.0000000000000002E-5"/>
    <n v="-2.0000000000000002E-5"/>
    <n v="-2.0000000000000002E-5"/>
    <n v="150.11340999999999"/>
    <n v="35.55545"/>
    <n v="-6.0000000000000008E-5"/>
    <n v="-6.0000000000000008E-5"/>
    <n v="-4.0000000000000003E-5"/>
    <n v="185.66874000000001"/>
  </r>
  <r>
    <x v="1"/>
    <n v="9940542499"/>
    <s v="AP26_MX Actinver - QE core banking"/>
    <x v="18"/>
    <x v="0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75134"/>
    <s v="2026 | NA Payroll Assessment (JDE)"/>
    <x v="29"/>
    <x v="1"/>
    <s v="C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.9049800000000001"/>
    <n v="-0.95747000000000004"/>
    <n v="0"/>
    <n v="0"/>
    <n v="0"/>
    <n v="0"/>
    <n v="0"/>
    <n v="0"/>
    <n v="0"/>
    <n v="0"/>
    <n v="0"/>
    <n v="0"/>
    <n v="-4.8624499999999999"/>
    <n v="0"/>
    <n v="0"/>
    <n v="0"/>
    <n v="0"/>
    <n v="-4.8624499999999999"/>
  </r>
  <r>
    <x v="1"/>
    <n v="9940397792"/>
    <s v="L'Oréal Neo Roll-Out - Central Team"/>
    <x v="30"/>
    <x v="4"/>
    <s v="CON"/>
    <n v="1.6024474440000001"/>
    <n v="1.550061396"/>
    <n v="1.5694394819999999"/>
    <n v="1.2227436"/>
    <n v="4.815165264"/>
    <n v="4.6886432320000004"/>
    <n v="5.2232931660000004"/>
    <n v="5.0471168019999997"/>
    <n v="5.2853229519999996"/>
    <n v="6.0746875280000001"/>
    <n v="3.9815189960000001"/>
    <n v="3.020503122"/>
    <n v="4.7219483220000003"/>
    <n v="10.726552096000001"/>
    <n v="15.555732919999999"/>
    <n v="13.076709646000001"/>
    <n v="7.0020221180000002"/>
    <n v="44.080942984000004"/>
    <n v="0.63626550000000004"/>
    <n v="0.60651263399999999"/>
    <n v="0.61912913400000003"/>
    <n v="0.44594823"/>
    <n v="2.0285465720000002"/>
    <n v="1.9802467880000001"/>
    <n v="2.1965297640000001"/>
    <n v="2.1090741880000001"/>
    <n v="2.2415969420000001"/>
    <n v="2.381621242"/>
    <n v="1.424107776"/>
    <n v="1.134967652"/>
    <n v="1.8619072679999999"/>
    <n v="4.4547415900000003"/>
    <n v="6.5472008940000004"/>
    <n v="4.9406966700000003"/>
    <n v="2.5590754279999999"/>
    <n v="17.804546422000001"/>
  </r>
  <r>
    <x v="1"/>
    <n v="9940397792"/>
    <s v="L'Oréal Neo Roll-Out - Central Team"/>
    <x v="30"/>
    <x v="4"/>
    <s v="SI"/>
    <n v="10.724071356"/>
    <n v="10.373487804"/>
    <n v="10.503171918"/>
    <n v="8.1829763999999994"/>
    <n v="32.224567536000002"/>
    <n v="31.377843167999998"/>
    <n v="34.955885033999998"/>
    <n v="33.776858597999997"/>
    <n v="35.371007448"/>
    <n v="40.653678071999998"/>
    <n v="26.645550203999999"/>
    <n v="20.214136278000002"/>
    <n v="31.600731077999999"/>
    <n v="71.785387103999994"/>
    <n v="104.10375107999999"/>
    <n v="87.513364553999992"/>
    <n v="46.859686482000001"/>
    <n v="295.00323381599998"/>
    <n v="4.2580844999999998"/>
    <n v="4.0589691659999998"/>
    <n v="4.1434026660000001"/>
    <n v="2.9844227700000001"/>
    <n v="13.575657828000001"/>
    <n v="13.252420812"/>
    <n v="14.699853036"/>
    <n v="14.114573412"/>
    <n v="15.001456458"/>
    <n v="15.938542158000001"/>
    <n v="9.5305674239999991"/>
    <n v="7.5955527480000002"/>
    <n v="12.460456332"/>
    <n v="29.812501409999999"/>
    <n v="43.815882905999999"/>
    <n v="33.064662330000004"/>
    <n v="17.126120172"/>
    <n v="119.15350297800001"/>
  </r>
  <r>
    <x v="1"/>
    <n v="9940499510"/>
    <s v="SP-BK-JV Smart Assistant Dev Q224MX"/>
    <x v="7"/>
    <x v="0"/>
    <s v="SI"/>
    <n v="15.1897"/>
    <n v="0"/>
    <n v="0"/>
    <n v="0"/>
    <n v="0"/>
    <n v="0"/>
    <n v="0"/>
    <n v="0"/>
    <n v="0"/>
    <n v="0"/>
    <n v="0"/>
    <n v="0"/>
    <n v="15.1897"/>
    <n v="0"/>
    <n v="0"/>
    <n v="0"/>
    <n v="0"/>
    <n v="15.1897"/>
    <n v="2.3721800000000002"/>
    <n v="0"/>
    <n v="0"/>
    <n v="0"/>
    <n v="0"/>
    <n v="0"/>
    <n v="0"/>
    <n v="0"/>
    <n v="0"/>
    <n v="0"/>
    <n v="0"/>
    <n v="0"/>
    <n v="2.3721800000000002"/>
    <n v="0"/>
    <n v="0"/>
    <n v="0"/>
    <n v="0"/>
    <n v="2.3721800000000002"/>
  </r>
  <r>
    <x v="1"/>
    <n v="9940564207"/>
    <s v="MX SAN - Asistentes Virt REG $27.5k"/>
    <x v="8"/>
    <x v="5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926399999999996"/>
    <n v="0"/>
    <n v="0"/>
    <n v="0"/>
    <n v="0"/>
    <n v="0"/>
    <n v="0"/>
    <n v="0"/>
    <n v="0"/>
    <n v="0"/>
    <n v="0"/>
    <n v="0"/>
    <n v="4.2926399999999996"/>
    <n v="0"/>
    <n v="0"/>
    <n v="0"/>
    <n v="0"/>
    <n v="4.2926399999999996"/>
  </r>
  <r>
    <x v="1"/>
    <n v="9940572727"/>
    <s v="Metlife-MX-Intent driven care - NBM"/>
    <x v="31"/>
    <x v="3"/>
    <s v="C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41650999999999999"/>
    <n v="0"/>
    <n v="0"/>
    <n v="0"/>
    <n v="0"/>
    <n v="0"/>
    <n v="0"/>
    <n v="0"/>
    <n v="0"/>
    <n v="0"/>
    <n v="0"/>
    <n v="0"/>
    <n v="-0.41650999999999999"/>
    <n v="0"/>
    <n v="0"/>
    <n v="0"/>
    <n v="0"/>
    <n v="-0.41650999999999999"/>
  </r>
  <r>
    <x v="1"/>
    <n v="9940480171"/>
    <s v="MX-BK-AMS JMR POST D&amp;D Services 2024"/>
    <x v="7"/>
    <x v="0"/>
    <s v="AMS"/>
    <n v="179.90831399999999"/>
    <n v="178.25198399999999"/>
    <n v="169.05695700000001"/>
    <n v="169.05695700000001"/>
    <n v="178.360356"/>
    <n v="178.360356"/>
    <n v="178.360356"/>
    <n v="187.66375199999999"/>
    <n v="187.66375199999999"/>
    <n v="187.66375199999999"/>
    <n v="196.967151"/>
    <n v="196.967151"/>
    <n v="527.21725500000002"/>
    <n v="525.77766900000006"/>
    <n v="553.68786"/>
    <n v="581.59805400000005"/>
    <n v="393.934302"/>
    <n v="2188.2808380000001"/>
    <n v="44.669927999999999"/>
    <n v="49.371315000000003"/>
    <n v="63.604773000000002"/>
    <n v="64.716932999999997"/>
    <n v="52.732899000000003"/>
    <n v="24.695187000000001"/>
    <n v="55.324587000000001"/>
    <n v="54.435996000000003"/>
    <n v="53.961371999999997"/>
    <n v="44.933166"/>
    <n v="52.234856999999998"/>
    <n v="55.578902999999997"/>
    <n v="157.646016"/>
    <n v="142.14501899999999"/>
    <n v="163.72195499999998"/>
    <n v="152.746926"/>
    <n v="107.81376"/>
    <n v="616.25991599999998"/>
  </r>
  <r>
    <x v="1"/>
    <n v="9940576284"/>
    <s v="MX Gentera - North Star Core. Fase 1"/>
    <x v="22"/>
    <x v="0"/>
    <s v="C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.1225168000000001"/>
    <n v="-0.68517600000000001"/>
    <n v="0"/>
    <n v="0"/>
    <n v="0"/>
    <n v="0"/>
    <n v="0"/>
    <n v="0"/>
    <n v="0"/>
    <n v="0"/>
    <n v="0"/>
    <n v="0"/>
    <n v="-2.8076927999999999"/>
    <n v="0"/>
    <n v="0"/>
    <n v="0"/>
    <n v="0"/>
    <n v="-2.8076927999999999"/>
  </r>
  <r>
    <x v="1"/>
    <n v="9940576284"/>
    <s v="MX Gentera - North Star Core. Fase 1"/>
    <x v="22"/>
    <x v="0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.2993931999999999"/>
    <n v="-0.74227399999999999"/>
    <n v="0"/>
    <n v="0"/>
    <n v="0"/>
    <n v="0"/>
    <n v="0"/>
    <n v="0"/>
    <n v="0"/>
    <n v="0"/>
    <n v="0"/>
    <n v="0"/>
    <n v="-3.0416672"/>
    <n v="0"/>
    <n v="0"/>
    <n v="0"/>
    <n v="0"/>
    <n v="-3.0416672"/>
  </r>
  <r>
    <x v="1"/>
    <n v="9940505640"/>
    <s v="Digital&amp;Data Managed Services RFP 50%"/>
    <x v="16"/>
    <x v="0"/>
    <s v="CON"/>
    <n v="88.555802799999995"/>
    <n v="85.203760399999993"/>
    <n v="61.971851999999998"/>
    <n v="68.539493399999998"/>
    <n v="0"/>
    <n v="0"/>
    <n v="0"/>
    <n v="0"/>
    <n v="0"/>
    <n v="0"/>
    <n v="0"/>
    <n v="0"/>
    <n v="235.73141520000001"/>
    <n v="68.539493399999998"/>
    <n v="0"/>
    <n v="0"/>
    <n v="0"/>
    <n v="304.27090859999998"/>
    <n v="37.4892331"/>
    <n v="36.423840599999998"/>
    <n v="25.626332900000001"/>
    <n v="28.829872900000002"/>
    <n v="-2.4484110000000001"/>
    <n v="-6.52147E-2"/>
    <n v="0"/>
    <n v="0"/>
    <n v="0"/>
    <n v="0"/>
    <n v="0"/>
    <n v="0"/>
    <n v="99.539406600000007"/>
    <n v="26.316247200000003"/>
    <n v="0"/>
    <n v="0"/>
    <n v="0"/>
    <n v="125.85565380000001"/>
  </r>
  <r>
    <x v="1"/>
    <n v="9940505640"/>
    <s v="Digital&amp;Data Managed Services RFP 50%"/>
    <x v="16"/>
    <x v="0"/>
    <s v="SI"/>
    <n v="197.1080772"/>
    <n v="189.64707960000001"/>
    <n v="137.93734799999999"/>
    <n v="152.55564659999999"/>
    <n v="0"/>
    <n v="0"/>
    <n v="0"/>
    <n v="0"/>
    <n v="0"/>
    <n v="0"/>
    <n v="0"/>
    <n v="0"/>
    <n v="524.69250480000005"/>
    <n v="152.55564659999999"/>
    <n v="0"/>
    <n v="0"/>
    <n v="0"/>
    <n v="677.2481514000001"/>
    <n v="83.443776900000003"/>
    <n v="81.072419400000001"/>
    <n v="57.0392571"/>
    <n v="64.1697171"/>
    <n v="-5.4496890000000002"/>
    <n v="-0.14515529999999999"/>
    <n v="0"/>
    <n v="0"/>
    <n v="0"/>
    <n v="0"/>
    <n v="0"/>
    <n v="0"/>
    <n v="221.55545339999998"/>
    <n v="58.574872800000001"/>
    <n v="0"/>
    <n v="0"/>
    <n v="0"/>
    <n v="280.13032619999996"/>
  </r>
  <r>
    <x v="1"/>
    <n v="9940505640"/>
    <s v="Digital&amp;Data Managed Services RFP 50%"/>
    <x v="16"/>
    <x v="0"/>
    <s v="AMS"/>
    <n v="102.47851"/>
    <n v="95.895009999999999"/>
    <n v="95.895009999999999"/>
    <n v="95.895009999999999"/>
    <n v="158.25576000000001"/>
    <n v="158.25576000000001"/>
    <n v="158.25576000000001"/>
    <n v="158.25576000000001"/>
    <n v="158.25576000000001"/>
    <n v="158.25576000000001"/>
    <n v="158.25576000000001"/>
    <n v="158.25576000000001"/>
    <n v="294.26853"/>
    <n v="412.40653000000003"/>
    <n v="474.76728000000003"/>
    <n v="474.76728000000003"/>
    <n v="316.51152000000002"/>
    <n v="1656.2096200000001"/>
    <n v="30.64059"/>
    <n v="26.614049999999999"/>
    <n v="26.94182"/>
    <n v="25.668469999999999"/>
    <n v="64.507710000000003"/>
    <n v="63.728250000000003"/>
    <n v="63.019590000000001"/>
    <n v="63.01491"/>
    <n v="63.01491"/>
    <n v="67.227130000000002"/>
    <n v="67.227130000000002"/>
    <n v="67.14922"/>
    <n v="84.196460000000002"/>
    <n v="153.90442999999999"/>
    <n v="189.04941000000002"/>
    <n v="201.60347999999999"/>
    <n v="134.37635"/>
    <n v="628.75378000000001"/>
  </r>
  <r>
    <x v="1"/>
    <n v="9940559900"/>
    <s v="MX SAN - Migración Tableau a Power BI"/>
    <x v="8"/>
    <x v="0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00613"/>
    <s v="KOF Promo V0 y V1 &amp; Dynamic Pricing V1"/>
    <x v="13"/>
    <x v="3"/>
    <s v="C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80.95093000000003"/>
    <n v="-313.22107999999997"/>
    <n v="-223.6344"/>
    <n v="-189.17932999999999"/>
    <n v="-65.046819999999997"/>
    <n v="-59.749070000000003"/>
    <n v="5.5849999999999997E-2"/>
    <n v="0.58940999999999999"/>
    <n v="0"/>
    <n v="0"/>
    <n v="0"/>
    <n v="0"/>
    <n v="-817.80641000000003"/>
    <n v="-313.97521999999998"/>
    <n v="0.64525999999999994"/>
    <n v="0"/>
    <n v="0"/>
    <n v="-1131.1363699999999"/>
  </r>
  <r>
    <x v="1"/>
    <n v="9940534232"/>
    <s v="CITI-MX-Adobe Migration for Separation"/>
    <x v="6"/>
    <x v="3"/>
    <s v="AMS"/>
    <n v="57.805396000000002"/>
    <n v="13.410408"/>
    <n v="13.410408"/>
    <n v="0"/>
    <n v="0"/>
    <n v="0"/>
    <n v="0"/>
    <n v="0"/>
    <n v="0"/>
    <n v="0"/>
    <n v="0"/>
    <n v="0"/>
    <n v="84.62621200000001"/>
    <n v="0"/>
    <n v="0"/>
    <n v="0"/>
    <n v="0"/>
    <n v="84.62621200000001"/>
    <n v="35.597644000000003"/>
    <n v="-5.7931480000000004"/>
    <n v="6.3406120000000001"/>
    <n v="-0.15556"/>
    <n v="0"/>
    <n v="0"/>
    <n v="0"/>
    <n v="0"/>
    <n v="0"/>
    <n v="0"/>
    <n v="0"/>
    <n v="0"/>
    <n v="36.145108"/>
    <n v="-0.15556"/>
    <n v="0"/>
    <n v="0"/>
    <n v="0"/>
    <n v="35.989547999999999"/>
  </r>
  <r>
    <x v="1"/>
    <n v="9940572803"/>
    <s v="MX Gentera - Arquitectura People datos"/>
    <x v="22"/>
    <x v="0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13403"/>
    <s v="AP25 ABI MX Supply Chain Command Center"/>
    <x v="32"/>
    <x v="0"/>
    <s v="S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40569550"/>
    <s v="MX-BK-SI-VZ OpenControl Modernization F1"/>
    <x v="7"/>
    <x v="2"/>
    <s v="CON"/>
    <n v="7.7947360000000003"/>
    <n v="0"/>
    <n v="0"/>
    <n v="0"/>
    <n v="0"/>
    <n v="0"/>
    <n v="0"/>
    <n v="0"/>
    <n v="0"/>
    <n v="0"/>
    <n v="0"/>
    <n v="0"/>
    <n v="7.7947360000000003"/>
    <n v="0"/>
    <n v="0"/>
    <n v="0"/>
    <n v="0"/>
    <n v="7.7947360000000003"/>
    <n v="7.7947319999999998"/>
    <n v="0"/>
    <n v="0"/>
    <n v="0"/>
    <n v="0"/>
    <n v="0"/>
    <n v="0"/>
    <n v="0"/>
    <n v="0"/>
    <n v="0"/>
    <n v="0"/>
    <n v="0"/>
    <n v="7.7947319999999998"/>
    <n v="0"/>
    <n v="0"/>
    <n v="0"/>
    <n v="0"/>
    <n v="7.7947319999999998"/>
  </r>
  <r>
    <x v="1"/>
    <n v="9940569550"/>
    <s v="MX-BK-SI-VZ OpenControl Modernization F1"/>
    <x v="7"/>
    <x v="2"/>
    <s v="SI"/>
    <n v="11.692104"/>
    <n v="0"/>
    <n v="0"/>
    <n v="0"/>
    <n v="0"/>
    <n v="0"/>
    <n v="0"/>
    <n v="0"/>
    <n v="0"/>
    <n v="0"/>
    <n v="0"/>
    <n v="0"/>
    <n v="11.692104"/>
    <n v="0"/>
    <n v="0"/>
    <n v="0"/>
    <n v="0"/>
    <n v="11.692104"/>
    <n v="11.692098"/>
    <n v="0"/>
    <n v="0"/>
    <n v="0"/>
    <n v="0"/>
    <n v="0"/>
    <n v="0"/>
    <n v="0"/>
    <n v="0"/>
    <n v="0"/>
    <n v="0"/>
    <n v="0"/>
    <n v="11.692098"/>
    <n v="0"/>
    <n v="0"/>
    <n v="0"/>
    <n v="0"/>
    <n v="11.692098"/>
  </r>
  <r>
    <x v="2"/>
    <m/>
    <m/>
    <x v="3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EF2028-A2E6-42A7-A6B3-8EC2E1C2813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4:G34" firstHeaderRow="0" firstDataRow="1" firstDataCol="1" rowPageCount="1" colPageCount="1"/>
  <pivotFields count="42">
    <pivotField axis="axisPage" compact="0" outline="0" multipleItemSelectionAllowed="1" showAll="0">
      <items count="4">
        <item h="1" x="0"/>
        <item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5">
        <item x="32"/>
        <item x="18"/>
        <item x="15"/>
        <item x="14"/>
        <item x="9"/>
        <item x="7"/>
        <item x="6"/>
        <item x="13"/>
        <item x="1"/>
        <item x="5"/>
        <item x="22"/>
        <item x="2"/>
        <item x="21"/>
        <item x="4"/>
        <item x="30"/>
        <item x="3"/>
        <item x="16"/>
        <item x="0"/>
        <item x="8"/>
        <item x="12"/>
        <item x="33"/>
        <item x="10"/>
        <item x="11"/>
        <item x="17"/>
        <item x="19"/>
        <item x="20"/>
        <item x="23"/>
        <item x="24"/>
        <item x="25"/>
        <item x="26"/>
        <item x="27"/>
        <item x="28"/>
        <item x="29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2"/>
        <item x="0"/>
        <item x="1"/>
        <item x="5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4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Rev - FY27 Backlog" fld="23" baseField="0" baseItem="0"/>
    <dataField name="Sum of CCI - FY27-Backlog" fld="41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A0488-272A-46DC-83E8-0A6B198F31E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C38" firstHeaderRow="0" firstDataRow="1" firstDataCol="1" rowPageCount="1" colPageCount="1"/>
  <pivotFields count="42">
    <pivotField axis="axisPage" compact="0" outline="0" multipleItemSelectionAllowed="1" showAll="0">
      <items count="4">
        <item x="0"/>
        <item h="1"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5">
        <item x="32"/>
        <item x="18"/>
        <item x="15"/>
        <item x="14"/>
        <item x="9"/>
        <item x="7"/>
        <item x="6"/>
        <item x="13"/>
        <item x="1"/>
        <item x="5"/>
        <item x="22"/>
        <item x="2"/>
        <item x="21"/>
        <item x="4"/>
        <item x="30"/>
        <item x="3"/>
        <item x="16"/>
        <item x="0"/>
        <item x="8"/>
        <item x="12"/>
        <item x="33"/>
        <item x="10"/>
        <item x="11"/>
        <item x="17"/>
        <item x="19"/>
        <item x="20"/>
        <item x="23"/>
        <item x="24"/>
        <item x="25"/>
        <item x="26"/>
        <item x="27"/>
        <item x="28"/>
        <item x="29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2"/>
        <item x="0"/>
        <item x="1"/>
        <item x="5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Rev - FY26 Backlog" fld="22" baseField="0" baseItem="0"/>
    <dataField name="Sum of CCI - FY26-Backlog" fld="40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4CF5-974E-4F8C-9AA3-C7582BE502AA}">
  <dimension ref="A2:G38"/>
  <sheetViews>
    <sheetView zoomScale="90" zoomScaleNormal="90" workbookViewId="0">
      <selection activeCell="H6" sqref="H6"/>
    </sheetView>
  </sheetViews>
  <sheetFormatPr defaultRowHeight="14.4" x14ac:dyDescent="0.55000000000000004"/>
  <cols>
    <col min="1" max="1" width="36.3671875" bestFit="1" customWidth="1"/>
    <col min="2" max="2" width="23" bestFit="1" customWidth="1"/>
    <col min="3" max="3" width="23.3671875" bestFit="1" customWidth="1"/>
    <col min="4" max="4" width="18.89453125" bestFit="1" customWidth="1"/>
    <col min="5" max="5" width="36.3671875" bestFit="1" customWidth="1"/>
    <col min="6" max="6" width="23" bestFit="1" customWidth="1"/>
    <col min="7" max="7" width="23.3671875" bestFit="1" customWidth="1"/>
    <col min="8" max="9" width="14.1015625" bestFit="1" customWidth="1"/>
    <col min="10" max="10" width="13.7890625" bestFit="1" customWidth="1"/>
  </cols>
  <sheetData>
    <row r="2" spans="1:7" x14ac:dyDescent="0.55000000000000004">
      <c r="A2" s="5" t="s">
        <v>27</v>
      </c>
      <c r="B2" t="s">
        <v>31</v>
      </c>
      <c r="E2" s="5" t="s">
        <v>27</v>
      </c>
      <c r="F2" t="s">
        <v>92</v>
      </c>
    </row>
    <row r="4" spans="1:7" x14ac:dyDescent="0.55000000000000004">
      <c r="A4" s="5" t="s">
        <v>71</v>
      </c>
      <c r="B4" t="s">
        <v>162</v>
      </c>
      <c r="C4" t="s">
        <v>163</v>
      </c>
      <c r="E4" s="5" t="s">
        <v>71</v>
      </c>
      <c r="F4" t="s">
        <v>164</v>
      </c>
      <c r="G4" t="s">
        <v>165</v>
      </c>
    </row>
    <row r="5" spans="1:7" x14ac:dyDescent="0.55000000000000004">
      <c r="A5" t="s">
        <v>77</v>
      </c>
      <c r="B5" s="7">
        <v>0</v>
      </c>
      <c r="C5" s="7">
        <v>0</v>
      </c>
      <c r="E5" t="s">
        <v>77</v>
      </c>
      <c r="F5" s="7">
        <v>0</v>
      </c>
      <c r="G5" s="7">
        <v>0</v>
      </c>
    </row>
    <row r="6" spans="1:7" x14ac:dyDescent="0.55000000000000004">
      <c r="A6" t="s">
        <v>88</v>
      </c>
      <c r="B6" s="7">
        <v>6.985881</v>
      </c>
      <c r="C6" s="7">
        <v>-0.22103509999999993</v>
      </c>
      <c r="E6" t="s">
        <v>88</v>
      </c>
      <c r="F6" s="7">
        <v>0</v>
      </c>
      <c r="G6" s="7">
        <v>0</v>
      </c>
    </row>
    <row r="7" spans="1:7" x14ac:dyDescent="0.55000000000000004">
      <c r="A7" t="s">
        <v>86</v>
      </c>
      <c r="B7" s="7">
        <v>365.28971000000001</v>
      </c>
      <c r="C7" s="7">
        <v>167.63460000000001</v>
      </c>
      <c r="E7" t="s">
        <v>86</v>
      </c>
      <c r="F7" s="7">
        <v>2220.8008799999998</v>
      </c>
      <c r="G7" s="7">
        <v>1068.60384</v>
      </c>
    </row>
    <row r="8" spans="1:7" x14ac:dyDescent="0.55000000000000004">
      <c r="A8" t="s">
        <v>89</v>
      </c>
      <c r="B8" s="7">
        <v>28.9802</v>
      </c>
      <c r="C8" s="7">
        <v>12.65465</v>
      </c>
      <c r="E8" t="s">
        <v>89</v>
      </c>
      <c r="F8" s="7">
        <v>101.43054000000001</v>
      </c>
      <c r="G8" s="7">
        <v>39.803879999999999</v>
      </c>
    </row>
    <row r="9" spans="1:7" x14ac:dyDescent="0.55000000000000004">
      <c r="A9" t="s">
        <v>81</v>
      </c>
      <c r="B9" s="7">
        <v>131.90157000000002</v>
      </c>
      <c r="C9" s="7">
        <v>30.794825000000003</v>
      </c>
      <c r="E9" t="s">
        <v>81</v>
      </c>
      <c r="F9" s="7">
        <v>308.50401999999997</v>
      </c>
      <c r="G9" s="7">
        <v>40.877524999999991</v>
      </c>
    </row>
    <row r="10" spans="1:7" x14ac:dyDescent="0.55000000000000004">
      <c r="A10" t="s">
        <v>79</v>
      </c>
      <c r="B10" s="7">
        <v>1313.0388024000001</v>
      </c>
      <c r="C10" s="7">
        <v>-402.56059649999997</v>
      </c>
      <c r="E10" t="s">
        <v>79</v>
      </c>
      <c r="F10" s="7">
        <v>7469.3258548000013</v>
      </c>
      <c r="G10" s="7">
        <v>-475.46176889999992</v>
      </c>
    </row>
    <row r="11" spans="1:7" x14ac:dyDescent="0.55000000000000004">
      <c r="A11" t="s">
        <v>84</v>
      </c>
      <c r="B11" s="7">
        <v>365.136593</v>
      </c>
      <c r="C11" s="7">
        <v>139.996182</v>
      </c>
      <c r="E11" t="s">
        <v>84</v>
      </c>
      <c r="F11" s="7">
        <v>541.89565300000004</v>
      </c>
      <c r="G11" s="7">
        <v>49.248927499999986</v>
      </c>
    </row>
    <row r="12" spans="1:7" x14ac:dyDescent="0.55000000000000004">
      <c r="A12" t="s">
        <v>82</v>
      </c>
      <c r="B12" s="7">
        <v>1180.3951886999998</v>
      </c>
      <c r="C12" s="7">
        <v>103.23611040000004</v>
      </c>
      <c r="E12" t="s">
        <v>82</v>
      </c>
      <c r="F12" s="7">
        <v>4555.9737557999997</v>
      </c>
      <c r="G12" s="7">
        <v>426.57757930000002</v>
      </c>
    </row>
    <row r="13" spans="1:7" x14ac:dyDescent="0.55000000000000004">
      <c r="A13" t="s">
        <v>74</v>
      </c>
      <c r="B13" s="7">
        <v>476.16637199999997</v>
      </c>
      <c r="C13" s="7">
        <v>48.316682000000007</v>
      </c>
      <c r="E13" t="s">
        <v>74</v>
      </c>
      <c r="F13" s="7">
        <v>1949.6054359999998</v>
      </c>
      <c r="G13" s="7">
        <v>594.39803200000006</v>
      </c>
    </row>
    <row r="14" spans="1:7" x14ac:dyDescent="0.55000000000000004">
      <c r="A14" t="s">
        <v>72</v>
      </c>
      <c r="B14" s="7">
        <v>56.358605999999995</v>
      </c>
      <c r="C14" s="7">
        <v>-32.576028999999998</v>
      </c>
      <c r="E14" t="s">
        <v>72</v>
      </c>
      <c r="F14" s="7">
        <v>303.82831649999997</v>
      </c>
      <c r="G14" s="7">
        <v>124.962789</v>
      </c>
    </row>
    <row r="15" spans="1:7" x14ac:dyDescent="0.55000000000000004">
      <c r="A15" t="s">
        <v>91</v>
      </c>
      <c r="B15" s="7">
        <v>383.04127000000005</v>
      </c>
      <c r="C15" s="7">
        <v>139.70922000000002</v>
      </c>
      <c r="E15" t="s">
        <v>91</v>
      </c>
      <c r="F15" s="7">
        <v>0</v>
      </c>
      <c r="G15" s="7">
        <v>-5.8493599999999999</v>
      </c>
    </row>
    <row r="16" spans="1:7" x14ac:dyDescent="0.55000000000000004">
      <c r="A16" t="s">
        <v>75</v>
      </c>
      <c r="B16" s="7">
        <v>53.7472992</v>
      </c>
      <c r="C16" s="7">
        <v>21.611713200000001</v>
      </c>
      <c r="E16" t="s">
        <v>75</v>
      </c>
      <c r="F16" s="7">
        <v>0</v>
      </c>
      <c r="G16" s="7">
        <v>-0.44091599999999997</v>
      </c>
    </row>
    <row r="17" spans="1:7" x14ac:dyDescent="0.55000000000000004">
      <c r="A17" t="s">
        <v>87</v>
      </c>
      <c r="B17" s="7">
        <v>0</v>
      </c>
      <c r="C17" s="7">
        <v>0</v>
      </c>
      <c r="E17" t="s">
        <v>78</v>
      </c>
      <c r="F17" s="7">
        <v>118.5671512</v>
      </c>
      <c r="G17" s="7">
        <v>20.1848986</v>
      </c>
    </row>
    <row r="18" spans="1:7" x14ac:dyDescent="0.55000000000000004">
      <c r="A18" t="s">
        <v>78</v>
      </c>
      <c r="B18" s="7">
        <v>18.990416499999998</v>
      </c>
      <c r="C18" s="7">
        <v>2.5614581999999997</v>
      </c>
      <c r="E18" t="s">
        <v>90</v>
      </c>
      <c r="F18" s="7">
        <v>339.08417679999997</v>
      </c>
      <c r="G18" s="7">
        <v>136.95804939999999</v>
      </c>
    </row>
    <row r="19" spans="1:7" x14ac:dyDescent="0.55000000000000004">
      <c r="A19" t="s">
        <v>90</v>
      </c>
      <c r="B19" s="7">
        <v>15.708121200000001</v>
      </c>
      <c r="C19" s="7">
        <v>4.7536680000000002</v>
      </c>
      <c r="E19" t="s">
        <v>76</v>
      </c>
      <c r="F19" s="7">
        <v>661.79669850000005</v>
      </c>
      <c r="G19" s="7">
        <v>181.977936</v>
      </c>
    </row>
    <row r="20" spans="1:7" x14ac:dyDescent="0.55000000000000004">
      <c r="A20" t="s">
        <v>76</v>
      </c>
      <c r="B20" s="7">
        <v>122.5709485</v>
      </c>
      <c r="C20" s="7">
        <v>18.968136000000001</v>
      </c>
      <c r="E20" t="s">
        <v>85</v>
      </c>
      <c r="F20" s="7">
        <v>2738.0635307000002</v>
      </c>
      <c r="G20" s="7">
        <v>1072.1974288000001</v>
      </c>
    </row>
    <row r="21" spans="1:7" x14ac:dyDescent="0.55000000000000004">
      <c r="A21" t="s">
        <v>85</v>
      </c>
      <c r="B21" s="7">
        <v>1023.8185639000001</v>
      </c>
      <c r="C21" s="7">
        <v>456.76128340000002</v>
      </c>
      <c r="E21" t="s">
        <v>73</v>
      </c>
      <c r="F21" s="7">
        <v>363.8846772</v>
      </c>
      <c r="G21" s="7">
        <v>133.45668599999999</v>
      </c>
    </row>
    <row r="22" spans="1:7" x14ac:dyDescent="0.55000000000000004">
      <c r="A22" t="s">
        <v>73</v>
      </c>
      <c r="B22" s="7">
        <v>41.898648000000001</v>
      </c>
      <c r="C22" s="7">
        <v>17.280304800000003</v>
      </c>
      <c r="E22" t="s">
        <v>80</v>
      </c>
      <c r="F22" s="7">
        <v>6569.586998400001</v>
      </c>
      <c r="G22" s="7">
        <v>2364.1122912000005</v>
      </c>
    </row>
    <row r="23" spans="1:7" x14ac:dyDescent="0.55000000000000004">
      <c r="A23" t="s">
        <v>80</v>
      </c>
      <c r="B23" s="7">
        <v>17.240648800000002</v>
      </c>
      <c r="C23" s="7">
        <v>10.272527199999999</v>
      </c>
      <c r="E23" t="s">
        <v>83</v>
      </c>
      <c r="F23" s="7">
        <v>0</v>
      </c>
      <c r="G23" s="7">
        <v>0</v>
      </c>
    </row>
    <row r="24" spans="1:7" x14ac:dyDescent="0.55000000000000004">
      <c r="A24" t="s">
        <v>83</v>
      </c>
      <c r="B24" s="7">
        <v>0</v>
      </c>
      <c r="C24" s="7">
        <v>0</v>
      </c>
      <c r="E24" t="s">
        <v>136</v>
      </c>
      <c r="F24" s="7">
        <v>0</v>
      </c>
      <c r="G24" s="7">
        <v>-0.66111999999999993</v>
      </c>
    </row>
    <row r="25" spans="1:7" x14ac:dyDescent="0.55000000000000004">
      <c r="A25" t="s">
        <v>136</v>
      </c>
      <c r="B25" s="7">
        <v>0</v>
      </c>
      <c r="C25" s="7">
        <v>10.93018</v>
      </c>
      <c r="E25" t="s">
        <v>137</v>
      </c>
      <c r="F25" s="7">
        <v>1239.4124769999999</v>
      </c>
      <c r="G25" s="7">
        <v>405.91869700000001</v>
      </c>
    </row>
    <row r="26" spans="1:7" x14ac:dyDescent="0.55000000000000004">
      <c r="A26" t="s">
        <v>137</v>
      </c>
      <c r="B26" s="7">
        <v>180.29990599999999</v>
      </c>
      <c r="C26" s="7">
        <v>59.959073000000004</v>
      </c>
      <c r="E26" t="s">
        <v>148</v>
      </c>
      <c r="F26" s="7">
        <v>0</v>
      </c>
      <c r="G26" s="7">
        <v>-2.786454</v>
      </c>
    </row>
    <row r="27" spans="1:7" x14ac:dyDescent="0.55000000000000004">
      <c r="A27" t="s">
        <v>138</v>
      </c>
      <c r="B27" s="7">
        <v>0</v>
      </c>
      <c r="C27" s="7">
        <v>0</v>
      </c>
      <c r="E27" t="s">
        <v>141</v>
      </c>
      <c r="F27" s="7">
        <v>1159.0128</v>
      </c>
      <c r="G27" s="7">
        <v>277.93333000000001</v>
      </c>
    </row>
    <row r="28" spans="1:7" x14ac:dyDescent="0.55000000000000004">
      <c r="A28" t="s">
        <v>148</v>
      </c>
      <c r="B28" s="7">
        <v>167.85896159999999</v>
      </c>
      <c r="C28" s="7">
        <v>73.985656800000001</v>
      </c>
      <c r="E28" t="s">
        <v>142</v>
      </c>
      <c r="F28" s="7">
        <v>0</v>
      </c>
      <c r="G28" s="7">
        <v>0</v>
      </c>
    </row>
    <row r="29" spans="1:7" x14ac:dyDescent="0.55000000000000004">
      <c r="A29" t="s">
        <v>139</v>
      </c>
      <c r="B29" s="7">
        <v>0</v>
      </c>
      <c r="C29" s="7">
        <v>0</v>
      </c>
      <c r="E29" t="s">
        <v>143</v>
      </c>
      <c r="F29" s="7">
        <v>591.14976000000001</v>
      </c>
      <c r="G29" s="7">
        <v>185.66874000000001</v>
      </c>
    </row>
    <row r="30" spans="1:7" x14ac:dyDescent="0.55000000000000004">
      <c r="A30" t="s">
        <v>140</v>
      </c>
      <c r="B30" s="7">
        <v>0</v>
      </c>
      <c r="C30" s="7">
        <v>0</v>
      </c>
      <c r="E30" t="s">
        <v>144</v>
      </c>
      <c r="F30" s="7">
        <v>0</v>
      </c>
      <c r="G30" s="7">
        <v>0</v>
      </c>
    </row>
    <row r="31" spans="1:7" x14ac:dyDescent="0.55000000000000004">
      <c r="A31" t="s">
        <v>141</v>
      </c>
      <c r="B31" s="7">
        <v>197.30067000000003</v>
      </c>
      <c r="C31" s="7">
        <v>2.5540500000000002</v>
      </c>
      <c r="E31" t="s">
        <v>145</v>
      </c>
      <c r="F31" s="7">
        <v>0</v>
      </c>
      <c r="G31" s="7">
        <v>0</v>
      </c>
    </row>
    <row r="32" spans="1:7" x14ac:dyDescent="0.55000000000000004">
      <c r="A32" t="s">
        <v>142</v>
      </c>
      <c r="B32" s="7">
        <v>0</v>
      </c>
      <c r="C32" s="7">
        <v>135.96495999999999</v>
      </c>
      <c r="E32" t="s">
        <v>146</v>
      </c>
      <c r="F32" s="7">
        <v>0</v>
      </c>
      <c r="G32" s="7">
        <v>-4.8624499999999999</v>
      </c>
    </row>
    <row r="33" spans="1:7" x14ac:dyDescent="0.55000000000000004">
      <c r="A33" t="s">
        <v>143</v>
      </c>
      <c r="B33" s="7">
        <v>318.52224000000001</v>
      </c>
      <c r="C33" s="7">
        <v>117.64305</v>
      </c>
      <c r="E33" t="s">
        <v>147</v>
      </c>
      <c r="F33" s="7">
        <v>0</v>
      </c>
      <c r="G33" s="7">
        <v>-0.41650999999999999</v>
      </c>
    </row>
    <row r="34" spans="1:7" x14ac:dyDescent="0.55000000000000004">
      <c r="A34" t="s">
        <v>144</v>
      </c>
      <c r="B34" s="7">
        <v>0</v>
      </c>
      <c r="C34" s="7">
        <v>-9.7499999999999998E-5</v>
      </c>
      <c r="E34" t="s">
        <v>93</v>
      </c>
      <c r="F34" s="7">
        <v>31231.9227259</v>
      </c>
      <c r="G34" s="7">
        <v>6632.4020509000011</v>
      </c>
    </row>
    <row r="35" spans="1:7" x14ac:dyDescent="0.55000000000000004">
      <c r="A35" t="s">
        <v>145</v>
      </c>
      <c r="B35" s="7">
        <v>266.53699</v>
      </c>
      <c r="C35" s="7">
        <v>89.293980000000005</v>
      </c>
    </row>
    <row r="36" spans="1:7" x14ac:dyDescent="0.55000000000000004">
      <c r="A36" t="s">
        <v>146</v>
      </c>
      <c r="B36" s="7">
        <v>140.24305999999999</v>
      </c>
      <c r="C36" s="7">
        <v>28.297179999999997</v>
      </c>
    </row>
    <row r="37" spans="1:7" x14ac:dyDescent="0.55000000000000004">
      <c r="A37" t="s">
        <v>147</v>
      </c>
      <c r="B37" s="7">
        <v>77.74118</v>
      </c>
      <c r="C37" s="7">
        <v>21.701050000000002</v>
      </c>
    </row>
    <row r="38" spans="1:7" x14ac:dyDescent="0.55000000000000004">
      <c r="A38" t="s">
        <v>93</v>
      </c>
      <c r="B38" s="7">
        <v>6949.7718467999994</v>
      </c>
      <c r="C38" s="7">
        <v>1279.5227818999997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A9BB-60E2-490F-8A5E-2E44393DCF79}">
  <sheetPr filterMode="1"/>
  <dimension ref="A2:AP198"/>
  <sheetViews>
    <sheetView tabSelected="1" workbookViewId="0">
      <pane xSplit="2" ySplit="2" topLeftCell="Q151" activePane="bottomRight" state="frozen"/>
      <selection pane="topRight" activeCell="C1" sqref="C1"/>
      <selection pane="bottomLeft" activeCell="A3" sqref="A3"/>
      <selection pane="bottomRight" activeCell="X4" sqref="X4:X195"/>
    </sheetView>
  </sheetViews>
  <sheetFormatPr defaultRowHeight="14.4" outlineLevelCol="1" x14ac:dyDescent="0.55000000000000004"/>
  <cols>
    <col min="2" max="2" width="22.5234375" bestFit="1" customWidth="1"/>
    <col min="3" max="3" width="29.5234375" customWidth="1"/>
    <col min="4" max="4" width="35.734375" bestFit="1" customWidth="1"/>
    <col min="5" max="5" width="14.7890625" bestFit="1" customWidth="1"/>
    <col min="6" max="6" width="14.26171875" bestFit="1" customWidth="1"/>
    <col min="7" max="7" width="13.26171875" customWidth="1" outlineLevel="1"/>
    <col min="8" max="18" width="8.734375" customWidth="1" outlineLevel="1"/>
    <col min="22" max="22" width="15.62890625" bestFit="1" customWidth="1"/>
    <col min="23" max="23" width="16.7890625" bestFit="1" customWidth="1"/>
    <col min="24" max="24" width="20.20703125" bestFit="1" customWidth="1"/>
    <col min="25" max="36" width="8.734375" customWidth="1" outlineLevel="1"/>
    <col min="40" max="40" width="12" bestFit="1" customWidth="1"/>
    <col min="42" max="42" width="10.62890625" bestFit="1" customWidth="1"/>
  </cols>
  <sheetData>
    <row r="2" spans="1:42" x14ac:dyDescent="0.55000000000000004">
      <c r="A2" s="1" t="s">
        <v>27</v>
      </c>
      <c r="B2" s="1" t="s">
        <v>70</v>
      </c>
      <c r="C2" s="1" t="s">
        <v>0</v>
      </c>
      <c r="D2" s="1" t="s">
        <v>71</v>
      </c>
      <c r="E2" s="1" t="s">
        <v>149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6" t="s">
        <v>28</v>
      </c>
      <c r="T2" s="6" t="s">
        <v>29</v>
      </c>
      <c r="U2" s="6" t="s">
        <v>30</v>
      </c>
      <c r="V2" s="6" t="s">
        <v>158</v>
      </c>
      <c r="W2" s="6" t="s">
        <v>156</v>
      </c>
      <c r="X2" s="6" t="s">
        <v>157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1" t="s">
        <v>20</v>
      </c>
      <c r="AF2" s="1" t="s">
        <v>21</v>
      </c>
      <c r="AG2" s="1" t="s">
        <v>22</v>
      </c>
      <c r="AH2" s="1" t="s">
        <v>23</v>
      </c>
      <c r="AI2" s="1" t="s">
        <v>24</v>
      </c>
      <c r="AJ2" s="1" t="s">
        <v>25</v>
      </c>
      <c r="AK2" s="3" t="s">
        <v>32</v>
      </c>
      <c r="AL2" s="3" t="s">
        <v>33</v>
      </c>
      <c r="AM2" s="3" t="s">
        <v>34</v>
      </c>
      <c r="AN2" s="3" t="s">
        <v>159</v>
      </c>
      <c r="AO2" s="6" t="s">
        <v>160</v>
      </c>
      <c r="AP2" s="6" t="s">
        <v>161</v>
      </c>
    </row>
    <row r="3" spans="1:42" hidden="1" x14ac:dyDescent="0.55000000000000004">
      <c r="A3" t="s">
        <v>31</v>
      </c>
      <c r="B3" s="4">
        <v>9940558396</v>
      </c>
      <c r="C3" t="s">
        <v>35</v>
      </c>
      <c r="D3" t="s">
        <v>73</v>
      </c>
      <c r="E3" t="s">
        <v>150</v>
      </c>
      <c r="F3" t="s">
        <v>131</v>
      </c>
      <c r="G3" s="2"/>
      <c r="H3" s="2"/>
      <c r="I3" s="2"/>
      <c r="J3" s="2">
        <v>0</v>
      </c>
      <c r="K3" s="2">
        <v>1.0367999999999999</v>
      </c>
      <c r="L3" s="2">
        <v>1.8555200000000001</v>
      </c>
      <c r="M3" s="2">
        <v>3.1230000000000002</v>
      </c>
      <c r="N3" s="2">
        <v>3.1404399999999999</v>
      </c>
      <c r="O3" s="2">
        <v>3.7217600000000002</v>
      </c>
      <c r="P3" s="2">
        <v>5.2618799999999997</v>
      </c>
      <c r="Q3" s="2">
        <v>3.4768047599999998</v>
      </c>
      <c r="R3" s="2">
        <v>2.80799244</v>
      </c>
      <c r="S3" s="2">
        <f t="shared" ref="S3:S57" si="0">G3+H3+I3</f>
        <v>0</v>
      </c>
      <c r="T3" s="2">
        <f t="shared" ref="T3:T57" si="1">J3+K3+L3</f>
        <v>2.8923199999999998</v>
      </c>
      <c r="U3" s="2">
        <f t="shared" ref="U3" si="2">M3+N3+O3</f>
        <v>9.9852000000000007</v>
      </c>
      <c r="V3" s="2">
        <f>P3+Q3+R3</f>
        <v>11.5466772</v>
      </c>
      <c r="W3" s="2">
        <f>Q3+R3</f>
        <v>6.2847971999999999</v>
      </c>
      <c r="X3" s="2">
        <f>S3+T3+U3+V3</f>
        <v>24.424197200000002</v>
      </c>
      <c r="Y3" s="2"/>
      <c r="Z3" s="2"/>
      <c r="AA3" s="2"/>
      <c r="AB3" s="2">
        <v>0</v>
      </c>
      <c r="AC3" s="2">
        <v>0.36715999999999999</v>
      </c>
      <c r="AD3" s="2">
        <v>0.68659999999999999</v>
      </c>
      <c r="AE3" s="2">
        <v>1.13096</v>
      </c>
      <c r="AF3" s="2">
        <v>1.1450400000000001</v>
      </c>
      <c r="AG3" s="2">
        <v>1.3471200000000001</v>
      </c>
      <c r="AH3" s="2">
        <v>1.65648</v>
      </c>
      <c r="AI3" s="2">
        <v>1.69357716</v>
      </c>
      <c r="AJ3" s="2">
        <v>0.89846855999999997</v>
      </c>
      <c r="AK3" s="2">
        <f t="shared" ref="AK3" si="3">Y3+Z3+AA3</f>
        <v>0</v>
      </c>
      <c r="AL3" s="2">
        <f t="shared" ref="AL3" si="4">AB3+AC3+AD3</f>
        <v>1.05376</v>
      </c>
      <c r="AM3" s="2">
        <f t="shared" ref="AM3" si="5">AE3+AF3+AG3</f>
        <v>3.6231200000000001</v>
      </c>
      <c r="AN3" s="2">
        <f>AH3+AI3+AJ3</f>
        <v>4.24852572</v>
      </c>
      <c r="AO3" s="2">
        <f>AI3+AJ3</f>
        <v>2.5920457199999998</v>
      </c>
      <c r="AP3" s="2">
        <f>AK3+AL3+AM3+AN3</f>
        <v>8.9254057200000005</v>
      </c>
    </row>
    <row r="4" spans="1:42" x14ac:dyDescent="0.55000000000000004">
      <c r="A4" t="s">
        <v>31</v>
      </c>
      <c r="B4" s="4">
        <v>9940558396</v>
      </c>
      <c r="C4" t="s">
        <v>35</v>
      </c>
      <c r="D4" t="s">
        <v>73</v>
      </c>
      <c r="E4" t="s">
        <v>150</v>
      </c>
      <c r="F4" t="s">
        <v>26</v>
      </c>
      <c r="G4" s="2"/>
      <c r="H4" s="2"/>
      <c r="I4" s="2"/>
      <c r="J4" s="2">
        <v>0</v>
      </c>
      <c r="K4" s="2">
        <v>5.8752000000000004</v>
      </c>
      <c r="L4" s="2">
        <v>10.514760000000001</v>
      </c>
      <c r="M4" s="2">
        <v>17.696960000000001</v>
      </c>
      <c r="N4" s="2">
        <v>17.795919999999999</v>
      </c>
      <c r="O4" s="2">
        <v>21.089960000000001</v>
      </c>
      <c r="P4" s="2">
        <v>29.817240000000002</v>
      </c>
      <c r="Q4" s="2">
        <v>19.701893640000002</v>
      </c>
      <c r="R4" s="2">
        <v>15.91195716</v>
      </c>
      <c r="S4" s="2">
        <f t="shared" si="0"/>
        <v>0</v>
      </c>
      <c r="T4" s="2">
        <f t="shared" si="1"/>
        <v>16.389960000000002</v>
      </c>
      <c r="U4" s="2">
        <f t="shared" ref="U4:U67" si="6">M4+N4+O4</f>
        <v>56.582840000000004</v>
      </c>
      <c r="V4" s="2">
        <f t="shared" ref="V4:V67" si="7">P4+Q4+R4</f>
        <v>65.431090800000007</v>
      </c>
      <c r="W4" s="2">
        <f t="shared" ref="W4:W67" si="8">Q4+R4</f>
        <v>35.613850800000002</v>
      </c>
      <c r="X4" s="2">
        <f t="shared" ref="X4:X67" si="9">S4+T4+U4+V4</f>
        <v>138.4038908</v>
      </c>
      <c r="Y4" s="2"/>
      <c r="Z4" s="2"/>
      <c r="AA4" s="2"/>
      <c r="AB4" s="2">
        <v>0</v>
      </c>
      <c r="AC4" s="2">
        <v>2.0806399999999998</v>
      </c>
      <c r="AD4" s="2">
        <v>3.8909600000000002</v>
      </c>
      <c r="AE4" s="2">
        <v>6.4086400000000001</v>
      </c>
      <c r="AF4" s="2">
        <v>6.4888399999999997</v>
      </c>
      <c r="AG4" s="2">
        <v>7.6339600000000001</v>
      </c>
      <c r="AH4" s="2">
        <v>9.3865999999999996</v>
      </c>
      <c r="AI4" s="2">
        <v>9.5969372400000008</v>
      </c>
      <c r="AJ4" s="2">
        <v>5.09132184</v>
      </c>
      <c r="AK4" s="2">
        <f t="shared" ref="AK4:AK67" si="10">Y4+Z4+AA4</f>
        <v>0</v>
      </c>
      <c r="AL4" s="2">
        <f t="shared" ref="AL4:AL67" si="11">AB4+AC4+AD4</f>
        <v>5.9716000000000005</v>
      </c>
      <c r="AM4" s="2">
        <f t="shared" ref="AM4:AM67" si="12">AE4+AF4+AG4</f>
        <v>20.53144</v>
      </c>
      <c r="AN4" s="2">
        <f t="shared" ref="AN4:AN67" si="13">AH4+AI4+AJ4</f>
        <v>24.07485908</v>
      </c>
      <c r="AO4" s="2">
        <f t="shared" ref="AO4:AO67" si="14">AI4+AJ4</f>
        <v>14.688259080000002</v>
      </c>
      <c r="AP4" s="2">
        <f t="shared" ref="AP4:AP67" si="15">AK4+AL4+AM4+AN4</f>
        <v>50.577899079999995</v>
      </c>
    </row>
    <row r="5" spans="1:42" hidden="1" x14ac:dyDescent="0.55000000000000004">
      <c r="A5" t="s">
        <v>31</v>
      </c>
      <c r="B5" s="4">
        <v>9940574311</v>
      </c>
      <c r="C5" t="s">
        <v>36</v>
      </c>
      <c r="D5" t="s">
        <v>74</v>
      </c>
      <c r="E5" t="s">
        <v>151</v>
      </c>
      <c r="F5" t="s">
        <v>132</v>
      </c>
      <c r="G5" s="2"/>
      <c r="H5" s="2"/>
      <c r="I5" s="2"/>
      <c r="J5" s="2"/>
      <c r="K5" s="2"/>
      <c r="L5" s="2"/>
      <c r="M5" s="2">
        <v>0</v>
      </c>
      <c r="N5" s="2">
        <v>0</v>
      </c>
      <c r="O5" s="2">
        <v>356.03334000000001</v>
      </c>
      <c r="P5" s="2">
        <v>0</v>
      </c>
      <c r="Q5" s="2">
        <v>0</v>
      </c>
      <c r="R5" s="2">
        <v>0</v>
      </c>
      <c r="S5" s="2">
        <f t="shared" si="0"/>
        <v>0</v>
      </c>
      <c r="T5" s="2">
        <f t="shared" si="1"/>
        <v>0</v>
      </c>
      <c r="U5" s="2">
        <f t="shared" si="6"/>
        <v>356.03334000000001</v>
      </c>
      <c r="V5" s="2">
        <f t="shared" si="7"/>
        <v>0</v>
      </c>
      <c r="W5" s="2">
        <f t="shared" si="8"/>
        <v>0</v>
      </c>
      <c r="X5" s="2">
        <f t="shared" si="9"/>
        <v>356.03334000000001</v>
      </c>
      <c r="Y5" s="2"/>
      <c r="Z5" s="2"/>
      <c r="AA5" s="2"/>
      <c r="AB5" s="2"/>
      <c r="AC5" s="2"/>
      <c r="AD5" s="2"/>
      <c r="AE5" s="2">
        <v>-35.567570000000003</v>
      </c>
      <c r="AF5" s="2">
        <v>-126.37495</v>
      </c>
      <c r="AG5" s="2">
        <v>274.87975999999998</v>
      </c>
      <c r="AH5" s="2">
        <v>-3.3917099999999998</v>
      </c>
      <c r="AI5" s="2">
        <v>0</v>
      </c>
      <c r="AJ5" s="2">
        <v>0</v>
      </c>
      <c r="AK5" s="2">
        <f t="shared" si="10"/>
        <v>0</v>
      </c>
      <c r="AL5" s="2">
        <f t="shared" si="11"/>
        <v>0</v>
      </c>
      <c r="AM5" s="2">
        <f t="shared" si="12"/>
        <v>112.93723999999997</v>
      </c>
      <c r="AN5" s="2">
        <f t="shared" si="13"/>
        <v>-3.3917099999999998</v>
      </c>
      <c r="AO5" s="2">
        <f t="shared" si="14"/>
        <v>0</v>
      </c>
      <c r="AP5" s="2">
        <f t="shared" si="15"/>
        <v>109.54552999999997</v>
      </c>
    </row>
    <row r="6" spans="1:42" hidden="1" x14ac:dyDescent="0.55000000000000004">
      <c r="A6" t="s">
        <v>31</v>
      </c>
      <c r="B6" s="4">
        <v>9940574311</v>
      </c>
      <c r="C6" t="s">
        <v>36</v>
      </c>
      <c r="D6" t="s">
        <v>74</v>
      </c>
      <c r="E6" t="s">
        <v>151</v>
      </c>
      <c r="F6" t="s">
        <v>26</v>
      </c>
      <c r="G6" s="2"/>
      <c r="H6" s="2"/>
      <c r="I6" s="2"/>
      <c r="J6" s="2"/>
      <c r="K6" s="2"/>
      <c r="L6" s="2"/>
      <c r="M6" s="2">
        <v>0</v>
      </c>
      <c r="N6" s="2">
        <v>0</v>
      </c>
      <c r="O6" s="2">
        <v>257.81725</v>
      </c>
      <c r="P6" s="2">
        <v>0</v>
      </c>
      <c r="Q6" s="2">
        <v>0</v>
      </c>
      <c r="R6" s="2">
        <v>0</v>
      </c>
      <c r="S6" s="2">
        <f t="shared" si="0"/>
        <v>0</v>
      </c>
      <c r="T6" s="2">
        <f t="shared" si="1"/>
        <v>0</v>
      </c>
      <c r="U6" s="2">
        <f t="shared" si="6"/>
        <v>257.81725</v>
      </c>
      <c r="V6" s="2">
        <f t="shared" si="7"/>
        <v>0</v>
      </c>
      <c r="W6" s="2">
        <f t="shared" si="8"/>
        <v>0</v>
      </c>
      <c r="X6" s="2">
        <f t="shared" si="9"/>
        <v>257.81725</v>
      </c>
      <c r="Y6" s="2"/>
      <c r="Z6" s="2"/>
      <c r="AA6" s="2"/>
      <c r="AB6" s="2"/>
      <c r="AC6" s="2"/>
      <c r="AD6" s="2"/>
      <c r="AE6" s="2">
        <v>-27.94594</v>
      </c>
      <c r="AF6" s="2">
        <v>-99.294600000000003</v>
      </c>
      <c r="AG6" s="2">
        <v>194.05374</v>
      </c>
      <c r="AH6" s="2">
        <v>-2.66493</v>
      </c>
      <c r="AI6" s="2">
        <v>0</v>
      </c>
      <c r="AJ6" s="2">
        <v>0</v>
      </c>
      <c r="AK6" s="2">
        <f t="shared" si="10"/>
        <v>0</v>
      </c>
      <c r="AL6" s="2">
        <f t="shared" si="11"/>
        <v>0</v>
      </c>
      <c r="AM6" s="2">
        <f t="shared" si="12"/>
        <v>66.813199999999995</v>
      </c>
      <c r="AN6" s="2">
        <f t="shared" si="13"/>
        <v>-2.66493</v>
      </c>
      <c r="AO6" s="2">
        <f t="shared" si="14"/>
        <v>0</v>
      </c>
      <c r="AP6" s="2">
        <f t="shared" si="15"/>
        <v>64.148269999999997</v>
      </c>
    </row>
    <row r="7" spans="1:42" hidden="1" x14ac:dyDescent="0.55000000000000004">
      <c r="A7" t="s">
        <v>31</v>
      </c>
      <c r="B7" s="4">
        <v>9940456800</v>
      </c>
      <c r="C7" t="s">
        <v>37</v>
      </c>
      <c r="D7" t="s">
        <v>75</v>
      </c>
      <c r="E7" t="s">
        <v>152</v>
      </c>
      <c r="F7" t="s">
        <v>26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/>
      <c r="Q7" s="2"/>
      <c r="R7" s="2"/>
      <c r="S7" s="2">
        <f t="shared" si="0"/>
        <v>0</v>
      </c>
      <c r="T7" s="2">
        <f t="shared" si="1"/>
        <v>0</v>
      </c>
      <c r="U7" s="2">
        <f t="shared" si="6"/>
        <v>0</v>
      </c>
      <c r="V7" s="2">
        <f t="shared" si="7"/>
        <v>0</v>
      </c>
      <c r="W7" s="2">
        <f t="shared" si="8"/>
        <v>0</v>
      </c>
      <c r="X7" s="2">
        <f t="shared" si="9"/>
        <v>0</v>
      </c>
      <c r="Y7" s="2">
        <v>-0.95091999999999999</v>
      </c>
      <c r="Z7" s="2">
        <v>-0.96440000000000003</v>
      </c>
      <c r="AA7" s="2">
        <v>-0.96297999999999995</v>
      </c>
      <c r="AB7" s="2">
        <v>-0.96430000000000005</v>
      </c>
      <c r="AC7" s="2">
        <v>-0.98928000000000005</v>
      </c>
      <c r="AD7" s="2">
        <v>-1.0309200000000001</v>
      </c>
      <c r="AE7" s="2">
        <v>-1.0320199999999999</v>
      </c>
      <c r="AF7" s="2">
        <v>-3.032</v>
      </c>
      <c r="AG7" s="2"/>
      <c r="AH7" s="2"/>
      <c r="AI7" s="2"/>
      <c r="AJ7" s="2"/>
      <c r="AK7" s="2">
        <f t="shared" si="10"/>
        <v>-2.8782999999999999</v>
      </c>
      <c r="AL7" s="2">
        <f t="shared" si="11"/>
        <v>-2.9845000000000002</v>
      </c>
      <c r="AM7" s="2">
        <f t="shared" si="12"/>
        <v>-4.0640200000000002</v>
      </c>
      <c r="AN7" s="2">
        <f t="shared" si="13"/>
        <v>0</v>
      </c>
      <c r="AO7" s="2">
        <f t="shared" si="14"/>
        <v>0</v>
      </c>
      <c r="AP7" s="2">
        <f t="shared" si="15"/>
        <v>-9.9268199999999993</v>
      </c>
    </row>
    <row r="8" spans="1:42" hidden="1" x14ac:dyDescent="0.55000000000000004">
      <c r="A8" t="s">
        <v>31</v>
      </c>
      <c r="B8" s="4">
        <v>9940488298</v>
      </c>
      <c r="C8" t="s">
        <v>38</v>
      </c>
      <c r="D8" t="s">
        <v>76</v>
      </c>
      <c r="E8" t="s">
        <v>150</v>
      </c>
      <c r="F8" t="s">
        <v>131</v>
      </c>
      <c r="G8" s="2">
        <v>2.3737400000000002</v>
      </c>
      <c r="H8" s="2">
        <v>-2.88659</v>
      </c>
      <c r="I8" s="2">
        <v>2.4451200000000002</v>
      </c>
      <c r="J8" s="2">
        <v>-2.3874399999999998</v>
      </c>
      <c r="K8" s="2">
        <v>6.45</v>
      </c>
      <c r="L8" s="2">
        <v>3.7650199999999998</v>
      </c>
      <c r="M8" s="2">
        <v>4.8586900000000002</v>
      </c>
      <c r="N8" s="2">
        <v>3.0767500000000001</v>
      </c>
      <c r="O8" s="2">
        <v>-1.6031599999999999</v>
      </c>
      <c r="P8" s="2">
        <v>4.10344</v>
      </c>
      <c r="Q8" s="2">
        <v>2.3104008299999998</v>
      </c>
      <c r="R8" s="2">
        <v>3.0257144</v>
      </c>
      <c r="S8" s="2">
        <f t="shared" si="0"/>
        <v>1.9322700000000004</v>
      </c>
      <c r="T8" s="2">
        <f t="shared" si="1"/>
        <v>7.8275800000000002</v>
      </c>
      <c r="U8" s="2">
        <f t="shared" si="6"/>
        <v>6.3322799999999999</v>
      </c>
      <c r="V8" s="2">
        <f t="shared" si="7"/>
        <v>9.4395552299999999</v>
      </c>
      <c r="W8" s="2">
        <f t="shared" si="8"/>
        <v>5.3361152299999999</v>
      </c>
      <c r="X8" s="2">
        <f t="shared" si="9"/>
        <v>25.531685230000001</v>
      </c>
      <c r="Y8" s="2">
        <v>-0.95628000000000002</v>
      </c>
      <c r="Z8" s="2">
        <v>-7.0633299999999997</v>
      </c>
      <c r="AA8" s="2">
        <v>-1.2547900000000001</v>
      </c>
      <c r="AB8" s="2">
        <v>-6.5350000000000001</v>
      </c>
      <c r="AC8" s="2">
        <v>2.12981</v>
      </c>
      <c r="AD8" s="2">
        <v>-0.66617999999999999</v>
      </c>
      <c r="AE8" s="2">
        <v>-0.51610999999999996</v>
      </c>
      <c r="AF8" s="2">
        <v>-2.08134</v>
      </c>
      <c r="AG8" s="2">
        <v>-4.80016</v>
      </c>
      <c r="AH8" s="2">
        <v>-1.9662200000000001</v>
      </c>
      <c r="AI8" s="2">
        <v>-2.2157835449999999</v>
      </c>
      <c r="AJ8" s="2">
        <v>-0.36942427500000002</v>
      </c>
      <c r="AK8" s="2">
        <f t="shared" si="10"/>
        <v>-9.2744</v>
      </c>
      <c r="AL8" s="2">
        <f t="shared" si="11"/>
        <v>-5.0713699999999999</v>
      </c>
      <c r="AM8" s="2">
        <f t="shared" si="12"/>
        <v>-7.3976100000000002</v>
      </c>
      <c r="AN8" s="2">
        <f t="shared" si="13"/>
        <v>-4.5514278199999998</v>
      </c>
      <c r="AO8" s="2">
        <f t="shared" si="14"/>
        <v>-2.5852078199999999</v>
      </c>
      <c r="AP8" s="2">
        <f t="shared" si="15"/>
        <v>-26.294807820000003</v>
      </c>
    </row>
    <row r="9" spans="1:42" x14ac:dyDescent="0.55000000000000004">
      <c r="A9" t="s">
        <v>31</v>
      </c>
      <c r="B9" s="4">
        <v>9940488298</v>
      </c>
      <c r="C9" t="s">
        <v>38</v>
      </c>
      <c r="D9" t="s">
        <v>76</v>
      </c>
      <c r="E9" t="s">
        <v>150</v>
      </c>
      <c r="F9" t="s">
        <v>26</v>
      </c>
      <c r="G9" s="2">
        <v>7.9468800000000002</v>
      </c>
      <c r="H9" s="2">
        <v>-9.6637900000000005</v>
      </c>
      <c r="I9" s="2">
        <v>8.1858299999999993</v>
      </c>
      <c r="J9" s="2">
        <v>-7.9927200000000003</v>
      </c>
      <c r="K9" s="2">
        <v>21.593489999999999</v>
      </c>
      <c r="L9" s="2">
        <v>12.604620000000001</v>
      </c>
      <c r="M9" s="2">
        <v>16.26604</v>
      </c>
      <c r="N9" s="2">
        <v>10.300420000000001</v>
      </c>
      <c r="O9" s="2">
        <v>-5.3671199999999999</v>
      </c>
      <c r="P9" s="2">
        <v>13.7376</v>
      </c>
      <c r="Q9" s="2">
        <v>7.7348201699999999</v>
      </c>
      <c r="R9" s="2">
        <v>10.129565599999999</v>
      </c>
      <c r="S9" s="2">
        <f t="shared" si="0"/>
        <v>6.4689199999999989</v>
      </c>
      <c r="T9" s="2">
        <f t="shared" si="1"/>
        <v>26.205390000000001</v>
      </c>
      <c r="U9" s="2">
        <f t="shared" si="6"/>
        <v>21.199339999999999</v>
      </c>
      <c r="V9" s="2">
        <f t="shared" si="7"/>
        <v>31.601985769999999</v>
      </c>
      <c r="W9" s="2">
        <f t="shared" si="8"/>
        <v>17.864385769999998</v>
      </c>
      <c r="X9" s="2">
        <f t="shared" si="9"/>
        <v>85.475635769999997</v>
      </c>
      <c r="Y9" s="2">
        <v>-2.0431900000000001</v>
      </c>
      <c r="Z9" s="2">
        <v>-22.193989999999999</v>
      </c>
      <c r="AA9" s="2">
        <v>-2.9138999999999999</v>
      </c>
      <c r="AB9" s="2">
        <v>-20.435410000000001</v>
      </c>
      <c r="AC9" s="2">
        <v>8.6329100000000007</v>
      </c>
      <c r="AD9" s="2">
        <v>-0.68899999999999995</v>
      </c>
      <c r="AE9" s="2">
        <v>0.14163999999999999</v>
      </c>
      <c r="AF9" s="2">
        <v>-5.1738200000000001</v>
      </c>
      <c r="AG9" s="2">
        <v>-14.95811</v>
      </c>
      <c r="AH9" s="2">
        <v>-4.4713900000000004</v>
      </c>
      <c r="AI9" s="2">
        <v>-7.4180579550000001</v>
      </c>
      <c r="AJ9" s="2">
        <v>-1.2367682250000001</v>
      </c>
      <c r="AK9" s="2">
        <f t="shared" si="10"/>
        <v>-27.15108</v>
      </c>
      <c r="AL9" s="2">
        <f t="shared" si="11"/>
        <v>-12.4915</v>
      </c>
      <c r="AM9" s="2">
        <f t="shared" si="12"/>
        <v>-19.990290000000002</v>
      </c>
      <c r="AN9" s="2">
        <f t="shared" si="13"/>
        <v>-13.126216180000002</v>
      </c>
      <c r="AO9" s="2">
        <f t="shared" si="14"/>
        <v>-8.6548261800000006</v>
      </c>
      <c r="AP9" s="2">
        <f t="shared" si="15"/>
        <v>-72.759086180000011</v>
      </c>
    </row>
    <row r="10" spans="1:42" hidden="1" x14ac:dyDescent="0.55000000000000004">
      <c r="A10" t="s">
        <v>31</v>
      </c>
      <c r="B10" s="4">
        <v>9940481651</v>
      </c>
      <c r="C10" t="s">
        <v>94</v>
      </c>
      <c r="D10" t="s">
        <v>74</v>
      </c>
      <c r="E10" t="s">
        <v>150</v>
      </c>
      <c r="F10" t="s">
        <v>131</v>
      </c>
      <c r="G10" s="2">
        <v>6.0970399999999998</v>
      </c>
      <c r="H10" s="2">
        <v>6.18344</v>
      </c>
      <c r="I10" s="2">
        <v>6.1743699999999997</v>
      </c>
      <c r="J10" s="2">
        <v>6.1828399999999997</v>
      </c>
      <c r="K10" s="2">
        <v>6.3429700000000002</v>
      </c>
      <c r="L10" s="2">
        <v>6.6099899999999998</v>
      </c>
      <c r="M10" s="2">
        <v>6.6170499999999999</v>
      </c>
      <c r="N10" s="2">
        <v>6.3509399999999996</v>
      </c>
      <c r="O10" s="2">
        <v>6.5467000000000004</v>
      </c>
      <c r="P10" s="2">
        <v>6.5631199999999996</v>
      </c>
      <c r="Q10" s="2">
        <v>6.485544</v>
      </c>
      <c r="R10" s="2">
        <v>6.485544</v>
      </c>
      <c r="S10" s="2">
        <f t="shared" si="0"/>
        <v>18.45485</v>
      </c>
      <c r="T10" s="2">
        <f t="shared" si="1"/>
        <v>19.1358</v>
      </c>
      <c r="U10" s="2">
        <f t="shared" si="6"/>
        <v>19.514690000000002</v>
      </c>
      <c r="V10" s="2">
        <f t="shared" si="7"/>
        <v>19.534208</v>
      </c>
      <c r="W10" s="2">
        <f t="shared" si="8"/>
        <v>12.971088</v>
      </c>
      <c r="X10" s="2">
        <f t="shared" si="9"/>
        <v>76.639547999999991</v>
      </c>
      <c r="Y10" s="2">
        <v>5.5615199999999998</v>
      </c>
      <c r="Z10" s="2">
        <v>5.6422499999999998</v>
      </c>
      <c r="AA10" s="2">
        <v>5.5722199999999997</v>
      </c>
      <c r="AB10" s="2">
        <v>5.5180499999999997</v>
      </c>
      <c r="AC10" s="2">
        <v>5.5976400000000002</v>
      </c>
      <c r="AD10" s="2">
        <v>5.7673800000000002</v>
      </c>
      <c r="AE10" s="2">
        <v>5.7073700000000001</v>
      </c>
      <c r="AF10" s="2">
        <v>5.4141599999999999</v>
      </c>
      <c r="AG10" s="2">
        <v>5.5157100000000003</v>
      </c>
      <c r="AH10" s="2">
        <v>5.4639199999999999</v>
      </c>
      <c r="AI10" s="2">
        <v>5.1485880000000002</v>
      </c>
      <c r="AJ10" s="2">
        <v>5.0793860000000004</v>
      </c>
      <c r="AK10" s="2">
        <f t="shared" si="10"/>
        <v>16.77599</v>
      </c>
      <c r="AL10" s="2">
        <f t="shared" si="11"/>
        <v>16.88307</v>
      </c>
      <c r="AM10" s="2">
        <f t="shared" si="12"/>
        <v>16.637239999999998</v>
      </c>
      <c r="AN10" s="2">
        <f t="shared" si="13"/>
        <v>15.691894000000001</v>
      </c>
      <c r="AO10" s="2">
        <f t="shared" si="14"/>
        <v>10.227974</v>
      </c>
      <c r="AP10" s="2">
        <f t="shared" si="15"/>
        <v>65.988193999999993</v>
      </c>
    </row>
    <row r="11" spans="1:42" hidden="1" x14ac:dyDescent="0.55000000000000004">
      <c r="A11" t="s">
        <v>31</v>
      </c>
      <c r="B11" s="4">
        <v>9940481651</v>
      </c>
      <c r="C11" t="s">
        <v>94</v>
      </c>
      <c r="D11" t="s">
        <v>74</v>
      </c>
      <c r="E11" t="s">
        <v>150</v>
      </c>
      <c r="F11" t="s">
        <v>133</v>
      </c>
      <c r="G11" s="2">
        <v>277.79250999999999</v>
      </c>
      <c r="H11" s="2">
        <v>290.76254</v>
      </c>
      <c r="I11" s="2">
        <v>237.42536999999999</v>
      </c>
      <c r="J11" s="2">
        <v>266.11756000000003</v>
      </c>
      <c r="K11" s="2">
        <v>285.74896999999999</v>
      </c>
      <c r="L11" s="2">
        <v>307.95546000000002</v>
      </c>
      <c r="M11" s="2">
        <v>298.20751000000001</v>
      </c>
      <c r="N11" s="2">
        <v>235.31072</v>
      </c>
      <c r="O11" s="2">
        <v>233.67276000000001</v>
      </c>
      <c r="P11" s="2">
        <v>246.27932000000001</v>
      </c>
      <c r="Q11" s="2">
        <v>146.44482551999999</v>
      </c>
      <c r="R11" s="2">
        <v>145.3682034</v>
      </c>
      <c r="S11" s="2">
        <f t="shared" si="0"/>
        <v>805.98041999999987</v>
      </c>
      <c r="T11" s="2">
        <f t="shared" si="1"/>
        <v>859.82199000000003</v>
      </c>
      <c r="U11" s="2">
        <f t="shared" si="6"/>
        <v>767.19099000000006</v>
      </c>
      <c r="V11" s="2">
        <f t="shared" si="7"/>
        <v>538.09234891999995</v>
      </c>
      <c r="W11" s="2">
        <f t="shared" si="8"/>
        <v>291.81302891999997</v>
      </c>
      <c r="X11" s="2">
        <f t="shared" si="9"/>
        <v>2971.0857489199998</v>
      </c>
      <c r="Y11" s="2">
        <v>101.17818</v>
      </c>
      <c r="Z11" s="2">
        <v>80.293959999999998</v>
      </c>
      <c r="AA11" s="2">
        <v>55.681460000000001</v>
      </c>
      <c r="AB11" s="2">
        <v>92.123689999999996</v>
      </c>
      <c r="AC11" s="2">
        <v>78.289289999999994</v>
      </c>
      <c r="AD11" s="2">
        <v>142.77835999999999</v>
      </c>
      <c r="AE11" s="2">
        <v>92.851960000000005</v>
      </c>
      <c r="AF11" s="2">
        <v>61.348370000000003</v>
      </c>
      <c r="AG11" s="2">
        <v>68.305070000000001</v>
      </c>
      <c r="AH11" s="2">
        <v>72.332130000000006</v>
      </c>
      <c r="AI11" s="2">
        <v>14.446648440000001</v>
      </c>
      <c r="AJ11" s="2">
        <v>9.5492375999999997</v>
      </c>
      <c r="AK11" s="2">
        <f t="shared" si="10"/>
        <v>237.15359999999998</v>
      </c>
      <c r="AL11" s="2">
        <f t="shared" si="11"/>
        <v>313.19133999999997</v>
      </c>
      <c r="AM11" s="2">
        <f t="shared" si="12"/>
        <v>222.50540000000001</v>
      </c>
      <c r="AN11" s="2">
        <f t="shared" si="13"/>
        <v>96.328016040000009</v>
      </c>
      <c r="AO11" s="2">
        <f t="shared" si="14"/>
        <v>23.995886040000002</v>
      </c>
      <c r="AP11" s="2">
        <f t="shared" si="15"/>
        <v>869.17835603999993</v>
      </c>
    </row>
    <row r="12" spans="1:42" hidden="1" x14ac:dyDescent="0.55000000000000004">
      <c r="A12" t="s">
        <v>31</v>
      </c>
      <c r="B12" s="4">
        <v>9940481651</v>
      </c>
      <c r="C12" t="s">
        <v>94</v>
      </c>
      <c r="D12" t="s">
        <v>74</v>
      </c>
      <c r="E12" t="s">
        <v>150</v>
      </c>
      <c r="F12" t="s">
        <v>134</v>
      </c>
      <c r="G12" s="2">
        <v>163.14798999999999</v>
      </c>
      <c r="H12" s="2">
        <v>170.7653</v>
      </c>
      <c r="I12" s="2">
        <v>139.44029</v>
      </c>
      <c r="J12" s="2">
        <v>156.29125999999999</v>
      </c>
      <c r="K12" s="2">
        <v>167.82082</v>
      </c>
      <c r="L12" s="2">
        <v>180.86273</v>
      </c>
      <c r="M12" s="2">
        <v>175.13773</v>
      </c>
      <c r="N12" s="2">
        <v>138.19835</v>
      </c>
      <c r="O12" s="2">
        <v>137.23639</v>
      </c>
      <c r="P12" s="2">
        <v>144.64024000000001</v>
      </c>
      <c r="Q12" s="2">
        <v>86.007278479999997</v>
      </c>
      <c r="R12" s="2">
        <v>85.374976599999997</v>
      </c>
      <c r="S12" s="2">
        <f t="shared" si="0"/>
        <v>473.35357999999997</v>
      </c>
      <c r="T12" s="2">
        <f t="shared" si="1"/>
        <v>504.97480999999999</v>
      </c>
      <c r="U12" s="2">
        <f t="shared" si="6"/>
        <v>450.57247000000007</v>
      </c>
      <c r="V12" s="2">
        <f t="shared" si="7"/>
        <v>316.02249508</v>
      </c>
      <c r="W12" s="2">
        <f t="shared" si="8"/>
        <v>171.38225507999999</v>
      </c>
      <c r="X12" s="2">
        <f t="shared" si="9"/>
        <v>1744.92335508</v>
      </c>
      <c r="Y12" s="2">
        <v>57.512050000000002</v>
      </c>
      <c r="Z12" s="2">
        <v>45.279490000000003</v>
      </c>
      <c r="AA12" s="2">
        <v>30.898230000000002</v>
      </c>
      <c r="AB12" s="2">
        <v>54.104390000000002</v>
      </c>
      <c r="AC12" s="2">
        <v>45.979399999999998</v>
      </c>
      <c r="AD12" s="2">
        <v>83.853920000000002</v>
      </c>
      <c r="AE12" s="2">
        <v>54.532089999999997</v>
      </c>
      <c r="AF12" s="2">
        <v>36.029960000000003</v>
      </c>
      <c r="AG12" s="2">
        <v>40.115670000000001</v>
      </c>
      <c r="AH12" s="2">
        <v>42.480809999999998</v>
      </c>
      <c r="AI12" s="2">
        <v>8.48453956</v>
      </c>
      <c r="AJ12" s="2">
        <v>5.6082824000000002</v>
      </c>
      <c r="AK12" s="2">
        <f t="shared" si="10"/>
        <v>133.68977000000001</v>
      </c>
      <c r="AL12" s="2">
        <f t="shared" si="11"/>
        <v>183.93770999999998</v>
      </c>
      <c r="AM12" s="2">
        <f t="shared" si="12"/>
        <v>130.67771999999999</v>
      </c>
      <c r="AN12" s="2">
        <f t="shared" si="13"/>
        <v>56.57363196</v>
      </c>
      <c r="AO12" s="2">
        <f t="shared" si="14"/>
        <v>14.09282196</v>
      </c>
      <c r="AP12" s="2">
        <f t="shared" si="15"/>
        <v>504.87883196000001</v>
      </c>
    </row>
    <row r="13" spans="1:42" hidden="1" x14ac:dyDescent="0.55000000000000004">
      <c r="A13" t="s">
        <v>31</v>
      </c>
      <c r="B13" s="4">
        <v>9940533180</v>
      </c>
      <c r="C13" t="s">
        <v>39</v>
      </c>
      <c r="D13" t="s">
        <v>78</v>
      </c>
      <c r="E13" t="s">
        <v>153</v>
      </c>
      <c r="F13" t="s">
        <v>131</v>
      </c>
      <c r="G13" s="2">
        <v>0.80857999999999997</v>
      </c>
      <c r="H13" s="2">
        <v>0.97985</v>
      </c>
      <c r="I13" s="2">
        <v>0.97985</v>
      </c>
      <c r="J13" s="2">
        <v>0.98716999999999999</v>
      </c>
      <c r="K13" s="2">
        <v>0.97985</v>
      </c>
      <c r="L13" s="2">
        <v>0.97999000000000003</v>
      </c>
      <c r="M13" s="2">
        <v>0.77234000000000003</v>
      </c>
      <c r="N13" s="2">
        <v>0.75409000000000004</v>
      </c>
      <c r="O13" s="2">
        <v>0.73816999999999999</v>
      </c>
      <c r="P13" s="2">
        <v>0.79462999999999995</v>
      </c>
      <c r="Q13" s="2">
        <v>-0.79463590200000001</v>
      </c>
      <c r="R13" s="2">
        <v>0</v>
      </c>
      <c r="S13" s="2">
        <f t="shared" si="0"/>
        <v>2.7682799999999999</v>
      </c>
      <c r="T13" s="2">
        <f t="shared" si="1"/>
        <v>2.9470100000000001</v>
      </c>
      <c r="U13" s="2">
        <f t="shared" si="6"/>
        <v>2.2645999999999997</v>
      </c>
      <c r="V13" s="2">
        <f t="shared" si="7"/>
        <v>-5.9020000000575834E-6</v>
      </c>
      <c r="W13" s="2">
        <f t="shared" si="8"/>
        <v>-0.79463590200000001</v>
      </c>
      <c r="X13" s="2">
        <f t="shared" si="9"/>
        <v>7.9798840979999994</v>
      </c>
      <c r="Y13" s="2">
        <v>-0.40427000000000002</v>
      </c>
      <c r="Z13" s="2">
        <v>1.6625799999999999</v>
      </c>
      <c r="AA13" s="2">
        <v>0.91537999999999997</v>
      </c>
      <c r="AB13" s="2">
        <v>0.41891</v>
      </c>
      <c r="AC13" s="2">
        <v>0.36081000000000002</v>
      </c>
      <c r="AD13" s="2">
        <v>0.44674999999999998</v>
      </c>
      <c r="AE13" s="2">
        <v>0.37146000000000001</v>
      </c>
      <c r="AF13" s="2">
        <v>0.11659</v>
      </c>
      <c r="AG13" s="2">
        <v>0.21593999999999999</v>
      </c>
      <c r="AH13" s="2">
        <v>0.16031999999999999</v>
      </c>
      <c r="AI13" s="2">
        <v>-0.16754895</v>
      </c>
      <c r="AJ13" s="2">
        <v>0</v>
      </c>
      <c r="AK13" s="2">
        <f t="shared" si="10"/>
        <v>2.1736899999999997</v>
      </c>
      <c r="AL13" s="2">
        <f t="shared" si="11"/>
        <v>1.2264699999999999</v>
      </c>
      <c r="AM13" s="2">
        <f t="shared" si="12"/>
        <v>0.70399</v>
      </c>
      <c r="AN13" s="2">
        <f t="shared" si="13"/>
        <v>-7.2289500000000118E-3</v>
      </c>
      <c r="AO13" s="2">
        <f t="shared" si="14"/>
        <v>-0.16754895</v>
      </c>
      <c r="AP13" s="2">
        <f t="shared" si="15"/>
        <v>4.0969210499999997</v>
      </c>
    </row>
    <row r="14" spans="1:42" hidden="1" x14ac:dyDescent="0.55000000000000004">
      <c r="A14" t="s">
        <v>31</v>
      </c>
      <c r="B14" s="4">
        <v>9940533180</v>
      </c>
      <c r="C14" t="s">
        <v>39</v>
      </c>
      <c r="D14" t="s">
        <v>78</v>
      </c>
      <c r="E14" t="s">
        <v>153</v>
      </c>
      <c r="F14" t="s">
        <v>132</v>
      </c>
      <c r="G14" s="2">
        <v>6.5060000000000007E-2</v>
      </c>
      <c r="H14" s="2">
        <v>7.8839999999999993E-2</v>
      </c>
      <c r="I14" s="2">
        <v>7.8839999999999993E-2</v>
      </c>
      <c r="J14" s="2">
        <v>7.9430000000000001E-2</v>
      </c>
      <c r="K14" s="2">
        <v>7.8839999999999993E-2</v>
      </c>
      <c r="L14" s="2">
        <v>7.8850000000000003E-2</v>
      </c>
      <c r="M14" s="2">
        <v>6.2140000000000001E-2</v>
      </c>
      <c r="N14" s="2">
        <v>6.0679999999999998E-2</v>
      </c>
      <c r="O14" s="2">
        <v>5.9389999999999998E-2</v>
      </c>
      <c r="P14" s="2">
        <v>6.3939999999999997E-2</v>
      </c>
      <c r="Q14" s="2">
        <v>-6.3936222000000001E-2</v>
      </c>
      <c r="R14" s="2">
        <v>0</v>
      </c>
      <c r="S14" s="2">
        <f t="shared" si="0"/>
        <v>0.22273999999999999</v>
      </c>
      <c r="T14" s="2">
        <f t="shared" si="1"/>
        <v>0.23712</v>
      </c>
      <c r="U14" s="2">
        <f t="shared" si="6"/>
        <v>0.18220999999999998</v>
      </c>
      <c r="V14" s="2">
        <f t="shared" si="7"/>
        <v>3.7779999999959513E-6</v>
      </c>
      <c r="W14" s="2">
        <f t="shared" si="8"/>
        <v>-6.3936222000000001E-2</v>
      </c>
      <c r="X14" s="2">
        <f t="shared" si="9"/>
        <v>0.64207377799999987</v>
      </c>
      <c r="Y14" s="2">
        <v>-1.762E-2</v>
      </c>
      <c r="Z14" s="2">
        <v>0.12537999999999999</v>
      </c>
      <c r="AA14" s="2">
        <v>7.4440000000000006E-2</v>
      </c>
      <c r="AB14" s="2">
        <v>4.0689999999999997E-2</v>
      </c>
      <c r="AC14" s="2">
        <v>3.6650000000000002E-2</v>
      </c>
      <c r="AD14" s="2">
        <v>4.2500000000000003E-2</v>
      </c>
      <c r="AE14" s="2">
        <v>3.4810000000000001E-2</v>
      </c>
      <c r="AF14" s="2">
        <v>1.721E-2</v>
      </c>
      <c r="AG14" s="2">
        <v>2.3769999999999999E-2</v>
      </c>
      <c r="AH14" s="2">
        <v>2.069E-2</v>
      </c>
      <c r="AI14" s="2">
        <v>-1.348095E-2</v>
      </c>
      <c r="AJ14" s="2">
        <v>0</v>
      </c>
      <c r="AK14" s="2">
        <f t="shared" si="10"/>
        <v>0.1822</v>
      </c>
      <c r="AL14" s="2">
        <f t="shared" si="11"/>
        <v>0.11984</v>
      </c>
      <c r="AM14" s="2">
        <f t="shared" si="12"/>
        <v>7.5789999999999996E-2</v>
      </c>
      <c r="AN14" s="2">
        <f t="shared" si="13"/>
        <v>7.2090499999999998E-3</v>
      </c>
      <c r="AO14" s="2">
        <f t="shared" si="14"/>
        <v>-1.348095E-2</v>
      </c>
      <c r="AP14" s="2">
        <f t="shared" si="15"/>
        <v>0.38503904999999999</v>
      </c>
    </row>
    <row r="15" spans="1:42" hidden="1" x14ac:dyDescent="0.55000000000000004">
      <c r="A15" t="s">
        <v>31</v>
      </c>
      <c r="B15" s="4">
        <v>9940533180</v>
      </c>
      <c r="C15" t="s">
        <v>39</v>
      </c>
      <c r="D15" t="s">
        <v>78</v>
      </c>
      <c r="E15" t="s">
        <v>153</v>
      </c>
      <c r="F15" t="s">
        <v>26</v>
      </c>
      <c r="G15" s="2">
        <v>5.577E-2</v>
      </c>
      <c r="H15" s="2">
        <v>6.7580000000000001E-2</v>
      </c>
      <c r="I15" s="2">
        <v>6.7580000000000001E-2</v>
      </c>
      <c r="J15" s="2">
        <v>6.8080000000000002E-2</v>
      </c>
      <c r="K15" s="2">
        <v>6.7580000000000001E-2</v>
      </c>
      <c r="L15" s="2">
        <v>6.7589999999999997E-2</v>
      </c>
      <c r="M15" s="2">
        <v>5.3269999999999998E-2</v>
      </c>
      <c r="N15" s="2">
        <v>5.2010000000000001E-2</v>
      </c>
      <c r="O15" s="2">
        <v>5.0909999999999997E-2</v>
      </c>
      <c r="P15" s="2">
        <v>5.4800000000000001E-2</v>
      </c>
      <c r="Q15" s="2">
        <v>-5.4802476000000003E-2</v>
      </c>
      <c r="R15" s="2">
        <v>0</v>
      </c>
      <c r="S15" s="2">
        <f t="shared" si="0"/>
        <v>0.19092999999999999</v>
      </c>
      <c r="T15" s="2">
        <f t="shared" si="1"/>
        <v>0.20324999999999999</v>
      </c>
      <c r="U15" s="2">
        <f t="shared" si="6"/>
        <v>0.15619</v>
      </c>
      <c r="V15" s="2">
        <f t="shared" si="7"/>
        <v>-2.476000000001255E-6</v>
      </c>
      <c r="W15" s="2">
        <f t="shared" si="8"/>
        <v>-5.4802476000000003E-2</v>
      </c>
      <c r="X15" s="2">
        <f t="shared" si="9"/>
        <v>0.550367524</v>
      </c>
      <c r="Y15" s="2">
        <v>-2.691E-2</v>
      </c>
      <c r="Z15" s="2">
        <v>0.11412</v>
      </c>
      <c r="AA15" s="2">
        <v>6.318E-2</v>
      </c>
      <c r="AB15" s="2">
        <v>2.9340000000000001E-2</v>
      </c>
      <c r="AC15" s="2">
        <v>2.5389999999999999E-2</v>
      </c>
      <c r="AD15" s="2">
        <v>3.124E-2</v>
      </c>
      <c r="AE15" s="2">
        <v>2.5940000000000001E-2</v>
      </c>
      <c r="AF15" s="2">
        <v>8.5400000000000007E-3</v>
      </c>
      <c r="AG15" s="2">
        <v>1.529E-2</v>
      </c>
      <c r="AH15" s="2">
        <v>1.155E-2</v>
      </c>
      <c r="AI15" s="2">
        <v>-1.15551E-2</v>
      </c>
      <c r="AJ15" s="2">
        <v>0</v>
      </c>
      <c r="AK15" s="2">
        <f t="shared" si="10"/>
        <v>0.15039</v>
      </c>
      <c r="AL15" s="2">
        <f t="shared" si="11"/>
        <v>8.5970000000000005E-2</v>
      </c>
      <c r="AM15" s="2">
        <f t="shared" si="12"/>
        <v>4.9770000000000002E-2</v>
      </c>
      <c r="AN15" s="2">
        <f t="shared" si="13"/>
        <v>-5.1000000000009371E-6</v>
      </c>
      <c r="AO15" s="2">
        <f t="shared" si="14"/>
        <v>-1.15551E-2</v>
      </c>
      <c r="AP15" s="2">
        <f t="shared" si="15"/>
        <v>0.28612490000000002</v>
      </c>
    </row>
    <row r="16" spans="1:42" hidden="1" x14ac:dyDescent="0.55000000000000004">
      <c r="A16" t="s">
        <v>31</v>
      </c>
      <c r="B16" s="4">
        <v>9940533180</v>
      </c>
      <c r="C16" t="s">
        <v>39</v>
      </c>
      <c r="D16" t="s">
        <v>78</v>
      </c>
      <c r="E16" t="s">
        <v>153</v>
      </c>
      <c r="F16" t="s">
        <v>135</v>
      </c>
      <c r="G16" s="2">
        <v>11.72301</v>
      </c>
      <c r="H16" s="2">
        <v>14.20614</v>
      </c>
      <c r="I16" s="2">
        <v>14.20614</v>
      </c>
      <c r="J16" s="2">
        <v>14.20614</v>
      </c>
      <c r="K16" s="2">
        <v>14.583729999999999</v>
      </c>
      <c r="L16" s="2">
        <v>14.20797</v>
      </c>
      <c r="M16" s="2">
        <v>10.795769999999999</v>
      </c>
      <c r="N16" s="2">
        <v>10.8148</v>
      </c>
      <c r="O16" s="2">
        <v>10.894959999999999</v>
      </c>
      <c r="P16" s="2">
        <v>10.75648</v>
      </c>
      <c r="Q16" s="2">
        <v>10.4368231</v>
      </c>
      <c r="R16" s="2">
        <v>9.4669679999999996</v>
      </c>
      <c r="S16" s="2">
        <f t="shared" si="0"/>
        <v>40.135289999999998</v>
      </c>
      <c r="T16" s="2">
        <f t="shared" si="1"/>
        <v>42.997839999999997</v>
      </c>
      <c r="U16" s="2">
        <f t="shared" si="6"/>
        <v>32.50553</v>
      </c>
      <c r="V16" s="2">
        <f t="shared" si="7"/>
        <v>30.660271100000003</v>
      </c>
      <c r="W16" s="2">
        <f t="shared" si="8"/>
        <v>19.903791099999999</v>
      </c>
      <c r="X16" s="2">
        <f t="shared" si="9"/>
        <v>146.2989311</v>
      </c>
      <c r="Y16" s="2">
        <v>8.9384800000000002</v>
      </c>
      <c r="Z16" s="2">
        <v>6.3820899999999998</v>
      </c>
      <c r="AA16" s="2">
        <v>8.1498799999999996</v>
      </c>
      <c r="AB16" s="2">
        <v>8.7417099999999994</v>
      </c>
      <c r="AC16" s="2">
        <v>7.7662300000000002</v>
      </c>
      <c r="AD16" s="2">
        <v>6.8769200000000001</v>
      </c>
      <c r="AE16" s="2">
        <v>2.2661699999999998</v>
      </c>
      <c r="AF16" s="2">
        <v>3.0536599999999998</v>
      </c>
      <c r="AG16" s="2">
        <v>3.72905</v>
      </c>
      <c r="AH16" s="2">
        <v>3.1394799999999998</v>
      </c>
      <c r="AI16" s="2">
        <v>1.5665393000000001</v>
      </c>
      <c r="AJ16" s="2">
        <v>1.1875039000000001</v>
      </c>
      <c r="AK16" s="2">
        <f t="shared" si="10"/>
        <v>23.47045</v>
      </c>
      <c r="AL16" s="2">
        <f t="shared" si="11"/>
        <v>23.384859999999996</v>
      </c>
      <c r="AM16" s="2">
        <f t="shared" si="12"/>
        <v>9.0488800000000005</v>
      </c>
      <c r="AN16" s="2">
        <f t="shared" si="13"/>
        <v>5.8935231999999997</v>
      </c>
      <c r="AO16" s="2">
        <f t="shared" si="14"/>
        <v>2.7540431999999999</v>
      </c>
      <c r="AP16" s="2">
        <f t="shared" si="15"/>
        <v>61.797713199999997</v>
      </c>
    </row>
    <row r="17" spans="1:42" hidden="1" x14ac:dyDescent="0.55000000000000004">
      <c r="A17" t="s">
        <v>31</v>
      </c>
      <c r="B17" s="4">
        <v>9940543402</v>
      </c>
      <c r="C17" t="s">
        <v>95</v>
      </c>
      <c r="D17" t="s">
        <v>72</v>
      </c>
      <c r="E17" t="s">
        <v>152</v>
      </c>
      <c r="F17" t="s">
        <v>134</v>
      </c>
      <c r="G17" s="2">
        <v>0</v>
      </c>
      <c r="H17" s="2">
        <v>4.7872300000000001</v>
      </c>
      <c r="I17" s="2">
        <v>4.7946900000000001</v>
      </c>
      <c r="J17" s="2">
        <v>12.59886</v>
      </c>
      <c r="K17" s="2">
        <v>8.8700899999999994</v>
      </c>
      <c r="L17" s="2">
        <v>24.841180000000001</v>
      </c>
      <c r="M17" s="2">
        <v>19.846019999999999</v>
      </c>
      <c r="N17" s="2">
        <v>33.101950000000002</v>
      </c>
      <c r="O17" s="2">
        <v>29.989000000000001</v>
      </c>
      <c r="P17" s="2">
        <v>29.518460000000001</v>
      </c>
      <c r="Q17" s="2">
        <v>27.7031505</v>
      </c>
      <c r="R17" s="2">
        <v>28.655455499999999</v>
      </c>
      <c r="S17" s="2">
        <f t="shared" si="0"/>
        <v>9.5819200000000002</v>
      </c>
      <c r="T17" s="2">
        <f t="shared" si="1"/>
        <v>46.310130000000001</v>
      </c>
      <c r="U17" s="2">
        <f t="shared" si="6"/>
        <v>82.936970000000002</v>
      </c>
      <c r="V17" s="2">
        <f t="shared" si="7"/>
        <v>85.877065999999999</v>
      </c>
      <c r="W17" s="2">
        <f t="shared" si="8"/>
        <v>56.358605999999995</v>
      </c>
      <c r="X17" s="2">
        <f t="shared" si="9"/>
        <v>224.70608600000003</v>
      </c>
      <c r="Y17" s="2">
        <v>-11.799939999999999</v>
      </c>
      <c r="Z17" s="2">
        <v>-10.35839</v>
      </c>
      <c r="AA17" s="2">
        <v>-5.9750199999999998</v>
      </c>
      <c r="AB17" s="2">
        <v>0.5837</v>
      </c>
      <c r="AC17" s="2">
        <v>-1.88266</v>
      </c>
      <c r="AD17" s="2">
        <v>12.606999999999999</v>
      </c>
      <c r="AE17" s="2">
        <v>-4.80898</v>
      </c>
      <c r="AF17" s="2">
        <v>17.777989999999999</v>
      </c>
      <c r="AG17" s="2">
        <v>14.01305</v>
      </c>
      <c r="AH17" s="2">
        <v>10.897550000000001</v>
      </c>
      <c r="AI17" s="2">
        <v>-3.0130154999999998</v>
      </c>
      <c r="AJ17" s="2">
        <v>9.3715965000000008</v>
      </c>
      <c r="AK17" s="2">
        <f t="shared" si="10"/>
        <v>-28.13335</v>
      </c>
      <c r="AL17" s="2">
        <f t="shared" si="11"/>
        <v>11.308039999999998</v>
      </c>
      <c r="AM17" s="2">
        <f t="shared" si="12"/>
        <v>26.982059999999997</v>
      </c>
      <c r="AN17" s="2">
        <f t="shared" si="13"/>
        <v>17.256131000000003</v>
      </c>
      <c r="AO17" s="2">
        <f t="shared" si="14"/>
        <v>6.3585810000000009</v>
      </c>
      <c r="AP17" s="2">
        <f t="shared" si="15"/>
        <v>27.412880999999999</v>
      </c>
    </row>
    <row r="18" spans="1:42" hidden="1" x14ac:dyDescent="0.55000000000000004">
      <c r="A18" t="s">
        <v>31</v>
      </c>
      <c r="B18" s="4">
        <v>9940200468</v>
      </c>
      <c r="C18" t="s">
        <v>96</v>
      </c>
      <c r="D18" t="s">
        <v>75</v>
      </c>
      <c r="E18" t="s">
        <v>151</v>
      </c>
      <c r="F18" t="s">
        <v>132</v>
      </c>
      <c r="G18" s="2">
        <v>0</v>
      </c>
      <c r="H18" s="2">
        <v>0</v>
      </c>
      <c r="I18" s="2"/>
      <c r="J18" s="2"/>
      <c r="K18" s="2"/>
      <c r="L18" s="2">
        <v>0</v>
      </c>
      <c r="M18" s="2">
        <v>0</v>
      </c>
      <c r="N18" s="2"/>
      <c r="O18" s="2"/>
      <c r="P18" s="2"/>
      <c r="Q18" s="2"/>
      <c r="R18" s="2"/>
      <c r="S18" s="2">
        <f t="shared" si="0"/>
        <v>0</v>
      </c>
      <c r="T18" s="2">
        <f t="shared" si="1"/>
        <v>0</v>
      </c>
      <c r="U18" s="2">
        <f t="shared" si="6"/>
        <v>0</v>
      </c>
      <c r="V18" s="2">
        <f t="shared" si="7"/>
        <v>0</v>
      </c>
      <c r="W18" s="2">
        <f t="shared" si="8"/>
        <v>0</v>
      </c>
      <c r="X18" s="2">
        <f t="shared" si="9"/>
        <v>0</v>
      </c>
      <c r="Y18" s="2">
        <v>0</v>
      </c>
      <c r="Z18" s="2">
        <v>0</v>
      </c>
      <c r="AA18" s="2"/>
      <c r="AB18" s="2"/>
      <c r="AC18" s="2"/>
      <c r="AD18" s="2">
        <v>0</v>
      </c>
      <c r="AE18" s="2">
        <v>0</v>
      </c>
      <c r="AF18" s="2"/>
      <c r="AG18" s="2"/>
      <c r="AH18" s="2"/>
      <c r="AI18" s="2"/>
      <c r="AJ18" s="2"/>
      <c r="AK18" s="2">
        <f t="shared" si="10"/>
        <v>0</v>
      </c>
      <c r="AL18" s="2">
        <f t="shared" si="11"/>
        <v>0</v>
      </c>
      <c r="AM18" s="2">
        <f t="shared" si="12"/>
        <v>0</v>
      </c>
      <c r="AN18" s="2">
        <f t="shared" si="13"/>
        <v>0</v>
      </c>
      <c r="AO18" s="2">
        <f t="shared" si="14"/>
        <v>0</v>
      </c>
      <c r="AP18" s="2">
        <f t="shared" si="15"/>
        <v>0</v>
      </c>
    </row>
    <row r="19" spans="1:42" hidden="1" x14ac:dyDescent="0.55000000000000004">
      <c r="A19" t="s">
        <v>31</v>
      </c>
      <c r="B19" s="4">
        <v>9940389320</v>
      </c>
      <c r="C19" t="s">
        <v>97</v>
      </c>
      <c r="D19" t="s">
        <v>84</v>
      </c>
      <c r="E19" t="s">
        <v>153</v>
      </c>
      <c r="F19" t="s">
        <v>131</v>
      </c>
      <c r="G19" s="2">
        <v>1.96668</v>
      </c>
      <c r="H19" s="2">
        <v>1.99455</v>
      </c>
      <c r="I19" s="2">
        <v>1.99163</v>
      </c>
      <c r="J19" s="2">
        <v>1.99312</v>
      </c>
      <c r="K19" s="2">
        <v>0.77112999999999998</v>
      </c>
      <c r="L19" s="2">
        <v>0.80359000000000003</v>
      </c>
      <c r="M19" s="2">
        <v>0.80445</v>
      </c>
      <c r="N19" s="2">
        <v>0.77210000000000001</v>
      </c>
      <c r="O19" s="2">
        <v>0.79590000000000005</v>
      </c>
      <c r="P19" s="2">
        <v>0.79788999999999999</v>
      </c>
      <c r="Q19" s="2">
        <v>0.78845949999999998</v>
      </c>
      <c r="R19" s="2">
        <v>0.78845949999999998</v>
      </c>
      <c r="S19" s="2">
        <f t="shared" si="0"/>
        <v>5.9528600000000003</v>
      </c>
      <c r="T19" s="2">
        <f t="shared" si="1"/>
        <v>3.5678400000000003</v>
      </c>
      <c r="U19" s="2">
        <f t="shared" si="6"/>
        <v>2.3724500000000002</v>
      </c>
      <c r="V19" s="2">
        <f t="shared" si="7"/>
        <v>2.3748089999999999</v>
      </c>
      <c r="W19" s="2">
        <f t="shared" si="8"/>
        <v>1.576919</v>
      </c>
      <c r="X19" s="2">
        <f t="shared" si="9"/>
        <v>14.267959000000001</v>
      </c>
      <c r="Y19" s="2">
        <v>0.29322999999999999</v>
      </c>
      <c r="Z19" s="2">
        <v>0.55101999999999995</v>
      </c>
      <c r="AA19" s="2">
        <v>0.66061999999999999</v>
      </c>
      <c r="AB19" s="2">
        <v>0.90486999999999995</v>
      </c>
      <c r="AC19" s="2">
        <v>4.829E-2</v>
      </c>
      <c r="AD19" s="2">
        <v>-0.10879999999999999</v>
      </c>
      <c r="AE19" s="2">
        <v>-4.4299999999999999E-2</v>
      </c>
      <c r="AF19" s="2">
        <v>0.56440999999999997</v>
      </c>
      <c r="AG19" s="2">
        <v>0.76919999999999999</v>
      </c>
      <c r="AH19" s="2">
        <v>0.47687000000000002</v>
      </c>
      <c r="AI19" s="2">
        <v>-0.18573799999999999</v>
      </c>
      <c r="AJ19" s="2">
        <v>0.14079900000000001</v>
      </c>
      <c r="AK19" s="2">
        <f t="shared" si="10"/>
        <v>1.5048699999999999</v>
      </c>
      <c r="AL19" s="2">
        <f t="shared" si="11"/>
        <v>0.84436</v>
      </c>
      <c r="AM19" s="2">
        <f t="shared" si="12"/>
        <v>1.28931</v>
      </c>
      <c r="AN19" s="2">
        <f t="shared" si="13"/>
        <v>0.43193100000000006</v>
      </c>
      <c r="AO19" s="2">
        <f t="shared" si="14"/>
        <v>-4.4938999999999979E-2</v>
      </c>
      <c r="AP19" s="2">
        <f t="shared" si="15"/>
        <v>4.0704709999999995</v>
      </c>
    </row>
    <row r="20" spans="1:42" hidden="1" x14ac:dyDescent="0.55000000000000004">
      <c r="A20" t="s">
        <v>31</v>
      </c>
      <c r="B20" s="4">
        <v>9940389320</v>
      </c>
      <c r="C20" t="s">
        <v>97</v>
      </c>
      <c r="D20" t="s">
        <v>84</v>
      </c>
      <c r="E20" t="s">
        <v>153</v>
      </c>
      <c r="F20" t="s">
        <v>133</v>
      </c>
      <c r="G20" s="2">
        <v>5.2404999999999999</v>
      </c>
      <c r="H20" s="2">
        <v>5.3147700000000002</v>
      </c>
      <c r="I20" s="2">
        <v>5.3069699999999997</v>
      </c>
      <c r="J20" s="2">
        <v>5.3142399999999999</v>
      </c>
      <c r="K20" s="2">
        <v>5.46814</v>
      </c>
      <c r="L20" s="2">
        <v>5.6983300000000003</v>
      </c>
      <c r="M20" s="2">
        <v>5.7044199999999998</v>
      </c>
      <c r="N20" s="2">
        <v>5.4750199999999998</v>
      </c>
      <c r="O20" s="2">
        <v>5.64377</v>
      </c>
      <c r="P20" s="2">
        <v>5.6579300000000003</v>
      </c>
      <c r="Q20" s="2">
        <v>5.5910543500000003</v>
      </c>
      <c r="R20" s="2">
        <v>5.5910543500000003</v>
      </c>
      <c r="S20" s="2">
        <f t="shared" si="0"/>
        <v>15.86224</v>
      </c>
      <c r="T20" s="2">
        <f t="shared" si="1"/>
        <v>16.480710000000002</v>
      </c>
      <c r="U20" s="2">
        <f t="shared" si="6"/>
        <v>16.82321</v>
      </c>
      <c r="V20" s="2">
        <f t="shared" si="7"/>
        <v>16.840038700000001</v>
      </c>
      <c r="W20" s="2">
        <f t="shared" si="8"/>
        <v>11.182108700000001</v>
      </c>
      <c r="X20" s="2">
        <f t="shared" si="9"/>
        <v>66.006198699999999</v>
      </c>
      <c r="Y20" s="2">
        <v>1.4436500000000001</v>
      </c>
      <c r="Z20" s="2">
        <v>1.39951</v>
      </c>
      <c r="AA20" s="2">
        <v>2.23434</v>
      </c>
      <c r="AB20" s="2">
        <v>2.3145799999999999</v>
      </c>
      <c r="AC20" s="2">
        <v>1.8749199999999999</v>
      </c>
      <c r="AD20" s="2">
        <v>2.06813</v>
      </c>
      <c r="AE20" s="2">
        <v>1.90635</v>
      </c>
      <c r="AF20" s="2">
        <v>1.86253</v>
      </c>
      <c r="AG20" s="2">
        <v>1.75587</v>
      </c>
      <c r="AH20" s="2">
        <v>1.24871</v>
      </c>
      <c r="AI20" s="2">
        <v>1.1287891999999999</v>
      </c>
      <c r="AJ20" s="2">
        <v>1.3609900500000001</v>
      </c>
      <c r="AK20" s="2">
        <f t="shared" si="10"/>
        <v>5.0775000000000006</v>
      </c>
      <c r="AL20" s="2">
        <f t="shared" si="11"/>
        <v>6.2576299999999998</v>
      </c>
      <c r="AM20" s="2">
        <f t="shared" si="12"/>
        <v>5.52475</v>
      </c>
      <c r="AN20" s="2">
        <f t="shared" si="13"/>
        <v>3.7384892499999998</v>
      </c>
      <c r="AO20" s="2">
        <f t="shared" si="14"/>
        <v>2.4897792499999998</v>
      </c>
      <c r="AP20" s="2">
        <f t="shared" si="15"/>
        <v>20.598369250000001</v>
      </c>
    </row>
    <row r="21" spans="1:42" hidden="1" x14ac:dyDescent="0.55000000000000004">
      <c r="A21" t="s">
        <v>31</v>
      </c>
      <c r="B21" s="4">
        <v>9940389320</v>
      </c>
      <c r="C21" t="s">
        <v>97</v>
      </c>
      <c r="D21" t="s">
        <v>84</v>
      </c>
      <c r="E21" t="s">
        <v>153</v>
      </c>
      <c r="F21" t="s">
        <v>135</v>
      </c>
      <c r="G21" s="2">
        <v>9.7323500000000003</v>
      </c>
      <c r="H21" s="2">
        <v>9.8702699999999997</v>
      </c>
      <c r="I21" s="2">
        <v>9.8557900000000007</v>
      </c>
      <c r="J21" s="2">
        <v>9.8693000000000008</v>
      </c>
      <c r="K21" s="2">
        <v>10.15512</v>
      </c>
      <c r="L21" s="2">
        <v>10.58262</v>
      </c>
      <c r="M21" s="2">
        <v>10.59393</v>
      </c>
      <c r="N21" s="2">
        <v>10.16789</v>
      </c>
      <c r="O21" s="2">
        <v>10.481299999999999</v>
      </c>
      <c r="P21" s="2">
        <v>10.507580000000001</v>
      </c>
      <c r="Q21" s="2">
        <v>10.38338665</v>
      </c>
      <c r="R21" s="2">
        <v>10.38338665</v>
      </c>
      <c r="S21" s="2">
        <f t="shared" si="0"/>
        <v>29.458410000000001</v>
      </c>
      <c r="T21" s="2">
        <f t="shared" si="1"/>
        <v>30.607039999999998</v>
      </c>
      <c r="U21" s="2">
        <f t="shared" si="6"/>
        <v>31.243119999999998</v>
      </c>
      <c r="V21" s="2">
        <f t="shared" si="7"/>
        <v>31.274353300000001</v>
      </c>
      <c r="W21" s="2">
        <f t="shared" si="8"/>
        <v>20.766773300000001</v>
      </c>
      <c r="X21" s="2">
        <f t="shared" si="9"/>
        <v>122.5829233</v>
      </c>
      <c r="Y21" s="2">
        <v>2.36199</v>
      </c>
      <c r="Z21" s="2">
        <v>2.2701199999999999</v>
      </c>
      <c r="AA21" s="2">
        <v>3.89134</v>
      </c>
      <c r="AB21" s="2">
        <v>4.0464599999999997</v>
      </c>
      <c r="AC21" s="2">
        <v>3.18004</v>
      </c>
      <c r="AD21" s="2">
        <v>3.5357799999999999</v>
      </c>
      <c r="AE21" s="2">
        <v>3.2211699999999999</v>
      </c>
      <c r="AF21" s="2">
        <v>3.1554099999999998</v>
      </c>
      <c r="AG21" s="2">
        <v>2.93418</v>
      </c>
      <c r="AH21" s="2">
        <v>1.94851</v>
      </c>
      <c r="AI21" s="2">
        <v>2.0963227999999998</v>
      </c>
      <c r="AJ21" s="2">
        <v>2.52755295</v>
      </c>
      <c r="AK21" s="2">
        <f t="shared" si="10"/>
        <v>8.5234500000000004</v>
      </c>
      <c r="AL21" s="2">
        <f t="shared" si="11"/>
        <v>10.762280000000001</v>
      </c>
      <c r="AM21" s="2">
        <f t="shared" si="12"/>
        <v>9.3107600000000001</v>
      </c>
      <c r="AN21" s="2">
        <f t="shared" si="13"/>
        <v>6.5723857500000005</v>
      </c>
      <c r="AO21" s="2">
        <f t="shared" si="14"/>
        <v>4.6238757499999998</v>
      </c>
      <c r="AP21" s="2">
        <f t="shared" si="15"/>
        <v>35.168875750000005</v>
      </c>
    </row>
    <row r="22" spans="1:42" hidden="1" x14ac:dyDescent="0.55000000000000004">
      <c r="A22" t="s">
        <v>31</v>
      </c>
      <c r="B22" s="4">
        <v>9940473365</v>
      </c>
      <c r="C22" t="s">
        <v>40</v>
      </c>
      <c r="D22" t="s">
        <v>79</v>
      </c>
      <c r="E22" t="s">
        <v>153</v>
      </c>
      <c r="F22" t="s">
        <v>131</v>
      </c>
      <c r="G22" s="2">
        <v>15.97119</v>
      </c>
      <c r="H22" s="2">
        <v>17.647790000000001</v>
      </c>
      <c r="I22" s="2">
        <v>20.972090000000001</v>
      </c>
      <c r="J22" s="2">
        <v>19.083200000000001</v>
      </c>
      <c r="K22" s="2">
        <v>19.198810000000002</v>
      </c>
      <c r="L22" s="2">
        <v>14.763540000000001</v>
      </c>
      <c r="M22" s="2">
        <v>15.672790000000001</v>
      </c>
      <c r="N22" s="2">
        <v>11.19014</v>
      </c>
      <c r="O22" s="2">
        <v>11.534929999999999</v>
      </c>
      <c r="P22" s="2">
        <v>12.620850000000001</v>
      </c>
      <c r="Q22" s="2">
        <v>16.112616612</v>
      </c>
      <c r="R22" s="2">
        <v>18.00660426</v>
      </c>
      <c r="S22" s="2">
        <f t="shared" si="0"/>
        <v>54.591070000000002</v>
      </c>
      <c r="T22" s="2">
        <f t="shared" si="1"/>
        <v>53.045549999999999</v>
      </c>
      <c r="U22" s="2">
        <f t="shared" si="6"/>
        <v>38.397859999999994</v>
      </c>
      <c r="V22" s="2">
        <f t="shared" si="7"/>
        <v>46.740070872000004</v>
      </c>
      <c r="W22" s="2">
        <f t="shared" si="8"/>
        <v>34.119220872</v>
      </c>
      <c r="X22" s="2">
        <f t="shared" si="9"/>
        <v>192.77455087199996</v>
      </c>
      <c r="Y22" s="2">
        <v>-16.791039999999999</v>
      </c>
      <c r="Z22" s="2">
        <v>-9.5579599999999996</v>
      </c>
      <c r="AA22" s="2">
        <v>-7.5286</v>
      </c>
      <c r="AB22" s="2">
        <v>-7.9426399999999999</v>
      </c>
      <c r="AC22" s="2">
        <v>-11.677960000000001</v>
      </c>
      <c r="AD22" s="2">
        <v>-17.61693</v>
      </c>
      <c r="AE22" s="2">
        <v>-29.078150000000001</v>
      </c>
      <c r="AF22" s="2">
        <v>-10.11252</v>
      </c>
      <c r="AG22" s="2">
        <v>-29.811679999999999</v>
      </c>
      <c r="AH22" s="2">
        <v>-31.557739999999999</v>
      </c>
      <c r="AI22" s="2">
        <v>-28.514544787999998</v>
      </c>
      <c r="AJ22" s="2">
        <v>-46.204801840000002</v>
      </c>
      <c r="AK22" s="2">
        <f t="shared" si="10"/>
        <v>-33.877599999999994</v>
      </c>
      <c r="AL22" s="2">
        <f t="shared" si="11"/>
        <v>-37.23753</v>
      </c>
      <c r="AM22" s="2">
        <f t="shared" si="12"/>
        <v>-69.002349999999993</v>
      </c>
      <c r="AN22" s="2">
        <f t="shared" si="13"/>
        <v>-106.27708662800001</v>
      </c>
      <c r="AO22" s="2">
        <f t="shared" si="14"/>
        <v>-74.719346627999997</v>
      </c>
      <c r="AP22" s="2">
        <f t="shared" si="15"/>
        <v>-246.39456662800001</v>
      </c>
    </row>
    <row r="23" spans="1:42" hidden="1" x14ac:dyDescent="0.55000000000000004">
      <c r="A23" t="s">
        <v>31</v>
      </c>
      <c r="B23" s="4">
        <v>9940473365</v>
      </c>
      <c r="C23" t="s">
        <v>40</v>
      </c>
      <c r="D23" t="s">
        <v>79</v>
      </c>
      <c r="E23" t="s">
        <v>153</v>
      </c>
      <c r="F23" t="s">
        <v>132</v>
      </c>
      <c r="G23" s="2">
        <v>19.644200000000001</v>
      </c>
      <c r="H23" s="2">
        <v>22.28837</v>
      </c>
      <c r="I23" s="2">
        <v>27.45956</v>
      </c>
      <c r="J23" s="2">
        <v>24.51979</v>
      </c>
      <c r="K23" s="2">
        <v>24.547049999999999</v>
      </c>
      <c r="L23" s="2">
        <v>16.448789999999999</v>
      </c>
      <c r="M23" s="2">
        <v>18.137779999999999</v>
      </c>
      <c r="N23" s="2">
        <v>11.204879999999999</v>
      </c>
      <c r="O23" s="2">
        <v>11.56677</v>
      </c>
      <c r="P23" s="2">
        <v>13.209490000000001</v>
      </c>
      <c r="Q23" s="2">
        <v>18.321337931999999</v>
      </c>
      <c r="R23" s="2">
        <v>21.10623661</v>
      </c>
      <c r="S23" s="2">
        <f t="shared" si="0"/>
        <v>69.392129999999995</v>
      </c>
      <c r="T23" s="2">
        <f t="shared" si="1"/>
        <v>65.515630000000002</v>
      </c>
      <c r="U23" s="2">
        <f t="shared" si="6"/>
        <v>40.90943</v>
      </c>
      <c r="V23" s="2">
        <f t="shared" si="7"/>
        <v>52.637064542000005</v>
      </c>
      <c r="W23" s="2">
        <f t="shared" si="8"/>
        <v>39.427574542000002</v>
      </c>
      <c r="X23" s="2">
        <f t="shared" si="9"/>
        <v>228.454254542</v>
      </c>
      <c r="Y23" s="2">
        <v>-12.82432</v>
      </c>
      <c r="Z23" s="2">
        <v>-6.62629</v>
      </c>
      <c r="AA23" s="2">
        <v>-4.3851100000000001</v>
      </c>
      <c r="AB23" s="2">
        <v>-4.6390099999999999</v>
      </c>
      <c r="AC23" s="2">
        <v>-8.0591500000000007</v>
      </c>
      <c r="AD23" s="2">
        <v>-14.014250000000001</v>
      </c>
      <c r="AE23" s="2">
        <v>-23.599540000000001</v>
      </c>
      <c r="AF23" s="2">
        <v>-7.4877000000000002</v>
      </c>
      <c r="AG23" s="2">
        <v>-24.522960000000001</v>
      </c>
      <c r="AH23" s="2">
        <v>-26.01972</v>
      </c>
      <c r="AI23" s="2">
        <v>-28.026202468000001</v>
      </c>
      <c r="AJ23" s="2">
        <v>-45.629727989999999</v>
      </c>
      <c r="AK23" s="2">
        <f t="shared" si="10"/>
        <v>-23.835720000000002</v>
      </c>
      <c r="AL23" s="2">
        <f t="shared" si="11"/>
        <v>-26.712410000000002</v>
      </c>
      <c r="AM23" s="2">
        <f t="shared" si="12"/>
        <v>-55.610200000000006</v>
      </c>
      <c r="AN23" s="2">
        <f t="shared" si="13"/>
        <v>-99.675650458000007</v>
      </c>
      <c r="AO23" s="2">
        <f t="shared" si="14"/>
        <v>-73.655930458</v>
      </c>
      <c r="AP23" s="2">
        <f t="shared" si="15"/>
        <v>-205.83398045800001</v>
      </c>
    </row>
    <row r="24" spans="1:42" hidden="1" x14ac:dyDescent="0.55000000000000004">
      <c r="A24" t="s">
        <v>31</v>
      </c>
      <c r="B24" s="4">
        <v>9940473365</v>
      </c>
      <c r="C24" t="s">
        <v>40</v>
      </c>
      <c r="D24" t="s">
        <v>79</v>
      </c>
      <c r="E24" t="s">
        <v>153</v>
      </c>
      <c r="F24" t="s">
        <v>26</v>
      </c>
      <c r="G24" s="2">
        <v>64.160610000000005</v>
      </c>
      <c r="H24" s="2">
        <v>79.526009999999999</v>
      </c>
      <c r="I24" s="2">
        <v>108.93119</v>
      </c>
      <c r="J24" s="2">
        <v>92.201059999999998</v>
      </c>
      <c r="K24" s="2">
        <v>90.961299999999994</v>
      </c>
      <c r="L24" s="2">
        <v>33.951180000000001</v>
      </c>
      <c r="M24" s="2">
        <v>46.06561</v>
      </c>
      <c r="N24" s="2">
        <v>7.0103099999999996</v>
      </c>
      <c r="O24" s="2">
        <v>7.4734600000000002</v>
      </c>
      <c r="P24" s="2">
        <v>16.389240000000001</v>
      </c>
      <c r="Q24" s="2">
        <v>42.532511855999999</v>
      </c>
      <c r="R24" s="2">
        <v>56.89328613</v>
      </c>
      <c r="S24" s="2">
        <f t="shared" si="0"/>
        <v>252.61781000000002</v>
      </c>
      <c r="T24" s="2">
        <f t="shared" si="1"/>
        <v>217.11353999999997</v>
      </c>
      <c r="U24" s="2">
        <f t="shared" si="6"/>
        <v>60.549379999999999</v>
      </c>
      <c r="V24" s="2">
        <f t="shared" si="7"/>
        <v>115.81503798599999</v>
      </c>
      <c r="W24" s="2">
        <f t="shared" si="8"/>
        <v>99.425797985999992</v>
      </c>
      <c r="X24" s="2">
        <f t="shared" si="9"/>
        <v>646.09576798600006</v>
      </c>
      <c r="Y24" s="2">
        <v>-7.9640899999999997</v>
      </c>
      <c r="Z24" s="2">
        <v>-11.888780000000001</v>
      </c>
      <c r="AA24" s="2">
        <v>-4.8361299999999998</v>
      </c>
      <c r="AB24" s="2">
        <v>-5.5171400000000004</v>
      </c>
      <c r="AC24" s="2">
        <v>-7.89621</v>
      </c>
      <c r="AD24" s="2">
        <v>-18.43139</v>
      </c>
      <c r="AE24" s="2">
        <v>-13.501530000000001</v>
      </c>
      <c r="AF24" s="2">
        <v>-22.15577</v>
      </c>
      <c r="AG24" s="2">
        <v>-15.45612</v>
      </c>
      <c r="AH24" s="2">
        <v>-17.009029999999999</v>
      </c>
      <c r="AI24" s="2">
        <v>-12.471551344</v>
      </c>
      <c r="AJ24" s="2">
        <v>-12.351413170000001</v>
      </c>
      <c r="AK24" s="2">
        <f t="shared" si="10"/>
        <v>-24.689</v>
      </c>
      <c r="AL24" s="2">
        <f t="shared" si="11"/>
        <v>-31.844740000000002</v>
      </c>
      <c r="AM24" s="2">
        <f t="shared" si="12"/>
        <v>-51.113419999999998</v>
      </c>
      <c r="AN24" s="2">
        <f t="shared" si="13"/>
        <v>-41.831994514000002</v>
      </c>
      <c r="AO24" s="2">
        <f t="shared" si="14"/>
        <v>-24.822964513999999</v>
      </c>
      <c r="AP24" s="2">
        <f t="shared" si="15"/>
        <v>-149.47915451400002</v>
      </c>
    </row>
    <row r="25" spans="1:42" hidden="1" x14ac:dyDescent="0.55000000000000004">
      <c r="A25" t="s">
        <v>31</v>
      </c>
      <c r="B25" s="4">
        <v>9940473365</v>
      </c>
      <c r="C25" t="s">
        <v>40</v>
      </c>
      <c r="D25" t="s">
        <v>79</v>
      </c>
      <c r="E25" t="s">
        <v>153</v>
      </c>
      <c r="F25" t="s">
        <v>133</v>
      </c>
      <c r="G25" s="2">
        <v>53.765329999999999</v>
      </c>
      <c r="H25" s="2">
        <v>54.449750000000002</v>
      </c>
      <c r="I25" s="2">
        <v>56.416589999999999</v>
      </c>
      <c r="J25" s="2">
        <v>55.311599999999999</v>
      </c>
      <c r="K25" s="2">
        <v>56.680149999999998</v>
      </c>
      <c r="L25" s="2">
        <v>64.272980000000004</v>
      </c>
      <c r="M25" s="2">
        <v>62.471029999999999</v>
      </c>
      <c r="N25" s="2">
        <v>59.476410000000001</v>
      </c>
      <c r="O25" s="2">
        <v>61.166739999999997</v>
      </c>
      <c r="P25" s="2">
        <v>62.205779999999997</v>
      </c>
      <c r="Q25" s="2">
        <v>66.997489999999999</v>
      </c>
      <c r="R25" s="2">
        <v>69.493020000000001</v>
      </c>
      <c r="S25" s="2">
        <f t="shared" si="0"/>
        <v>164.63166999999999</v>
      </c>
      <c r="T25" s="2">
        <f t="shared" si="1"/>
        <v>176.26472999999999</v>
      </c>
      <c r="U25" s="2">
        <f t="shared" si="6"/>
        <v>183.11418</v>
      </c>
      <c r="V25" s="2">
        <f t="shared" si="7"/>
        <v>198.69629</v>
      </c>
      <c r="W25" s="2">
        <f t="shared" si="8"/>
        <v>136.49051</v>
      </c>
      <c r="X25" s="2">
        <f t="shared" si="9"/>
        <v>722.70686999999998</v>
      </c>
      <c r="Y25" s="2">
        <v>-15.54762</v>
      </c>
      <c r="Z25" s="2">
        <v>-20.647099999999998</v>
      </c>
      <c r="AA25" s="2">
        <v>-2.42116</v>
      </c>
      <c r="AB25" s="2">
        <v>-14.797319999999999</v>
      </c>
      <c r="AC25" s="2">
        <v>-21.893799999999999</v>
      </c>
      <c r="AD25" s="2">
        <v>-58.520510000000002</v>
      </c>
      <c r="AE25" s="2">
        <v>-40.866160000000001</v>
      </c>
      <c r="AF25" s="2">
        <v>-63.097830000000002</v>
      </c>
      <c r="AG25" s="2">
        <v>-54.543520000000001</v>
      </c>
      <c r="AH25" s="2">
        <v>-73.99136</v>
      </c>
      <c r="AI25" s="2">
        <v>-54.321404999999999</v>
      </c>
      <c r="AJ25" s="2">
        <v>-97.018569999999997</v>
      </c>
      <c r="AK25" s="2">
        <f t="shared" si="10"/>
        <v>-38.615879999999997</v>
      </c>
      <c r="AL25" s="2">
        <f t="shared" si="11"/>
        <v>-95.21163</v>
      </c>
      <c r="AM25" s="2">
        <f t="shared" si="12"/>
        <v>-158.50751</v>
      </c>
      <c r="AN25" s="2">
        <f t="shared" si="13"/>
        <v>-225.33133500000002</v>
      </c>
      <c r="AO25" s="2">
        <f t="shared" si="14"/>
        <v>-151.33997499999998</v>
      </c>
      <c r="AP25" s="2">
        <f t="shared" si="15"/>
        <v>-517.66635500000007</v>
      </c>
    </row>
    <row r="26" spans="1:42" hidden="1" x14ac:dyDescent="0.55000000000000004">
      <c r="A26" t="s">
        <v>31</v>
      </c>
      <c r="B26" s="4">
        <v>9940473365</v>
      </c>
      <c r="C26" t="s">
        <v>40</v>
      </c>
      <c r="D26" t="s">
        <v>79</v>
      </c>
      <c r="E26" t="s">
        <v>153</v>
      </c>
      <c r="F26" t="s">
        <v>134</v>
      </c>
      <c r="G26" s="2">
        <v>31.604620000000001</v>
      </c>
      <c r="H26" s="2">
        <v>32.693849999999998</v>
      </c>
      <c r="I26" s="2">
        <v>33.163110000000003</v>
      </c>
      <c r="J26" s="2">
        <v>32.513579999999997</v>
      </c>
      <c r="K26" s="2">
        <v>33.318049999999999</v>
      </c>
      <c r="L26" s="2">
        <v>37.781300000000002</v>
      </c>
      <c r="M26" s="2">
        <v>36.722059999999999</v>
      </c>
      <c r="N26" s="2">
        <v>34.961739999999999</v>
      </c>
      <c r="O26" s="2">
        <v>35.955379999999998</v>
      </c>
      <c r="P26" s="2">
        <v>36.56615</v>
      </c>
      <c r="Q26" s="2">
        <v>39.382835</v>
      </c>
      <c r="R26" s="2">
        <v>40.849769999999999</v>
      </c>
      <c r="S26" s="2">
        <f t="shared" si="0"/>
        <v>97.461579999999998</v>
      </c>
      <c r="T26" s="2">
        <f t="shared" si="1"/>
        <v>103.61292999999999</v>
      </c>
      <c r="U26" s="2">
        <f t="shared" si="6"/>
        <v>107.63917999999998</v>
      </c>
      <c r="V26" s="2">
        <f t="shared" si="7"/>
        <v>116.798755</v>
      </c>
      <c r="W26" s="2">
        <f t="shared" si="8"/>
        <v>80.232605000000007</v>
      </c>
      <c r="X26" s="2">
        <f t="shared" si="9"/>
        <v>425.51244499999996</v>
      </c>
      <c r="Y26" s="2">
        <v>-47.781500000000001</v>
      </c>
      <c r="Z26" s="2">
        <v>-42.354300000000002</v>
      </c>
      <c r="AA26" s="2">
        <v>-28.339870000000001</v>
      </c>
      <c r="AB26" s="2">
        <v>-37.016249999999999</v>
      </c>
      <c r="AC26" s="2">
        <v>-29.574639999999999</v>
      </c>
      <c r="AD26" s="2">
        <v>-46.807729999999999</v>
      </c>
      <c r="AE26" s="2">
        <v>-55.64875</v>
      </c>
      <c r="AF26" s="2">
        <v>-55.517130000000002</v>
      </c>
      <c r="AG26" s="2">
        <v>-48.306480000000001</v>
      </c>
      <c r="AH26" s="2">
        <v>-61.04936</v>
      </c>
      <c r="AI26" s="2">
        <v>-22.672979999999999</v>
      </c>
      <c r="AJ26" s="2">
        <v>-57.247410000000002</v>
      </c>
      <c r="AK26" s="2">
        <f t="shared" si="10"/>
        <v>-118.47567000000001</v>
      </c>
      <c r="AL26" s="2">
        <f t="shared" si="11"/>
        <v>-113.39861999999999</v>
      </c>
      <c r="AM26" s="2">
        <f t="shared" si="12"/>
        <v>-159.47236000000001</v>
      </c>
      <c r="AN26" s="2">
        <f t="shared" si="13"/>
        <v>-140.96975</v>
      </c>
      <c r="AO26" s="2">
        <f t="shared" si="14"/>
        <v>-79.920389999999998</v>
      </c>
      <c r="AP26" s="2">
        <f t="shared" si="15"/>
        <v>-532.31640000000004</v>
      </c>
    </row>
    <row r="27" spans="1:42" hidden="1" x14ac:dyDescent="0.55000000000000004">
      <c r="A27" t="s">
        <v>31</v>
      </c>
      <c r="B27" s="4">
        <v>9940473365</v>
      </c>
      <c r="C27" t="s">
        <v>40</v>
      </c>
      <c r="D27" t="s">
        <v>79</v>
      </c>
      <c r="E27" t="s">
        <v>153</v>
      </c>
      <c r="F27" t="s">
        <v>135</v>
      </c>
      <c r="G27" s="2">
        <v>120.10903</v>
      </c>
      <c r="H27" s="2">
        <v>121.05262</v>
      </c>
      <c r="I27" s="2">
        <v>123.45084</v>
      </c>
      <c r="J27" s="2">
        <v>122.52836000000001</v>
      </c>
      <c r="K27" s="2">
        <v>125.64269</v>
      </c>
      <c r="L27" s="2">
        <v>163.05307999999999</v>
      </c>
      <c r="M27" s="2">
        <v>158.67818</v>
      </c>
      <c r="N27" s="2">
        <v>137.26613</v>
      </c>
      <c r="O27" s="2">
        <v>141.36511999999999</v>
      </c>
      <c r="P27" s="2">
        <v>142.53743</v>
      </c>
      <c r="Q27" s="2">
        <v>145.95622</v>
      </c>
      <c r="R27" s="2">
        <v>148.26054999999999</v>
      </c>
      <c r="S27" s="2">
        <f t="shared" si="0"/>
        <v>364.61248999999998</v>
      </c>
      <c r="T27" s="2">
        <f t="shared" si="1"/>
        <v>411.22413</v>
      </c>
      <c r="U27" s="2">
        <f t="shared" si="6"/>
        <v>437.30942999999996</v>
      </c>
      <c r="V27" s="2">
        <f t="shared" si="7"/>
        <v>436.75419999999997</v>
      </c>
      <c r="W27" s="2">
        <f t="shared" si="8"/>
        <v>294.21677</v>
      </c>
      <c r="X27" s="2">
        <f t="shared" si="9"/>
        <v>1649.9002500000001</v>
      </c>
      <c r="Y27" s="2">
        <v>-45.571820000000002</v>
      </c>
      <c r="Z27" s="2">
        <v>-43.734369999999998</v>
      </c>
      <c r="AA27" s="2">
        <v>-12.08211</v>
      </c>
      <c r="AB27" s="2">
        <v>-26.569900000000001</v>
      </c>
      <c r="AC27" s="2">
        <v>-29.465050000000002</v>
      </c>
      <c r="AD27" s="2">
        <v>-41.34122</v>
      </c>
      <c r="AE27" s="2">
        <v>-28.82743</v>
      </c>
      <c r="AF27" s="2">
        <v>-53.588859999999997</v>
      </c>
      <c r="AG27" s="2">
        <v>-52.913980000000002</v>
      </c>
      <c r="AH27" s="2">
        <v>-102.18186</v>
      </c>
      <c r="AI27" s="2">
        <v>-47.194061400000002</v>
      </c>
      <c r="AJ27" s="2">
        <v>-103.3903055</v>
      </c>
      <c r="AK27" s="2">
        <f t="shared" si="10"/>
        <v>-101.3883</v>
      </c>
      <c r="AL27" s="2">
        <f t="shared" si="11"/>
        <v>-97.376170000000002</v>
      </c>
      <c r="AM27" s="2">
        <f t="shared" si="12"/>
        <v>-135.33027000000001</v>
      </c>
      <c r="AN27" s="2">
        <f t="shared" si="13"/>
        <v>-252.76622689999999</v>
      </c>
      <c r="AO27" s="2">
        <f t="shared" si="14"/>
        <v>-150.58436689999999</v>
      </c>
      <c r="AP27" s="2">
        <f t="shared" si="15"/>
        <v>-586.86096689999999</v>
      </c>
    </row>
    <row r="28" spans="1:42" hidden="1" x14ac:dyDescent="0.55000000000000004">
      <c r="A28" t="s">
        <v>31</v>
      </c>
      <c r="B28" s="4">
        <v>9940322165</v>
      </c>
      <c r="C28" t="s">
        <v>41</v>
      </c>
      <c r="D28" t="s">
        <v>80</v>
      </c>
      <c r="E28" t="s">
        <v>151</v>
      </c>
      <c r="F28" t="s">
        <v>26</v>
      </c>
      <c r="G28" s="2">
        <v>0</v>
      </c>
      <c r="H28" s="2">
        <v>0</v>
      </c>
      <c r="I28" s="2"/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/>
      <c r="Q28" s="2"/>
      <c r="R28" s="2"/>
      <c r="S28" s="2">
        <f t="shared" si="0"/>
        <v>0</v>
      </c>
      <c r="T28" s="2">
        <f t="shared" si="1"/>
        <v>0</v>
      </c>
      <c r="U28" s="2">
        <f t="shared" si="6"/>
        <v>0</v>
      </c>
      <c r="V28" s="2">
        <f t="shared" si="7"/>
        <v>0</v>
      </c>
      <c r="W28" s="2">
        <f t="shared" si="8"/>
        <v>0</v>
      </c>
      <c r="X28" s="2">
        <f t="shared" si="9"/>
        <v>0</v>
      </c>
      <c r="Y28" s="2">
        <v>0</v>
      </c>
      <c r="Z28" s="2">
        <v>0</v>
      </c>
      <c r="AA28" s="2"/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/>
      <c r="AI28" s="2"/>
      <c r="AJ28" s="2"/>
      <c r="AK28" s="2">
        <f t="shared" si="10"/>
        <v>0</v>
      </c>
      <c r="AL28" s="2">
        <f t="shared" si="11"/>
        <v>0</v>
      </c>
      <c r="AM28" s="2">
        <f t="shared" si="12"/>
        <v>0</v>
      </c>
      <c r="AN28" s="2">
        <f t="shared" si="13"/>
        <v>0</v>
      </c>
      <c r="AO28" s="2">
        <f t="shared" si="14"/>
        <v>0</v>
      </c>
      <c r="AP28" s="2">
        <f t="shared" si="15"/>
        <v>0</v>
      </c>
    </row>
    <row r="29" spans="1:42" hidden="1" x14ac:dyDescent="0.55000000000000004">
      <c r="A29" t="s">
        <v>31</v>
      </c>
      <c r="B29" s="4">
        <v>9940490800</v>
      </c>
      <c r="C29" t="s">
        <v>42</v>
      </c>
      <c r="D29" t="s">
        <v>81</v>
      </c>
      <c r="E29" t="s">
        <v>154</v>
      </c>
      <c r="F29" t="s">
        <v>131</v>
      </c>
      <c r="G29" s="2">
        <v>32.261110000000002</v>
      </c>
      <c r="H29" s="2">
        <v>30.808029999999999</v>
      </c>
      <c r="I29" s="2">
        <v>27.249659999999999</v>
      </c>
      <c r="J29" s="2">
        <v>25.269670000000001</v>
      </c>
      <c r="K29" s="2">
        <v>27.0581</v>
      </c>
      <c r="L29" s="2">
        <v>19.616800000000001</v>
      </c>
      <c r="M29" s="2">
        <v>27.845330000000001</v>
      </c>
      <c r="N29" s="2">
        <v>23.765969999999999</v>
      </c>
      <c r="O29" s="2">
        <v>23.708369999999999</v>
      </c>
      <c r="P29" s="2">
        <v>24.203379999999999</v>
      </c>
      <c r="Q29" s="2">
        <v>9.7291694500000006</v>
      </c>
      <c r="R29" s="2">
        <v>15.33212885</v>
      </c>
      <c r="S29" s="2">
        <f t="shared" si="0"/>
        <v>90.31880000000001</v>
      </c>
      <c r="T29" s="2">
        <f t="shared" si="1"/>
        <v>71.944569999999999</v>
      </c>
      <c r="U29" s="2">
        <f t="shared" si="6"/>
        <v>75.319670000000002</v>
      </c>
      <c r="V29" s="2">
        <f t="shared" si="7"/>
        <v>49.2646783</v>
      </c>
      <c r="W29" s="2">
        <f t="shared" si="8"/>
        <v>25.061298300000001</v>
      </c>
      <c r="X29" s="2">
        <f t="shared" si="9"/>
        <v>286.8477183</v>
      </c>
      <c r="Y29" s="2">
        <v>12.04377</v>
      </c>
      <c r="Z29" s="2">
        <v>11.412100000000001</v>
      </c>
      <c r="AA29" s="2">
        <v>9.8211499999999994</v>
      </c>
      <c r="AB29" s="2">
        <v>8.4816099999999999</v>
      </c>
      <c r="AC29" s="2">
        <v>9.6385100000000001</v>
      </c>
      <c r="AD29" s="2">
        <v>1.92353</v>
      </c>
      <c r="AE29" s="2">
        <v>9.3168900000000008</v>
      </c>
      <c r="AF29" s="2">
        <v>8.1602700000000006</v>
      </c>
      <c r="AG29" s="2">
        <v>8.4835499999999993</v>
      </c>
      <c r="AH29" s="2">
        <v>8.7066199999999991</v>
      </c>
      <c r="AI29" s="2">
        <v>0.62188235000000003</v>
      </c>
      <c r="AJ29" s="2">
        <v>5.2291344000000004</v>
      </c>
      <c r="AK29" s="2">
        <f t="shared" si="10"/>
        <v>33.27702</v>
      </c>
      <c r="AL29" s="2">
        <f t="shared" si="11"/>
        <v>20.04365</v>
      </c>
      <c r="AM29" s="2">
        <f t="shared" si="12"/>
        <v>25.960709999999999</v>
      </c>
      <c r="AN29" s="2">
        <f t="shared" si="13"/>
        <v>14.55763675</v>
      </c>
      <c r="AO29" s="2">
        <f t="shared" si="14"/>
        <v>5.8510167500000003</v>
      </c>
      <c r="AP29" s="2">
        <f t="shared" si="15"/>
        <v>93.839016749999999</v>
      </c>
    </row>
    <row r="30" spans="1:42" hidden="1" x14ac:dyDescent="0.55000000000000004">
      <c r="A30" t="s">
        <v>31</v>
      </c>
      <c r="B30" s="4">
        <v>9940490800</v>
      </c>
      <c r="C30" t="s">
        <v>42</v>
      </c>
      <c r="D30" t="s">
        <v>81</v>
      </c>
      <c r="E30" t="s">
        <v>154</v>
      </c>
      <c r="F30" t="s">
        <v>132</v>
      </c>
      <c r="G30" s="2">
        <v>6.7918099999999999</v>
      </c>
      <c r="H30" s="2">
        <v>6.4859</v>
      </c>
      <c r="I30" s="2">
        <v>5.7367699999999999</v>
      </c>
      <c r="J30" s="2">
        <v>5.3199300000000003</v>
      </c>
      <c r="K30" s="2">
        <v>5.6964399999999999</v>
      </c>
      <c r="L30" s="2">
        <v>4.1298599999999999</v>
      </c>
      <c r="M30" s="2">
        <v>5.8621800000000004</v>
      </c>
      <c r="N30" s="2">
        <v>5.0033599999999998</v>
      </c>
      <c r="O30" s="2">
        <v>4.9912299999999998</v>
      </c>
      <c r="P30" s="2">
        <v>5.0954600000000001</v>
      </c>
      <c r="Q30" s="2">
        <v>2.0482461999999999</v>
      </c>
      <c r="R30" s="2">
        <v>3.2278166000000001</v>
      </c>
      <c r="S30" s="2">
        <f t="shared" si="0"/>
        <v>19.014479999999999</v>
      </c>
      <c r="T30" s="2">
        <f t="shared" si="1"/>
        <v>15.146229999999999</v>
      </c>
      <c r="U30" s="2">
        <f t="shared" si="6"/>
        <v>15.856769999999999</v>
      </c>
      <c r="V30" s="2">
        <f t="shared" si="7"/>
        <v>10.371522800000001</v>
      </c>
      <c r="W30" s="2">
        <f t="shared" si="8"/>
        <v>5.2760628000000001</v>
      </c>
      <c r="X30" s="2">
        <f t="shared" si="9"/>
        <v>60.389002799999993</v>
      </c>
      <c r="Y30" s="2">
        <v>2.5355400000000001</v>
      </c>
      <c r="Z30" s="2">
        <v>2.4025400000000001</v>
      </c>
      <c r="AA30" s="2">
        <v>2.06759</v>
      </c>
      <c r="AB30" s="2">
        <v>1.7856000000000001</v>
      </c>
      <c r="AC30" s="2">
        <v>2.0291600000000001</v>
      </c>
      <c r="AD30" s="2">
        <v>0.40495999999999999</v>
      </c>
      <c r="AE30" s="2">
        <v>1.9614499999999999</v>
      </c>
      <c r="AF30" s="2">
        <v>1.71793</v>
      </c>
      <c r="AG30" s="2">
        <v>1.786</v>
      </c>
      <c r="AH30" s="2">
        <v>1.8329800000000001</v>
      </c>
      <c r="AI30" s="2">
        <v>0.1309226</v>
      </c>
      <c r="AJ30" s="2">
        <v>1.1008704</v>
      </c>
      <c r="AK30" s="2">
        <f t="shared" si="10"/>
        <v>7.0056700000000003</v>
      </c>
      <c r="AL30" s="2">
        <f t="shared" si="11"/>
        <v>4.2197200000000006</v>
      </c>
      <c r="AM30" s="2">
        <f t="shared" si="12"/>
        <v>5.4653799999999997</v>
      </c>
      <c r="AN30" s="2">
        <f t="shared" si="13"/>
        <v>3.0647729999999997</v>
      </c>
      <c r="AO30" s="2">
        <f t="shared" si="14"/>
        <v>1.2317930000000001</v>
      </c>
      <c r="AP30" s="2">
        <f t="shared" si="15"/>
        <v>19.755542999999999</v>
      </c>
    </row>
    <row r="31" spans="1:42" hidden="1" x14ac:dyDescent="0.55000000000000004">
      <c r="A31" t="s">
        <v>31</v>
      </c>
      <c r="B31" s="4">
        <v>9940490800</v>
      </c>
      <c r="C31" t="s">
        <v>42</v>
      </c>
      <c r="D31" t="s">
        <v>81</v>
      </c>
      <c r="E31" t="s">
        <v>154</v>
      </c>
      <c r="F31" t="s">
        <v>26</v>
      </c>
      <c r="G31" s="2">
        <v>130.74242000000001</v>
      </c>
      <c r="H31" s="2">
        <v>124.8536</v>
      </c>
      <c r="I31" s="2">
        <v>110.43283</v>
      </c>
      <c r="J31" s="2">
        <v>102.40867</v>
      </c>
      <c r="K31" s="2">
        <v>109.65652</v>
      </c>
      <c r="L31" s="2">
        <v>79.499660000000006</v>
      </c>
      <c r="M31" s="2">
        <v>112.84684</v>
      </c>
      <c r="N31" s="2">
        <v>96.314700000000002</v>
      </c>
      <c r="O31" s="2">
        <v>96.081280000000007</v>
      </c>
      <c r="P31" s="2">
        <v>98.087379999999996</v>
      </c>
      <c r="Q31" s="2">
        <v>39.428739350000001</v>
      </c>
      <c r="R31" s="2">
        <v>62.135469550000003</v>
      </c>
      <c r="S31" s="2">
        <f t="shared" si="0"/>
        <v>366.02885000000003</v>
      </c>
      <c r="T31" s="2">
        <f t="shared" si="1"/>
        <v>291.56484999999998</v>
      </c>
      <c r="U31" s="2">
        <f t="shared" si="6"/>
        <v>305.24281999999999</v>
      </c>
      <c r="V31" s="2">
        <f t="shared" si="7"/>
        <v>199.65158890000001</v>
      </c>
      <c r="W31" s="2">
        <f t="shared" si="8"/>
        <v>101.56420890000001</v>
      </c>
      <c r="X31" s="2">
        <f t="shared" si="9"/>
        <v>1162.4881089</v>
      </c>
      <c r="Y31" s="2">
        <v>48.809069999999998</v>
      </c>
      <c r="Z31" s="2">
        <v>46.24906</v>
      </c>
      <c r="AA31" s="2">
        <v>39.80151</v>
      </c>
      <c r="AB31" s="2">
        <v>34.372860000000003</v>
      </c>
      <c r="AC31" s="2">
        <v>39.061259999999997</v>
      </c>
      <c r="AD31" s="2">
        <v>7.7953599999999996</v>
      </c>
      <c r="AE31" s="2">
        <v>37.757930000000002</v>
      </c>
      <c r="AF31" s="2">
        <v>33.070549999999997</v>
      </c>
      <c r="AG31" s="2">
        <v>34.380710000000001</v>
      </c>
      <c r="AH31" s="2">
        <v>35.284730000000003</v>
      </c>
      <c r="AI31" s="2">
        <v>2.5202600500000001</v>
      </c>
      <c r="AJ31" s="2">
        <v>21.191755199999999</v>
      </c>
      <c r="AK31" s="2">
        <f t="shared" si="10"/>
        <v>134.85964000000001</v>
      </c>
      <c r="AL31" s="2">
        <f t="shared" si="11"/>
        <v>81.229480000000009</v>
      </c>
      <c r="AM31" s="2">
        <f t="shared" si="12"/>
        <v>105.20919000000001</v>
      </c>
      <c r="AN31" s="2">
        <f t="shared" si="13"/>
        <v>58.996745250000004</v>
      </c>
      <c r="AO31" s="2">
        <f t="shared" si="14"/>
        <v>23.71201525</v>
      </c>
      <c r="AP31" s="2">
        <f t="shared" si="15"/>
        <v>380.29505525000002</v>
      </c>
    </row>
    <row r="32" spans="1:42" hidden="1" x14ac:dyDescent="0.55000000000000004">
      <c r="A32" t="s">
        <v>31</v>
      </c>
      <c r="B32" s="4">
        <v>9940566312</v>
      </c>
      <c r="C32" t="s">
        <v>98</v>
      </c>
      <c r="D32" t="s">
        <v>136</v>
      </c>
      <c r="E32" t="s">
        <v>151</v>
      </c>
      <c r="F32" t="s">
        <v>131</v>
      </c>
      <c r="G32" s="2"/>
      <c r="H32" s="2"/>
      <c r="I32" s="2"/>
      <c r="J32" s="2"/>
      <c r="K32" s="2"/>
      <c r="L32" s="2">
        <v>0</v>
      </c>
      <c r="M32" s="2">
        <v>105.84327</v>
      </c>
      <c r="N32" s="2">
        <v>81.045140000000004</v>
      </c>
      <c r="O32" s="2">
        <v>90.060580000000002</v>
      </c>
      <c r="P32" s="2">
        <v>14.707079999999999</v>
      </c>
      <c r="Q32" s="2">
        <v>0</v>
      </c>
      <c r="R32" s="2">
        <v>0</v>
      </c>
      <c r="S32" s="2">
        <f t="shared" si="0"/>
        <v>0</v>
      </c>
      <c r="T32" s="2">
        <f t="shared" si="1"/>
        <v>0</v>
      </c>
      <c r="U32" s="2">
        <f t="shared" si="6"/>
        <v>276.94899000000004</v>
      </c>
      <c r="V32" s="2">
        <f t="shared" si="7"/>
        <v>14.707079999999999</v>
      </c>
      <c r="W32" s="2">
        <f t="shared" si="8"/>
        <v>0</v>
      </c>
      <c r="X32" s="2">
        <f t="shared" si="9"/>
        <v>291.65607000000006</v>
      </c>
      <c r="Y32" s="2"/>
      <c r="Z32" s="2"/>
      <c r="AA32" s="2"/>
      <c r="AB32" s="2"/>
      <c r="AC32" s="2"/>
      <c r="AD32" s="2">
        <v>0</v>
      </c>
      <c r="AE32" s="2">
        <v>50.814360000000001</v>
      </c>
      <c r="AF32" s="2">
        <v>38.174259999999997</v>
      </c>
      <c r="AG32" s="2">
        <v>40.764249999999997</v>
      </c>
      <c r="AH32" s="2">
        <v>-12.793200000000001</v>
      </c>
      <c r="AI32" s="2">
        <v>6.6792353999999996</v>
      </c>
      <c r="AJ32" s="2">
        <v>-1.1048435999999999</v>
      </c>
      <c r="AK32" s="2">
        <f t="shared" si="10"/>
        <v>0</v>
      </c>
      <c r="AL32" s="2">
        <f t="shared" si="11"/>
        <v>0</v>
      </c>
      <c r="AM32" s="2">
        <f t="shared" si="12"/>
        <v>129.75287</v>
      </c>
      <c r="AN32" s="2">
        <f t="shared" si="13"/>
        <v>-7.2188082000000007</v>
      </c>
      <c r="AO32" s="2">
        <f t="shared" si="14"/>
        <v>5.5743917999999999</v>
      </c>
      <c r="AP32" s="2">
        <f t="shared" si="15"/>
        <v>122.5340618</v>
      </c>
    </row>
    <row r="33" spans="1:42" hidden="1" x14ac:dyDescent="0.55000000000000004">
      <c r="A33" t="s">
        <v>31</v>
      </c>
      <c r="B33" s="4">
        <v>9940566312</v>
      </c>
      <c r="C33" t="s">
        <v>98</v>
      </c>
      <c r="D33" t="s">
        <v>136</v>
      </c>
      <c r="E33" t="s">
        <v>151</v>
      </c>
      <c r="F33" t="s">
        <v>132</v>
      </c>
      <c r="G33" s="2"/>
      <c r="H33" s="2"/>
      <c r="I33" s="2"/>
      <c r="J33" s="2"/>
      <c r="K33" s="2"/>
      <c r="L33" s="2">
        <v>0</v>
      </c>
      <c r="M33" s="2">
        <v>101.69256</v>
      </c>
      <c r="N33" s="2">
        <v>77.866889999999998</v>
      </c>
      <c r="O33" s="2">
        <v>86.528790000000001</v>
      </c>
      <c r="P33" s="2">
        <v>14.130319999999999</v>
      </c>
      <c r="Q33" s="2">
        <v>0</v>
      </c>
      <c r="R33" s="2">
        <v>0</v>
      </c>
      <c r="S33" s="2">
        <f t="shared" si="0"/>
        <v>0</v>
      </c>
      <c r="T33" s="2">
        <f t="shared" si="1"/>
        <v>0</v>
      </c>
      <c r="U33" s="2">
        <f t="shared" si="6"/>
        <v>266.08823999999998</v>
      </c>
      <c r="V33" s="2">
        <f t="shared" si="7"/>
        <v>14.130319999999999</v>
      </c>
      <c r="W33" s="2">
        <f t="shared" si="8"/>
        <v>0</v>
      </c>
      <c r="X33" s="2">
        <f t="shared" si="9"/>
        <v>280.21855999999997</v>
      </c>
      <c r="Y33" s="2"/>
      <c r="Z33" s="2"/>
      <c r="AA33" s="2"/>
      <c r="AB33" s="2"/>
      <c r="AC33" s="2"/>
      <c r="AD33" s="2">
        <v>0</v>
      </c>
      <c r="AE33" s="2">
        <v>48.821640000000002</v>
      </c>
      <c r="AF33" s="2">
        <v>36.677219999999998</v>
      </c>
      <c r="AG33" s="2">
        <v>39.165619999999997</v>
      </c>
      <c r="AH33" s="2">
        <v>-12.291539999999999</v>
      </c>
      <c r="AI33" s="2">
        <v>6.4173045999999996</v>
      </c>
      <c r="AJ33" s="2">
        <v>-1.0615163999999999</v>
      </c>
      <c r="AK33" s="2">
        <f t="shared" si="10"/>
        <v>0</v>
      </c>
      <c r="AL33" s="2">
        <f t="shared" si="11"/>
        <v>0</v>
      </c>
      <c r="AM33" s="2">
        <f t="shared" si="12"/>
        <v>124.66448</v>
      </c>
      <c r="AN33" s="2">
        <f t="shared" si="13"/>
        <v>-6.9357518000000002</v>
      </c>
      <c r="AO33" s="2">
        <f t="shared" si="14"/>
        <v>5.3557881999999992</v>
      </c>
      <c r="AP33" s="2">
        <f t="shared" si="15"/>
        <v>117.72872819999999</v>
      </c>
    </row>
    <row r="34" spans="1:42" hidden="1" x14ac:dyDescent="0.55000000000000004">
      <c r="A34" t="s">
        <v>31</v>
      </c>
      <c r="B34" s="4">
        <v>9940280146</v>
      </c>
      <c r="C34" t="s">
        <v>99</v>
      </c>
      <c r="D34" t="s">
        <v>137</v>
      </c>
      <c r="E34" t="s">
        <v>150</v>
      </c>
      <c r="F34" t="s">
        <v>133</v>
      </c>
      <c r="G34" s="2">
        <v>86.111680000000007</v>
      </c>
      <c r="H34" s="2">
        <v>95.454999999999998</v>
      </c>
      <c r="I34" s="2">
        <v>85.069119999999998</v>
      </c>
      <c r="J34" s="2">
        <v>75</v>
      </c>
      <c r="K34" s="2">
        <v>85.000280000000004</v>
      </c>
      <c r="L34" s="2">
        <v>86.044799999999995</v>
      </c>
      <c r="M34" s="2">
        <v>89.05668</v>
      </c>
      <c r="N34" s="2">
        <v>88.961590000000001</v>
      </c>
      <c r="O34" s="2">
        <v>90.992810000000006</v>
      </c>
      <c r="P34" s="2">
        <v>106.40233000000001</v>
      </c>
      <c r="Q34" s="2">
        <v>90.149952999999996</v>
      </c>
      <c r="R34" s="2">
        <v>90.149952999999996</v>
      </c>
      <c r="S34" s="2">
        <f t="shared" si="0"/>
        <v>266.63580000000002</v>
      </c>
      <c r="T34" s="2">
        <f t="shared" si="1"/>
        <v>246.04507999999998</v>
      </c>
      <c r="U34" s="2">
        <f t="shared" si="6"/>
        <v>269.01107999999999</v>
      </c>
      <c r="V34" s="2">
        <f t="shared" si="7"/>
        <v>286.70223599999997</v>
      </c>
      <c r="W34" s="2">
        <f t="shared" si="8"/>
        <v>180.29990599999999</v>
      </c>
      <c r="X34" s="2">
        <f t="shared" si="9"/>
        <v>1068.394196</v>
      </c>
      <c r="Y34" s="2">
        <v>25.79532</v>
      </c>
      <c r="Z34" s="2">
        <v>29.281310000000001</v>
      </c>
      <c r="AA34" s="2">
        <v>31.802849999999999</v>
      </c>
      <c r="AB34" s="2">
        <v>28.096820000000001</v>
      </c>
      <c r="AC34" s="2">
        <v>30.76136</v>
      </c>
      <c r="AD34" s="2">
        <v>30.02129</v>
      </c>
      <c r="AE34" s="2">
        <v>28.47936</v>
      </c>
      <c r="AF34" s="2">
        <v>31.328199999999999</v>
      </c>
      <c r="AG34" s="2">
        <v>30.366009999999999</v>
      </c>
      <c r="AH34" s="2">
        <v>35.493729999999999</v>
      </c>
      <c r="AI34" s="2">
        <v>30.384191999999999</v>
      </c>
      <c r="AJ34" s="2">
        <v>29.574881000000001</v>
      </c>
      <c r="AK34" s="2">
        <f t="shared" si="10"/>
        <v>86.879480000000001</v>
      </c>
      <c r="AL34" s="2">
        <f t="shared" si="11"/>
        <v>88.879469999999998</v>
      </c>
      <c r="AM34" s="2">
        <f t="shared" si="12"/>
        <v>90.173569999999998</v>
      </c>
      <c r="AN34" s="2">
        <f t="shared" si="13"/>
        <v>95.452803000000003</v>
      </c>
      <c r="AO34" s="2">
        <f t="shared" si="14"/>
        <v>59.959073000000004</v>
      </c>
      <c r="AP34" s="2">
        <f t="shared" si="15"/>
        <v>361.38532300000003</v>
      </c>
    </row>
    <row r="35" spans="1:42" x14ac:dyDescent="0.55000000000000004">
      <c r="A35" t="s">
        <v>31</v>
      </c>
      <c r="B35" s="4">
        <v>9940477325</v>
      </c>
      <c r="C35" t="s">
        <v>43</v>
      </c>
      <c r="D35" t="s">
        <v>83</v>
      </c>
      <c r="E35" t="s">
        <v>150</v>
      </c>
      <c r="F35" t="s">
        <v>26</v>
      </c>
      <c r="G35" s="2">
        <v>76.272499999999994</v>
      </c>
      <c r="H35" s="2">
        <v>0</v>
      </c>
      <c r="I35" s="2">
        <v>141.72022000000001</v>
      </c>
      <c r="J35" s="2">
        <v>38.343060000000001</v>
      </c>
      <c r="K35" s="2">
        <v>42.68824</v>
      </c>
      <c r="L35" s="2">
        <v>44.416609999999999</v>
      </c>
      <c r="M35" s="2">
        <v>19.54926</v>
      </c>
      <c r="N35" s="2">
        <v>3.25074</v>
      </c>
      <c r="O35" s="2">
        <v>2.6189499999999999</v>
      </c>
      <c r="P35" s="2">
        <v>8.7553300000000007</v>
      </c>
      <c r="Q35" s="2">
        <v>0</v>
      </c>
      <c r="R35" s="2">
        <v>0</v>
      </c>
      <c r="S35" s="2">
        <f t="shared" si="0"/>
        <v>217.99272000000002</v>
      </c>
      <c r="T35" s="2">
        <f t="shared" si="1"/>
        <v>125.44791000000001</v>
      </c>
      <c r="U35" s="2">
        <f t="shared" si="6"/>
        <v>25.418950000000002</v>
      </c>
      <c r="V35" s="2">
        <f t="shared" si="7"/>
        <v>8.7553300000000007</v>
      </c>
      <c r="W35" s="2">
        <f t="shared" si="8"/>
        <v>0</v>
      </c>
      <c r="X35" s="2">
        <f t="shared" si="9"/>
        <v>377.61491000000007</v>
      </c>
      <c r="Y35" s="2">
        <v>-35.58343</v>
      </c>
      <c r="Z35" s="2">
        <v>-95.754559999999998</v>
      </c>
      <c r="AA35" s="2">
        <v>104.75716</v>
      </c>
      <c r="AB35" s="2">
        <v>6.2073700000000001</v>
      </c>
      <c r="AC35" s="2">
        <v>17.717759999999998</v>
      </c>
      <c r="AD35" s="2">
        <v>11.529960000000001</v>
      </c>
      <c r="AE35" s="2">
        <v>4.2615299999999996</v>
      </c>
      <c r="AF35" s="2">
        <v>2.4288799999999999</v>
      </c>
      <c r="AG35" s="2">
        <v>-4.5893800000000002</v>
      </c>
      <c r="AH35" s="2">
        <v>8.3374500000000005</v>
      </c>
      <c r="AI35" s="2">
        <v>0</v>
      </c>
      <c r="AJ35" s="2">
        <v>0</v>
      </c>
      <c r="AK35" s="2">
        <f t="shared" si="10"/>
        <v>-26.580829999999992</v>
      </c>
      <c r="AL35" s="2">
        <f t="shared" si="11"/>
        <v>35.455089999999998</v>
      </c>
      <c r="AM35" s="2">
        <f t="shared" si="12"/>
        <v>2.1010299999999997</v>
      </c>
      <c r="AN35" s="2">
        <f t="shared" si="13"/>
        <v>8.3374500000000005</v>
      </c>
      <c r="AO35" s="2">
        <f t="shared" si="14"/>
        <v>0</v>
      </c>
      <c r="AP35" s="2">
        <f t="shared" si="15"/>
        <v>19.312740000000005</v>
      </c>
    </row>
    <row r="36" spans="1:42" hidden="1" x14ac:dyDescent="0.55000000000000004">
      <c r="A36" t="s">
        <v>31</v>
      </c>
      <c r="B36" s="4">
        <v>9940540140</v>
      </c>
      <c r="C36" t="s">
        <v>100</v>
      </c>
      <c r="D36" t="s">
        <v>83</v>
      </c>
      <c r="E36" t="s">
        <v>151</v>
      </c>
      <c r="F36" t="s">
        <v>131</v>
      </c>
      <c r="G36" s="2">
        <v>0</v>
      </c>
      <c r="H36" s="2">
        <v>0</v>
      </c>
      <c r="I36" s="2">
        <v>0</v>
      </c>
      <c r="J36" s="2"/>
      <c r="K36" s="2"/>
      <c r="L36" s="2"/>
      <c r="M36" s="2"/>
      <c r="N36" s="2"/>
      <c r="O36" s="2"/>
      <c r="P36" s="2"/>
      <c r="Q36" s="2"/>
      <c r="R36" s="2"/>
      <c r="S36" s="2">
        <f t="shared" si="0"/>
        <v>0</v>
      </c>
      <c r="T36" s="2">
        <f t="shared" si="1"/>
        <v>0</v>
      </c>
      <c r="U36" s="2">
        <f t="shared" si="6"/>
        <v>0</v>
      </c>
      <c r="V36" s="2">
        <f t="shared" si="7"/>
        <v>0</v>
      </c>
      <c r="W36" s="2">
        <f t="shared" si="8"/>
        <v>0</v>
      </c>
      <c r="X36" s="2">
        <f t="shared" si="9"/>
        <v>0</v>
      </c>
      <c r="Y36" s="2">
        <v>-0.1368</v>
      </c>
      <c r="Z36" s="2">
        <v>-0.10324</v>
      </c>
      <c r="AA36" s="2">
        <v>-0.11959</v>
      </c>
      <c r="AB36" s="2"/>
      <c r="AC36" s="2"/>
      <c r="AD36" s="2"/>
      <c r="AE36" s="2"/>
      <c r="AF36" s="2"/>
      <c r="AG36" s="2"/>
      <c r="AH36" s="2"/>
      <c r="AI36" s="2"/>
      <c r="AJ36" s="2"/>
      <c r="AK36" s="2">
        <f t="shared" si="10"/>
        <v>-0.35963000000000001</v>
      </c>
      <c r="AL36" s="2">
        <f t="shared" si="11"/>
        <v>0</v>
      </c>
      <c r="AM36" s="2">
        <f t="shared" si="12"/>
        <v>0</v>
      </c>
      <c r="AN36" s="2">
        <f t="shared" si="13"/>
        <v>0</v>
      </c>
      <c r="AO36" s="2">
        <f t="shared" si="14"/>
        <v>0</v>
      </c>
      <c r="AP36" s="2">
        <f t="shared" si="15"/>
        <v>-0.35963000000000001</v>
      </c>
    </row>
    <row r="37" spans="1:42" hidden="1" x14ac:dyDescent="0.55000000000000004">
      <c r="A37" t="s">
        <v>31</v>
      </c>
      <c r="B37" s="4">
        <v>9940547100</v>
      </c>
      <c r="C37" t="s">
        <v>45</v>
      </c>
      <c r="D37" t="s">
        <v>82</v>
      </c>
      <c r="E37" t="s">
        <v>154</v>
      </c>
      <c r="F37" t="s">
        <v>131</v>
      </c>
      <c r="G37" s="2">
        <v>0</v>
      </c>
      <c r="H37" s="2">
        <v>54.048839999999998</v>
      </c>
      <c r="I37" s="2">
        <v>27.851880000000001</v>
      </c>
      <c r="J37" s="2">
        <v>27.3</v>
      </c>
      <c r="K37" s="2">
        <v>26.962129999999998</v>
      </c>
      <c r="L37" s="2">
        <v>18.020630000000001</v>
      </c>
      <c r="M37" s="2">
        <v>0</v>
      </c>
      <c r="N37" s="2">
        <v>0</v>
      </c>
      <c r="O37" s="2">
        <v>0</v>
      </c>
      <c r="P37" s="2">
        <v>0</v>
      </c>
      <c r="Q37" s="2">
        <v>15.030798000000001</v>
      </c>
      <c r="R37" s="2">
        <v>15.030798000000001</v>
      </c>
      <c r="S37" s="2">
        <f t="shared" si="0"/>
        <v>81.900720000000007</v>
      </c>
      <c r="T37" s="2">
        <f t="shared" si="1"/>
        <v>72.282759999999996</v>
      </c>
      <c r="U37" s="2">
        <f t="shared" si="6"/>
        <v>0</v>
      </c>
      <c r="V37" s="2">
        <f t="shared" si="7"/>
        <v>30.061596000000002</v>
      </c>
      <c r="W37" s="2">
        <f t="shared" si="8"/>
        <v>30.061596000000002</v>
      </c>
      <c r="X37" s="2">
        <f t="shared" si="9"/>
        <v>184.24507600000001</v>
      </c>
      <c r="Y37" s="2">
        <v>0</v>
      </c>
      <c r="Z37" s="2">
        <v>-121.71382</v>
      </c>
      <c r="AA37" s="2">
        <v>21.054290000000002</v>
      </c>
      <c r="AB37" s="2">
        <v>24.715630000000001</v>
      </c>
      <c r="AC37" s="2">
        <v>21.67427</v>
      </c>
      <c r="AD37" s="2">
        <v>13.66249</v>
      </c>
      <c r="AE37" s="2">
        <v>-3.3771800000000001</v>
      </c>
      <c r="AF37" s="2">
        <v>-3.2413799999999999</v>
      </c>
      <c r="AG37" s="2">
        <v>-3.3412899999999999</v>
      </c>
      <c r="AH37" s="2">
        <v>-3.3925800000000002</v>
      </c>
      <c r="AI37" s="2">
        <v>4.551876</v>
      </c>
      <c r="AJ37" s="2">
        <v>9.4731059999999996</v>
      </c>
      <c r="AK37" s="2">
        <f t="shared" si="10"/>
        <v>-100.65952999999999</v>
      </c>
      <c r="AL37" s="2">
        <f t="shared" si="11"/>
        <v>60.052389999999995</v>
      </c>
      <c r="AM37" s="2">
        <f t="shared" si="12"/>
        <v>-9.9598499999999994</v>
      </c>
      <c r="AN37" s="2">
        <f t="shared" si="13"/>
        <v>10.632401999999999</v>
      </c>
      <c r="AO37" s="2">
        <f t="shared" si="14"/>
        <v>14.024982</v>
      </c>
      <c r="AP37" s="2">
        <f t="shared" si="15"/>
        <v>-39.934587999999991</v>
      </c>
    </row>
    <row r="38" spans="1:42" hidden="1" x14ac:dyDescent="0.55000000000000004">
      <c r="A38" t="s">
        <v>31</v>
      </c>
      <c r="B38" s="4">
        <v>9940547100</v>
      </c>
      <c r="C38" t="s">
        <v>45</v>
      </c>
      <c r="D38" t="s">
        <v>82</v>
      </c>
      <c r="E38" t="s">
        <v>154</v>
      </c>
      <c r="F38" t="s">
        <v>26</v>
      </c>
      <c r="G38" s="2"/>
      <c r="H38" s="2"/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2.5522800000000001</v>
      </c>
      <c r="Q38" s="2">
        <v>2.5221179999999999</v>
      </c>
      <c r="R38" s="2">
        <v>2.5221179999999999</v>
      </c>
      <c r="S38" s="2">
        <f t="shared" si="0"/>
        <v>0</v>
      </c>
      <c r="T38" s="2">
        <f t="shared" si="1"/>
        <v>0</v>
      </c>
      <c r="U38" s="2">
        <f t="shared" si="6"/>
        <v>0</v>
      </c>
      <c r="V38" s="2">
        <f t="shared" si="7"/>
        <v>7.5965160000000003</v>
      </c>
      <c r="W38" s="2">
        <f t="shared" si="8"/>
        <v>5.0442359999999997</v>
      </c>
      <c r="X38" s="2">
        <f t="shared" si="9"/>
        <v>7.5965160000000003</v>
      </c>
      <c r="Y38" s="2"/>
      <c r="Z38" s="2"/>
      <c r="AA38" s="2">
        <v>0</v>
      </c>
      <c r="AB38" s="2">
        <v>0</v>
      </c>
      <c r="AC38" s="2">
        <v>0</v>
      </c>
      <c r="AD38" s="2">
        <v>-24.24156</v>
      </c>
      <c r="AE38" s="2">
        <v>-24.148099999999999</v>
      </c>
      <c r="AF38" s="2">
        <v>-23.78012</v>
      </c>
      <c r="AG38" s="2">
        <v>-19.372299999999999</v>
      </c>
      <c r="AH38" s="2">
        <v>-13.54646</v>
      </c>
      <c r="AI38" s="2">
        <v>-5.2992480000000004</v>
      </c>
      <c r="AJ38" s="2">
        <v>2.3299859999999999</v>
      </c>
      <c r="AK38" s="2">
        <f t="shared" si="10"/>
        <v>0</v>
      </c>
      <c r="AL38" s="2">
        <f t="shared" si="11"/>
        <v>-24.24156</v>
      </c>
      <c r="AM38" s="2">
        <f t="shared" si="12"/>
        <v>-67.300519999999992</v>
      </c>
      <c r="AN38" s="2">
        <f t="shared" si="13"/>
        <v>-16.515722000000004</v>
      </c>
      <c r="AO38" s="2">
        <f t="shared" si="14"/>
        <v>-2.9692620000000005</v>
      </c>
      <c r="AP38" s="2">
        <f t="shared" si="15"/>
        <v>-108.05780200000001</v>
      </c>
    </row>
    <row r="39" spans="1:42" hidden="1" x14ac:dyDescent="0.55000000000000004">
      <c r="A39" t="s">
        <v>31</v>
      </c>
      <c r="B39" s="4">
        <v>9940547100</v>
      </c>
      <c r="C39" t="s">
        <v>45</v>
      </c>
      <c r="D39" t="s">
        <v>82</v>
      </c>
      <c r="E39" t="s">
        <v>154</v>
      </c>
      <c r="F39" t="s">
        <v>135</v>
      </c>
      <c r="G39" s="2"/>
      <c r="H39" s="2">
        <v>125.14848000000001</v>
      </c>
      <c r="I39" s="2">
        <v>0</v>
      </c>
      <c r="J39" s="2">
        <v>63.797719999999998</v>
      </c>
      <c r="K39" s="2">
        <v>92.075519999999997</v>
      </c>
      <c r="L39" s="2">
        <v>95.917289999999994</v>
      </c>
      <c r="M39" s="2">
        <v>96.019779999999997</v>
      </c>
      <c r="N39" s="2">
        <v>92.158289999999994</v>
      </c>
      <c r="O39" s="2">
        <v>128.31177</v>
      </c>
      <c r="P39" s="2">
        <v>209.58063999999999</v>
      </c>
      <c r="Q39" s="2">
        <v>164.786292</v>
      </c>
      <c r="R39" s="2">
        <v>596.39552400000002</v>
      </c>
      <c r="S39" s="2">
        <f t="shared" si="0"/>
        <v>125.14848000000001</v>
      </c>
      <c r="T39" s="2">
        <f t="shared" si="1"/>
        <v>251.79052999999999</v>
      </c>
      <c r="U39" s="2">
        <f t="shared" si="6"/>
        <v>316.48983999999996</v>
      </c>
      <c r="V39" s="2">
        <f t="shared" si="7"/>
        <v>970.76245600000004</v>
      </c>
      <c r="W39" s="2">
        <f t="shared" si="8"/>
        <v>761.18181600000003</v>
      </c>
      <c r="X39" s="2">
        <f t="shared" si="9"/>
        <v>1664.1913060000002</v>
      </c>
      <c r="Y39" s="2"/>
      <c r="Z39" s="2">
        <v>-24.526710000000001</v>
      </c>
      <c r="AA39" s="2">
        <v>-43.147799999999997</v>
      </c>
      <c r="AB39" s="2">
        <v>2.7017199999999999</v>
      </c>
      <c r="AC39" s="2">
        <v>-36.629689999999997</v>
      </c>
      <c r="AD39" s="2">
        <v>-27.541129999999999</v>
      </c>
      <c r="AE39" s="2">
        <v>-67.092259999999996</v>
      </c>
      <c r="AF39" s="2">
        <v>-258.43337000000002</v>
      </c>
      <c r="AG39" s="2">
        <v>-269.55680000000001</v>
      </c>
      <c r="AH39" s="2">
        <v>-233.57353000000001</v>
      </c>
      <c r="AI39" s="2">
        <v>-126.167484</v>
      </c>
      <c r="AJ39" s="2">
        <v>344.73939000000001</v>
      </c>
      <c r="AK39" s="2">
        <f t="shared" si="10"/>
        <v>-67.674509999999998</v>
      </c>
      <c r="AL39" s="2">
        <f t="shared" si="11"/>
        <v>-61.469099999999997</v>
      </c>
      <c r="AM39" s="2">
        <f t="shared" si="12"/>
        <v>-595.08243000000004</v>
      </c>
      <c r="AN39" s="2">
        <f t="shared" si="13"/>
        <v>-15.001623999999993</v>
      </c>
      <c r="AO39" s="2">
        <f t="shared" si="14"/>
        <v>218.57190600000001</v>
      </c>
      <c r="AP39" s="2">
        <f t="shared" si="15"/>
        <v>-739.227664</v>
      </c>
    </row>
    <row r="40" spans="1:42" hidden="1" x14ac:dyDescent="0.55000000000000004">
      <c r="A40" t="s">
        <v>31</v>
      </c>
      <c r="B40" s="4">
        <v>9940416068</v>
      </c>
      <c r="C40" t="s">
        <v>101</v>
      </c>
      <c r="D40" t="s">
        <v>89</v>
      </c>
      <c r="E40" t="s">
        <v>150</v>
      </c>
      <c r="F40" t="s">
        <v>133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/>
      <c r="Q40" s="2"/>
      <c r="R40" s="2"/>
      <c r="S40" s="2">
        <f t="shared" si="0"/>
        <v>0</v>
      </c>
      <c r="T40" s="2">
        <f t="shared" si="1"/>
        <v>0</v>
      </c>
      <c r="U40" s="2">
        <f t="shared" si="6"/>
        <v>0</v>
      </c>
      <c r="V40" s="2">
        <f t="shared" si="7"/>
        <v>0</v>
      </c>
      <c r="W40" s="2">
        <f t="shared" si="8"/>
        <v>0</v>
      </c>
      <c r="X40" s="2">
        <f t="shared" si="9"/>
        <v>0</v>
      </c>
      <c r="Y40" s="2">
        <v>1.9500999999999999</v>
      </c>
      <c r="Z40" s="2">
        <v>1.9777400000000001</v>
      </c>
      <c r="AA40" s="2">
        <v>1.9748399999999999</v>
      </c>
      <c r="AB40" s="2">
        <v>1.9775400000000001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/>
      <c r="AI40" s="2"/>
      <c r="AJ40" s="2"/>
      <c r="AK40" s="2">
        <f t="shared" si="10"/>
        <v>5.9026800000000001</v>
      </c>
      <c r="AL40" s="2">
        <f t="shared" si="11"/>
        <v>1.9775400000000001</v>
      </c>
      <c r="AM40" s="2">
        <f t="shared" si="12"/>
        <v>0</v>
      </c>
      <c r="AN40" s="2">
        <f t="shared" si="13"/>
        <v>0</v>
      </c>
      <c r="AO40" s="2">
        <f t="shared" si="14"/>
        <v>0</v>
      </c>
      <c r="AP40" s="2">
        <f t="shared" si="15"/>
        <v>7.8802200000000004</v>
      </c>
    </row>
    <row r="41" spans="1:42" hidden="1" x14ac:dyDescent="0.55000000000000004">
      <c r="A41" t="s">
        <v>31</v>
      </c>
      <c r="B41" s="4">
        <v>9940565208</v>
      </c>
      <c r="C41" t="s">
        <v>46</v>
      </c>
      <c r="D41" t="s">
        <v>86</v>
      </c>
      <c r="E41" t="s">
        <v>153</v>
      </c>
      <c r="F41" t="s">
        <v>26</v>
      </c>
      <c r="G41" s="2"/>
      <c r="H41" s="2"/>
      <c r="I41" s="2"/>
      <c r="J41" s="2"/>
      <c r="K41" s="2"/>
      <c r="L41" s="2">
        <v>6.8599800000000002</v>
      </c>
      <c r="M41" s="2">
        <v>1.1902600000000001</v>
      </c>
      <c r="N41" s="2">
        <v>106.83123000000001</v>
      </c>
      <c r="O41" s="2">
        <v>174.29733999999999</v>
      </c>
      <c r="P41" s="2">
        <v>275.93660999999997</v>
      </c>
      <c r="Q41" s="2">
        <v>191.01428000000001</v>
      </c>
      <c r="R41" s="2">
        <v>174.27543</v>
      </c>
      <c r="S41" s="2">
        <f t="shared" si="0"/>
        <v>0</v>
      </c>
      <c r="T41" s="2">
        <f t="shared" si="1"/>
        <v>6.8599800000000002</v>
      </c>
      <c r="U41" s="2">
        <f t="shared" si="6"/>
        <v>282.31882999999999</v>
      </c>
      <c r="V41" s="2">
        <f t="shared" si="7"/>
        <v>641.22631999999999</v>
      </c>
      <c r="W41" s="2">
        <f t="shared" si="8"/>
        <v>365.28971000000001</v>
      </c>
      <c r="X41" s="2">
        <f t="shared" si="9"/>
        <v>930.40512999999999</v>
      </c>
      <c r="Y41" s="2"/>
      <c r="Z41" s="2"/>
      <c r="AA41" s="2"/>
      <c r="AB41" s="2"/>
      <c r="AC41" s="2"/>
      <c r="AD41" s="2">
        <v>3.25197</v>
      </c>
      <c r="AE41" s="2">
        <v>0.52612999999999999</v>
      </c>
      <c r="AF41" s="2">
        <v>57.23198</v>
      </c>
      <c r="AG41" s="2">
        <v>86.498320000000007</v>
      </c>
      <c r="AH41" s="2">
        <v>144.02152000000001</v>
      </c>
      <c r="AI41" s="2">
        <v>88.22072</v>
      </c>
      <c r="AJ41" s="2">
        <v>79.413880000000006</v>
      </c>
      <c r="AK41" s="2">
        <f t="shared" si="10"/>
        <v>0</v>
      </c>
      <c r="AL41" s="2">
        <f t="shared" si="11"/>
        <v>3.25197</v>
      </c>
      <c r="AM41" s="2">
        <f t="shared" si="12"/>
        <v>144.25643000000002</v>
      </c>
      <c r="AN41" s="2">
        <f t="shared" si="13"/>
        <v>311.65611999999999</v>
      </c>
      <c r="AO41" s="2">
        <f t="shared" si="14"/>
        <v>167.63460000000001</v>
      </c>
      <c r="AP41" s="2">
        <f t="shared" si="15"/>
        <v>459.16452000000004</v>
      </c>
    </row>
    <row r="42" spans="1:42" x14ac:dyDescent="0.55000000000000004">
      <c r="A42" t="s">
        <v>31</v>
      </c>
      <c r="B42" s="4">
        <v>9940503547</v>
      </c>
      <c r="C42" t="s">
        <v>47</v>
      </c>
      <c r="D42" t="s">
        <v>85</v>
      </c>
      <c r="E42" t="s">
        <v>150</v>
      </c>
      <c r="F42" t="s">
        <v>26</v>
      </c>
      <c r="G42" s="2">
        <v>5.1970000000000002E-2</v>
      </c>
      <c r="H42" s="2">
        <v>12.277089999999999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f t="shared" si="0"/>
        <v>12.32906</v>
      </c>
      <c r="T42" s="2">
        <f t="shared" si="1"/>
        <v>0</v>
      </c>
      <c r="U42" s="2">
        <f t="shared" si="6"/>
        <v>0</v>
      </c>
      <c r="V42" s="2">
        <f t="shared" si="7"/>
        <v>0</v>
      </c>
      <c r="W42" s="2">
        <f t="shared" si="8"/>
        <v>0</v>
      </c>
      <c r="X42" s="2">
        <f t="shared" si="9"/>
        <v>12.32906</v>
      </c>
      <c r="Y42" s="2">
        <v>-0.89732000000000001</v>
      </c>
      <c r="Z42" s="2">
        <v>4.0953900000000001</v>
      </c>
      <c r="AA42" s="2">
        <v>-1.0579499999999999</v>
      </c>
      <c r="AB42" s="2">
        <v>-1.00895</v>
      </c>
      <c r="AC42" s="2">
        <v>-1.00895</v>
      </c>
      <c r="AD42" s="2">
        <v>-1.00895</v>
      </c>
      <c r="AE42" s="2">
        <v>-0.99895</v>
      </c>
      <c r="AF42" s="2">
        <v>-0.99895</v>
      </c>
      <c r="AG42" s="2">
        <v>-0.99895</v>
      </c>
      <c r="AH42" s="2">
        <v>-0.99895</v>
      </c>
      <c r="AI42" s="2">
        <v>-0.99895</v>
      </c>
      <c r="AJ42" s="2">
        <v>-0.99895</v>
      </c>
      <c r="AK42" s="2">
        <f t="shared" si="10"/>
        <v>2.14012</v>
      </c>
      <c r="AL42" s="2">
        <f t="shared" si="11"/>
        <v>-3.02685</v>
      </c>
      <c r="AM42" s="2">
        <f t="shared" si="12"/>
        <v>-2.9968500000000002</v>
      </c>
      <c r="AN42" s="2">
        <f t="shared" si="13"/>
        <v>-2.9968500000000002</v>
      </c>
      <c r="AO42" s="2">
        <f t="shared" si="14"/>
        <v>-1.9979</v>
      </c>
      <c r="AP42" s="2">
        <f t="shared" si="15"/>
        <v>-6.8804300000000005</v>
      </c>
    </row>
    <row r="43" spans="1:42" hidden="1" x14ac:dyDescent="0.55000000000000004">
      <c r="A43" t="s">
        <v>31</v>
      </c>
      <c r="B43" s="4">
        <v>9940090675</v>
      </c>
      <c r="C43" t="s">
        <v>102</v>
      </c>
      <c r="D43" t="s">
        <v>138</v>
      </c>
      <c r="E43" t="s">
        <v>151</v>
      </c>
      <c r="F43" t="s">
        <v>132</v>
      </c>
      <c r="G43" s="2">
        <v>0</v>
      </c>
      <c r="H43" s="2">
        <v>0</v>
      </c>
      <c r="I43" s="2"/>
      <c r="J43" s="2"/>
      <c r="K43" s="2">
        <v>0</v>
      </c>
      <c r="L43" s="2"/>
      <c r="M43" s="2">
        <v>0</v>
      </c>
      <c r="N43" s="2"/>
      <c r="O43" s="2"/>
      <c r="P43" s="2"/>
      <c r="Q43" s="2"/>
      <c r="R43" s="2"/>
      <c r="S43" s="2">
        <f t="shared" si="0"/>
        <v>0</v>
      </c>
      <c r="T43" s="2">
        <f t="shared" si="1"/>
        <v>0</v>
      </c>
      <c r="U43" s="2">
        <f t="shared" si="6"/>
        <v>0</v>
      </c>
      <c r="V43" s="2">
        <f t="shared" si="7"/>
        <v>0</v>
      </c>
      <c r="W43" s="2">
        <f t="shared" si="8"/>
        <v>0</v>
      </c>
      <c r="X43" s="2">
        <f t="shared" si="9"/>
        <v>0</v>
      </c>
      <c r="Y43" s="2">
        <v>0</v>
      </c>
      <c r="Z43" s="2">
        <v>0</v>
      </c>
      <c r="AA43" s="2"/>
      <c r="AB43" s="2"/>
      <c r="AC43" s="2">
        <v>0</v>
      </c>
      <c r="AD43" s="2"/>
      <c r="AE43" s="2">
        <v>0</v>
      </c>
      <c r="AF43" s="2"/>
      <c r="AG43" s="2"/>
      <c r="AH43" s="2"/>
      <c r="AI43" s="2"/>
      <c r="AJ43" s="2"/>
      <c r="AK43" s="2">
        <f t="shared" si="10"/>
        <v>0</v>
      </c>
      <c r="AL43" s="2">
        <f t="shared" si="11"/>
        <v>0</v>
      </c>
      <c r="AM43" s="2">
        <f t="shared" si="12"/>
        <v>0</v>
      </c>
      <c r="AN43" s="2">
        <f t="shared" si="13"/>
        <v>0</v>
      </c>
      <c r="AO43" s="2">
        <f t="shared" si="14"/>
        <v>0</v>
      </c>
      <c r="AP43" s="2">
        <f t="shared" si="15"/>
        <v>0</v>
      </c>
    </row>
    <row r="44" spans="1:42" hidden="1" x14ac:dyDescent="0.55000000000000004">
      <c r="A44" t="s">
        <v>31</v>
      </c>
      <c r="B44" s="4">
        <v>9940531677</v>
      </c>
      <c r="C44" t="s">
        <v>103</v>
      </c>
      <c r="D44" t="s">
        <v>88</v>
      </c>
      <c r="E44" t="s">
        <v>152</v>
      </c>
      <c r="F44" t="s">
        <v>134</v>
      </c>
      <c r="G44" s="2">
        <v>0</v>
      </c>
      <c r="H44" s="2">
        <v>13.12044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f t="shared" si="0"/>
        <v>13.12044</v>
      </c>
      <c r="T44" s="2">
        <f t="shared" si="1"/>
        <v>0</v>
      </c>
      <c r="U44" s="2">
        <f t="shared" si="6"/>
        <v>0</v>
      </c>
      <c r="V44" s="2">
        <f t="shared" si="7"/>
        <v>0</v>
      </c>
      <c r="W44" s="2">
        <f t="shared" si="8"/>
        <v>0</v>
      </c>
      <c r="X44" s="2">
        <f t="shared" si="9"/>
        <v>13.12044</v>
      </c>
      <c r="Y44" s="2">
        <v>0.14688000000000001</v>
      </c>
      <c r="Z44" s="2">
        <v>12.54344</v>
      </c>
      <c r="AA44" s="2">
        <v>-4.7230000000000001E-2</v>
      </c>
      <c r="AB44" s="2">
        <v>0.48846000000000001</v>
      </c>
      <c r="AC44" s="2">
        <v>0.50111000000000006</v>
      </c>
      <c r="AD44" s="2">
        <v>0.52220999999999995</v>
      </c>
      <c r="AE44" s="2">
        <v>2.0799999999999998E-3</v>
      </c>
      <c r="AF44" s="2">
        <v>2E-3</v>
      </c>
      <c r="AG44" s="2">
        <v>2.0600000000000002E-3</v>
      </c>
      <c r="AH44" s="2">
        <v>2.0600000000000002E-3</v>
      </c>
      <c r="AI44" s="2">
        <v>-2.8448959999999999</v>
      </c>
      <c r="AJ44" s="2">
        <v>0</v>
      </c>
      <c r="AK44" s="2">
        <f t="shared" si="10"/>
        <v>12.643089999999999</v>
      </c>
      <c r="AL44" s="2">
        <f t="shared" si="11"/>
        <v>1.5117799999999999</v>
      </c>
      <c r="AM44" s="2">
        <f t="shared" si="12"/>
        <v>6.1400000000000005E-3</v>
      </c>
      <c r="AN44" s="2">
        <f t="shared" si="13"/>
        <v>-2.8428359999999997</v>
      </c>
      <c r="AO44" s="2">
        <f t="shared" si="14"/>
        <v>-2.8448959999999999</v>
      </c>
      <c r="AP44" s="2">
        <f t="shared" si="15"/>
        <v>11.318173999999999</v>
      </c>
    </row>
    <row r="45" spans="1:42" hidden="1" x14ac:dyDescent="0.55000000000000004">
      <c r="A45" t="s">
        <v>31</v>
      </c>
      <c r="B45" s="4">
        <v>9940578543</v>
      </c>
      <c r="C45" t="s">
        <v>104</v>
      </c>
      <c r="D45" t="s">
        <v>148</v>
      </c>
      <c r="E45" t="s">
        <v>155</v>
      </c>
      <c r="F45" t="s">
        <v>131</v>
      </c>
      <c r="G45" s="2"/>
      <c r="H45" s="2"/>
      <c r="I45" s="2"/>
      <c r="J45" s="2"/>
      <c r="K45" s="2"/>
      <c r="L45" s="2"/>
      <c r="M45" s="2"/>
      <c r="N45" s="2"/>
      <c r="O45" s="2"/>
      <c r="P45" s="2">
        <v>0</v>
      </c>
      <c r="Q45" s="2">
        <v>83.929480799999993</v>
      </c>
      <c r="R45" s="2">
        <v>83.929480799999993</v>
      </c>
      <c r="S45" s="2">
        <f t="shared" si="0"/>
        <v>0</v>
      </c>
      <c r="T45" s="2">
        <f t="shared" si="1"/>
        <v>0</v>
      </c>
      <c r="U45" s="2">
        <f t="shared" si="6"/>
        <v>0</v>
      </c>
      <c r="V45" s="2">
        <f t="shared" si="7"/>
        <v>167.85896159999999</v>
      </c>
      <c r="W45" s="2">
        <f t="shared" si="8"/>
        <v>167.85896159999999</v>
      </c>
      <c r="X45" s="2">
        <f t="shared" si="9"/>
        <v>167.85896159999999</v>
      </c>
      <c r="Y45" s="2"/>
      <c r="Z45" s="2"/>
      <c r="AA45" s="2"/>
      <c r="AB45" s="2"/>
      <c r="AC45" s="2"/>
      <c r="AD45" s="2"/>
      <c r="AE45" s="2"/>
      <c r="AF45" s="2"/>
      <c r="AG45" s="2"/>
      <c r="AH45" s="2">
        <v>0</v>
      </c>
      <c r="AI45" s="2">
        <v>37.4124762</v>
      </c>
      <c r="AJ45" s="2">
        <v>36.573180600000001</v>
      </c>
      <c r="AK45" s="2">
        <f t="shared" si="10"/>
        <v>0</v>
      </c>
      <c r="AL45" s="2">
        <f t="shared" si="11"/>
        <v>0</v>
      </c>
      <c r="AM45" s="2">
        <f t="shared" si="12"/>
        <v>0</v>
      </c>
      <c r="AN45" s="2">
        <f t="shared" si="13"/>
        <v>73.985656800000001</v>
      </c>
      <c r="AO45" s="2">
        <f t="shared" si="14"/>
        <v>73.985656800000001</v>
      </c>
      <c r="AP45" s="2">
        <f t="shared" si="15"/>
        <v>73.985656800000001</v>
      </c>
    </row>
    <row r="46" spans="1:42" hidden="1" x14ac:dyDescent="0.55000000000000004">
      <c r="A46" t="s">
        <v>31</v>
      </c>
      <c r="B46" s="4">
        <v>9940425273</v>
      </c>
      <c r="C46" t="s">
        <v>105</v>
      </c>
      <c r="D46" t="s">
        <v>75</v>
      </c>
      <c r="E46" t="s">
        <v>151</v>
      </c>
      <c r="F46" t="s">
        <v>131</v>
      </c>
      <c r="G46" s="2">
        <v>9.2767900000000001</v>
      </c>
      <c r="H46" s="2">
        <v>8.0124600000000008</v>
      </c>
      <c r="I46" s="2">
        <v>9.2639399999999998</v>
      </c>
      <c r="J46" s="2">
        <v>43.635019999999997</v>
      </c>
      <c r="K46" s="2">
        <v>18.807790000000001</v>
      </c>
      <c r="L46" s="2">
        <v>53.115340000000003</v>
      </c>
      <c r="M46" s="2">
        <v>31.786570000000001</v>
      </c>
      <c r="N46" s="2">
        <v>30.366299999999999</v>
      </c>
      <c r="O46" s="2">
        <v>34.672759999999997</v>
      </c>
      <c r="P46" s="2">
        <v>34.055929999999996</v>
      </c>
      <c r="Q46" s="2">
        <v>53.7472992</v>
      </c>
      <c r="R46" s="2">
        <v>0</v>
      </c>
      <c r="S46" s="2">
        <f t="shared" si="0"/>
        <v>26.553190000000001</v>
      </c>
      <c r="T46" s="2">
        <f t="shared" si="1"/>
        <v>115.55815</v>
      </c>
      <c r="U46" s="2">
        <f t="shared" si="6"/>
        <v>96.82562999999999</v>
      </c>
      <c r="V46" s="2">
        <f t="shared" si="7"/>
        <v>87.803229200000004</v>
      </c>
      <c r="W46" s="2">
        <f t="shared" si="8"/>
        <v>53.7472992</v>
      </c>
      <c r="X46" s="2">
        <f t="shared" si="9"/>
        <v>326.74019920000001</v>
      </c>
      <c r="Y46" s="2">
        <v>3.7353999999999998</v>
      </c>
      <c r="Z46" s="2">
        <v>3.32884</v>
      </c>
      <c r="AA46" s="2">
        <v>3.7778</v>
      </c>
      <c r="AB46" s="2">
        <v>16.81664</v>
      </c>
      <c r="AC46" s="2">
        <v>2.6383899999999998</v>
      </c>
      <c r="AD46" s="2">
        <v>20.40315</v>
      </c>
      <c r="AE46" s="2">
        <v>12.782400000000001</v>
      </c>
      <c r="AF46" s="2">
        <v>11.932919999999999</v>
      </c>
      <c r="AG46" s="2">
        <v>13.88552</v>
      </c>
      <c r="AH46" s="2">
        <v>13.65368</v>
      </c>
      <c r="AI46" s="2">
        <v>22.4935452</v>
      </c>
      <c r="AJ46" s="2">
        <v>-0.88183199999999995</v>
      </c>
      <c r="AK46" s="2">
        <f t="shared" si="10"/>
        <v>10.842040000000001</v>
      </c>
      <c r="AL46" s="2">
        <f t="shared" si="11"/>
        <v>39.858180000000004</v>
      </c>
      <c r="AM46" s="2">
        <f t="shared" si="12"/>
        <v>38.600839999999998</v>
      </c>
      <c r="AN46" s="2">
        <f t="shared" si="13"/>
        <v>35.265393199999998</v>
      </c>
      <c r="AO46" s="2">
        <f t="shared" si="14"/>
        <v>21.611713200000001</v>
      </c>
      <c r="AP46" s="2">
        <f t="shared" si="15"/>
        <v>124.56645320000001</v>
      </c>
    </row>
    <row r="47" spans="1:42" hidden="1" x14ac:dyDescent="0.55000000000000004">
      <c r="A47" t="s">
        <v>31</v>
      </c>
      <c r="B47" s="4">
        <v>9940364931</v>
      </c>
      <c r="C47" t="s">
        <v>48</v>
      </c>
      <c r="D47" t="s">
        <v>76</v>
      </c>
      <c r="E47" t="s">
        <v>150</v>
      </c>
      <c r="F47" t="s">
        <v>131</v>
      </c>
      <c r="G47" s="2">
        <v>4.5960900000000002</v>
      </c>
      <c r="H47" s="2">
        <v>4.8905900000000004</v>
      </c>
      <c r="I47" s="2">
        <v>4.08317</v>
      </c>
      <c r="J47" s="2">
        <v>3.8424900000000002</v>
      </c>
      <c r="K47" s="2">
        <v>4.9545899999999996</v>
      </c>
      <c r="L47" s="2">
        <v>4.5656600000000003</v>
      </c>
      <c r="M47" s="2">
        <v>4.7914000000000003</v>
      </c>
      <c r="N47" s="2">
        <v>4.0552299999999999</v>
      </c>
      <c r="O47" s="2">
        <v>6.13469</v>
      </c>
      <c r="P47" s="2">
        <v>3.8233700000000002</v>
      </c>
      <c r="Q47" s="2">
        <v>5.2224437999999997</v>
      </c>
      <c r="R47" s="2">
        <v>4.2</v>
      </c>
      <c r="S47" s="2">
        <f t="shared" si="0"/>
        <v>13.569849999999999</v>
      </c>
      <c r="T47" s="2">
        <f t="shared" si="1"/>
        <v>13.362739999999999</v>
      </c>
      <c r="U47" s="2">
        <f t="shared" si="6"/>
        <v>14.98132</v>
      </c>
      <c r="V47" s="2">
        <f t="shared" si="7"/>
        <v>13.245813800000001</v>
      </c>
      <c r="W47" s="2">
        <f t="shared" si="8"/>
        <v>9.4224437999999999</v>
      </c>
      <c r="X47" s="2">
        <f t="shared" si="9"/>
        <v>55.159723800000002</v>
      </c>
      <c r="Y47" s="2">
        <v>1.46733</v>
      </c>
      <c r="Z47" s="2">
        <v>1.7508900000000001</v>
      </c>
      <c r="AA47" s="2">
        <v>1.0778399999999999</v>
      </c>
      <c r="AB47" s="2">
        <v>0.94940999999999998</v>
      </c>
      <c r="AC47" s="2">
        <v>1.9355</v>
      </c>
      <c r="AD47" s="2">
        <v>1.5559400000000001</v>
      </c>
      <c r="AE47" s="2">
        <v>1.60765</v>
      </c>
      <c r="AF47" s="2">
        <v>0.97082999999999997</v>
      </c>
      <c r="AG47" s="2">
        <v>3.2532800000000002</v>
      </c>
      <c r="AH47" s="2">
        <v>0.9113</v>
      </c>
      <c r="AI47" s="2">
        <v>2.6683425999999999</v>
      </c>
      <c r="AJ47" s="2">
        <v>0.50201200000000001</v>
      </c>
      <c r="AK47" s="2">
        <f t="shared" si="10"/>
        <v>4.2960599999999998</v>
      </c>
      <c r="AL47" s="2">
        <f t="shared" si="11"/>
        <v>4.4408500000000002</v>
      </c>
      <c r="AM47" s="2">
        <f t="shared" si="12"/>
        <v>5.8317600000000001</v>
      </c>
      <c r="AN47" s="2">
        <f t="shared" si="13"/>
        <v>4.0816545999999994</v>
      </c>
      <c r="AO47" s="2">
        <f t="shared" si="14"/>
        <v>3.1703546</v>
      </c>
      <c r="AP47" s="2">
        <f t="shared" si="15"/>
        <v>18.650324600000001</v>
      </c>
    </row>
    <row r="48" spans="1:42" x14ac:dyDescent="0.55000000000000004">
      <c r="A48" t="s">
        <v>31</v>
      </c>
      <c r="B48" s="4">
        <v>9940364931</v>
      </c>
      <c r="C48" t="s">
        <v>48</v>
      </c>
      <c r="D48" t="s">
        <v>76</v>
      </c>
      <c r="E48" t="s">
        <v>150</v>
      </c>
      <c r="F48" t="s">
        <v>26</v>
      </c>
      <c r="G48" s="2">
        <v>28.233129999999999</v>
      </c>
      <c r="H48" s="2">
        <v>30.042210000000001</v>
      </c>
      <c r="I48" s="2">
        <v>25.0823</v>
      </c>
      <c r="J48" s="2">
        <v>23.6038</v>
      </c>
      <c r="K48" s="2">
        <v>30.435359999999999</v>
      </c>
      <c r="L48" s="2">
        <v>28.04617</v>
      </c>
      <c r="M48" s="2">
        <v>29.43289</v>
      </c>
      <c r="N48" s="2">
        <v>24.910699999999999</v>
      </c>
      <c r="O48" s="2">
        <v>37.684530000000002</v>
      </c>
      <c r="P48" s="2">
        <v>23.486329999999999</v>
      </c>
      <c r="Q48" s="2">
        <v>32.080726200000001</v>
      </c>
      <c r="R48" s="2">
        <v>25.8</v>
      </c>
      <c r="S48" s="2">
        <f t="shared" si="0"/>
        <v>83.357640000000004</v>
      </c>
      <c r="T48" s="2">
        <f t="shared" si="1"/>
        <v>82.085329999999999</v>
      </c>
      <c r="U48" s="2">
        <f t="shared" si="6"/>
        <v>92.028120000000001</v>
      </c>
      <c r="V48" s="2">
        <f t="shared" si="7"/>
        <v>81.367056199999993</v>
      </c>
      <c r="W48" s="2">
        <f t="shared" si="8"/>
        <v>57.880726199999998</v>
      </c>
      <c r="X48" s="2">
        <f t="shared" si="9"/>
        <v>338.83814619999998</v>
      </c>
      <c r="Y48" s="2">
        <v>9.0136500000000002</v>
      </c>
      <c r="Z48" s="2">
        <v>10.75562</v>
      </c>
      <c r="AA48" s="2">
        <v>6.6210899999999997</v>
      </c>
      <c r="AB48" s="2">
        <v>5.8319799999999997</v>
      </c>
      <c r="AC48" s="2">
        <v>11.88968</v>
      </c>
      <c r="AD48" s="2">
        <v>9.5579499999999999</v>
      </c>
      <c r="AE48" s="2">
        <v>9.8757300000000008</v>
      </c>
      <c r="AF48" s="2">
        <v>5.9637399999999996</v>
      </c>
      <c r="AG48" s="2">
        <v>19.984400000000001</v>
      </c>
      <c r="AH48" s="2">
        <v>5.5979000000000001</v>
      </c>
      <c r="AI48" s="2">
        <v>16.391247400000001</v>
      </c>
      <c r="AJ48" s="2">
        <v>3.0837880000000002</v>
      </c>
      <c r="AK48" s="2">
        <f t="shared" si="10"/>
        <v>26.390359999999998</v>
      </c>
      <c r="AL48" s="2">
        <f t="shared" si="11"/>
        <v>27.279609999999998</v>
      </c>
      <c r="AM48" s="2">
        <f t="shared" si="12"/>
        <v>35.823869999999999</v>
      </c>
      <c r="AN48" s="2">
        <f t="shared" si="13"/>
        <v>25.072935399999999</v>
      </c>
      <c r="AO48" s="2">
        <f t="shared" si="14"/>
        <v>19.475035400000003</v>
      </c>
      <c r="AP48" s="2">
        <f t="shared" si="15"/>
        <v>114.56677539999998</v>
      </c>
    </row>
    <row r="49" spans="1:42" hidden="1" x14ac:dyDescent="0.55000000000000004">
      <c r="A49" t="s">
        <v>31</v>
      </c>
      <c r="B49" s="4">
        <v>9940258710</v>
      </c>
      <c r="C49" t="s">
        <v>106</v>
      </c>
      <c r="D49" t="s">
        <v>82</v>
      </c>
      <c r="E49" t="s">
        <v>154</v>
      </c>
      <c r="F49" t="s">
        <v>133</v>
      </c>
      <c r="G49" s="2">
        <v>48.78546</v>
      </c>
      <c r="H49" s="2">
        <v>47.42568</v>
      </c>
      <c r="I49" s="2">
        <v>46.946489999999997</v>
      </c>
      <c r="J49" s="2">
        <v>36.033450000000002</v>
      </c>
      <c r="K49" s="2">
        <v>32.455710000000003</v>
      </c>
      <c r="L49" s="2">
        <v>37.506180000000001</v>
      </c>
      <c r="M49" s="2">
        <v>42.56514</v>
      </c>
      <c r="N49" s="2">
        <v>36.875309999999999</v>
      </c>
      <c r="O49" s="2">
        <v>34.706249999999997</v>
      </c>
      <c r="P49" s="2">
        <v>38.30997</v>
      </c>
      <c r="Q49" s="2">
        <v>34.07394</v>
      </c>
      <c r="R49" s="2">
        <v>29.722850699999999</v>
      </c>
      <c r="S49" s="2">
        <f t="shared" si="0"/>
        <v>143.15762999999998</v>
      </c>
      <c r="T49" s="2">
        <f t="shared" si="1"/>
        <v>105.99534</v>
      </c>
      <c r="U49" s="2">
        <f t="shared" si="6"/>
        <v>114.1467</v>
      </c>
      <c r="V49" s="2">
        <f t="shared" si="7"/>
        <v>102.1067607</v>
      </c>
      <c r="W49" s="2">
        <f t="shared" si="8"/>
        <v>63.796790700000003</v>
      </c>
      <c r="X49" s="2">
        <f t="shared" si="9"/>
        <v>465.40643069999999</v>
      </c>
      <c r="Y49" s="2">
        <v>10.19031</v>
      </c>
      <c r="Z49" s="2">
        <v>7.0980600000000003</v>
      </c>
      <c r="AA49" s="2">
        <v>12.46149</v>
      </c>
      <c r="AB49" s="2">
        <v>3.47628</v>
      </c>
      <c r="AC49" s="2">
        <v>-2.15028</v>
      </c>
      <c r="AD49" s="2">
        <v>9.0273299999999992</v>
      </c>
      <c r="AE49" s="2">
        <v>8.2699800000000003</v>
      </c>
      <c r="AF49" s="2">
        <v>6.7787699999999997</v>
      </c>
      <c r="AG49" s="2">
        <v>6.6</v>
      </c>
      <c r="AH49" s="2">
        <v>1.9085700000000001</v>
      </c>
      <c r="AI49" s="2">
        <v>7.8645237000000003</v>
      </c>
      <c r="AJ49" s="2">
        <v>7.3955307000000001</v>
      </c>
      <c r="AK49" s="2">
        <f t="shared" si="10"/>
        <v>29.749859999999998</v>
      </c>
      <c r="AL49" s="2">
        <f t="shared" si="11"/>
        <v>10.35333</v>
      </c>
      <c r="AM49" s="2">
        <f t="shared" si="12"/>
        <v>21.64875</v>
      </c>
      <c r="AN49" s="2">
        <f t="shared" si="13"/>
        <v>17.168624399999999</v>
      </c>
      <c r="AO49" s="2">
        <f t="shared" si="14"/>
        <v>15.260054400000001</v>
      </c>
      <c r="AP49" s="2">
        <f t="shared" si="15"/>
        <v>78.920564399999989</v>
      </c>
    </row>
    <row r="50" spans="1:42" x14ac:dyDescent="0.55000000000000004">
      <c r="A50" t="s">
        <v>31</v>
      </c>
      <c r="B50" s="4">
        <v>9940494556</v>
      </c>
      <c r="C50" t="s">
        <v>49</v>
      </c>
      <c r="D50" t="s">
        <v>75</v>
      </c>
      <c r="E50" t="s">
        <v>150</v>
      </c>
      <c r="F50" t="s">
        <v>26</v>
      </c>
      <c r="G50" s="2">
        <v>0</v>
      </c>
      <c r="H50" s="2"/>
      <c r="I50" s="2">
        <v>0</v>
      </c>
      <c r="J50" s="2"/>
      <c r="K50" s="2">
        <v>0</v>
      </c>
      <c r="L50" s="2"/>
      <c r="M50" s="2"/>
      <c r="N50" s="2"/>
      <c r="O50" s="2"/>
      <c r="P50" s="2">
        <v>0</v>
      </c>
      <c r="Q50" s="2"/>
      <c r="R50" s="2"/>
      <c r="S50" s="2">
        <f t="shared" si="0"/>
        <v>0</v>
      </c>
      <c r="T50" s="2">
        <f t="shared" si="1"/>
        <v>0</v>
      </c>
      <c r="U50" s="2">
        <f t="shared" si="6"/>
        <v>0</v>
      </c>
      <c r="V50" s="2">
        <f t="shared" si="7"/>
        <v>0</v>
      </c>
      <c r="W50" s="2">
        <f t="shared" si="8"/>
        <v>0</v>
      </c>
      <c r="X50" s="2">
        <f t="shared" si="9"/>
        <v>0</v>
      </c>
      <c r="Y50" s="2">
        <v>0</v>
      </c>
      <c r="Z50" s="2"/>
      <c r="AA50" s="2">
        <v>0</v>
      </c>
      <c r="AB50" s="2"/>
      <c r="AC50" s="2">
        <v>0</v>
      </c>
      <c r="AD50" s="2"/>
      <c r="AE50" s="2"/>
      <c r="AF50" s="2"/>
      <c r="AG50" s="2"/>
      <c r="AH50" s="2">
        <v>0</v>
      </c>
      <c r="AI50" s="2"/>
      <c r="AJ50" s="2"/>
      <c r="AK50" s="2">
        <f t="shared" si="10"/>
        <v>0</v>
      </c>
      <c r="AL50" s="2">
        <f t="shared" si="11"/>
        <v>0</v>
      </c>
      <c r="AM50" s="2">
        <f t="shared" si="12"/>
        <v>0</v>
      </c>
      <c r="AN50" s="2">
        <f t="shared" si="13"/>
        <v>0</v>
      </c>
      <c r="AO50" s="2">
        <f t="shared" si="14"/>
        <v>0</v>
      </c>
      <c r="AP50" s="2">
        <f t="shared" si="15"/>
        <v>0</v>
      </c>
    </row>
    <row r="51" spans="1:42" hidden="1" x14ac:dyDescent="0.55000000000000004">
      <c r="A51" t="s">
        <v>31</v>
      </c>
      <c r="B51" s="4">
        <v>9940334193</v>
      </c>
      <c r="C51" t="s">
        <v>107</v>
      </c>
      <c r="D51" t="s">
        <v>85</v>
      </c>
      <c r="E51" t="s">
        <v>152</v>
      </c>
      <c r="F51" t="s">
        <v>133</v>
      </c>
      <c r="G51" s="2">
        <v>4.3214699999999997</v>
      </c>
      <c r="H51" s="2">
        <v>4.9359900000000003</v>
      </c>
      <c r="I51" s="2">
        <v>4.29061</v>
      </c>
      <c r="J51" s="2">
        <v>4.9054900000000004</v>
      </c>
      <c r="K51" s="2">
        <v>4.8612599999999997</v>
      </c>
      <c r="L51" s="2">
        <v>4.1573399999999996</v>
      </c>
      <c r="M51" s="2">
        <v>4.8612299999999999</v>
      </c>
      <c r="N51" s="2">
        <v>5.1178999999999997</v>
      </c>
      <c r="O51" s="2">
        <v>4.3083400000000003</v>
      </c>
      <c r="P51" s="2">
        <v>5.4418100000000003</v>
      </c>
      <c r="Q51" s="2">
        <v>5.1059881000000003</v>
      </c>
      <c r="R51" s="2">
        <v>5.0878572000000002</v>
      </c>
      <c r="S51" s="2">
        <f t="shared" si="0"/>
        <v>13.548069999999999</v>
      </c>
      <c r="T51" s="2">
        <f t="shared" si="1"/>
        <v>13.92409</v>
      </c>
      <c r="U51" s="2">
        <f t="shared" si="6"/>
        <v>14.287469999999999</v>
      </c>
      <c r="V51" s="2">
        <f t="shared" si="7"/>
        <v>15.635655300000002</v>
      </c>
      <c r="W51" s="2">
        <f t="shared" si="8"/>
        <v>10.1938453</v>
      </c>
      <c r="X51" s="2">
        <f t="shared" si="9"/>
        <v>57.395285300000005</v>
      </c>
      <c r="Y51" s="2">
        <v>0.67974999999999997</v>
      </c>
      <c r="Z51" s="2">
        <v>1.2435099999999999</v>
      </c>
      <c r="AA51" s="2">
        <v>1.30827</v>
      </c>
      <c r="AB51" s="2">
        <v>1.8910800000000001</v>
      </c>
      <c r="AC51" s="2">
        <v>1.3690599999999999</v>
      </c>
      <c r="AD51" s="2">
        <v>0.16624</v>
      </c>
      <c r="AE51" s="2">
        <v>0.99450000000000005</v>
      </c>
      <c r="AF51" s="2">
        <v>2.38951</v>
      </c>
      <c r="AG51" s="2">
        <v>1.15351</v>
      </c>
      <c r="AH51" s="2">
        <v>1.5331600000000001</v>
      </c>
      <c r="AI51" s="2">
        <v>1.5091281999999999</v>
      </c>
      <c r="AJ51" s="2">
        <v>1.402466</v>
      </c>
      <c r="AK51" s="2">
        <f t="shared" si="10"/>
        <v>3.2315300000000002</v>
      </c>
      <c r="AL51" s="2">
        <f t="shared" si="11"/>
        <v>3.42638</v>
      </c>
      <c r="AM51" s="2">
        <f t="shared" si="12"/>
        <v>4.5375199999999998</v>
      </c>
      <c r="AN51" s="2">
        <f t="shared" si="13"/>
        <v>4.4447542000000002</v>
      </c>
      <c r="AO51" s="2">
        <f t="shared" si="14"/>
        <v>2.9115941999999997</v>
      </c>
      <c r="AP51" s="2">
        <f t="shared" si="15"/>
        <v>15.6401842</v>
      </c>
    </row>
    <row r="52" spans="1:42" hidden="1" x14ac:dyDescent="0.55000000000000004">
      <c r="A52" t="s">
        <v>31</v>
      </c>
      <c r="B52" s="4">
        <v>9940334193</v>
      </c>
      <c r="C52" t="s">
        <v>107</v>
      </c>
      <c r="D52" t="s">
        <v>85</v>
      </c>
      <c r="E52" t="s">
        <v>152</v>
      </c>
      <c r="F52" t="s">
        <v>134</v>
      </c>
      <c r="G52" s="2">
        <v>3.7460100000000001</v>
      </c>
      <c r="H52" s="2">
        <v>3.6359699999999999</v>
      </c>
      <c r="I52" s="2">
        <v>3.0397599999999998</v>
      </c>
      <c r="J52" s="2">
        <v>3.0280999999999998</v>
      </c>
      <c r="K52" s="2">
        <v>3.6221800000000002</v>
      </c>
      <c r="L52" s="2">
        <v>3.0384799999999998</v>
      </c>
      <c r="M52" s="2">
        <v>3.4956499999999999</v>
      </c>
      <c r="N52" s="2">
        <v>3.2374900000000002</v>
      </c>
      <c r="O52" s="2">
        <v>3.0303399999999998</v>
      </c>
      <c r="P52" s="2">
        <v>3.4275899999999999</v>
      </c>
      <c r="Q52" s="2">
        <v>3.9632638</v>
      </c>
      <c r="R52" s="2">
        <v>3.6354948</v>
      </c>
      <c r="S52" s="2">
        <f t="shared" si="0"/>
        <v>10.42174</v>
      </c>
      <c r="T52" s="2">
        <f t="shared" si="1"/>
        <v>9.6887600000000003</v>
      </c>
      <c r="U52" s="2">
        <f t="shared" si="6"/>
        <v>9.7634800000000013</v>
      </c>
      <c r="V52" s="2">
        <f t="shared" si="7"/>
        <v>11.0263486</v>
      </c>
      <c r="W52" s="2">
        <f t="shared" si="8"/>
        <v>7.5987586</v>
      </c>
      <c r="X52" s="2">
        <f t="shared" si="9"/>
        <v>40.900328600000002</v>
      </c>
      <c r="Y52" s="2">
        <v>1.35683</v>
      </c>
      <c r="Z52" s="2">
        <v>1.04871</v>
      </c>
      <c r="AA52" s="2">
        <v>0.79015999999999997</v>
      </c>
      <c r="AB52" s="2">
        <v>0.83987999999999996</v>
      </c>
      <c r="AC52" s="2">
        <v>1.3320000000000001</v>
      </c>
      <c r="AD52" s="2">
        <v>1.0795600000000001</v>
      </c>
      <c r="AE52" s="2">
        <v>1.03332</v>
      </c>
      <c r="AF52" s="2">
        <v>1.2256100000000001</v>
      </c>
      <c r="AG52" s="2">
        <v>0.96306000000000003</v>
      </c>
      <c r="AH52" s="2">
        <v>0.93391999999999997</v>
      </c>
      <c r="AI52" s="2">
        <v>0.86555159999999998</v>
      </c>
      <c r="AJ52" s="2">
        <v>0.86706760000000005</v>
      </c>
      <c r="AK52" s="2">
        <f t="shared" si="10"/>
        <v>3.1957000000000004</v>
      </c>
      <c r="AL52" s="2">
        <f t="shared" si="11"/>
        <v>3.2514399999999997</v>
      </c>
      <c r="AM52" s="2">
        <f t="shared" si="12"/>
        <v>3.2219900000000004</v>
      </c>
      <c r="AN52" s="2">
        <f t="shared" si="13"/>
        <v>2.6665391999999999</v>
      </c>
      <c r="AO52" s="2">
        <f t="shared" si="14"/>
        <v>1.7326192</v>
      </c>
      <c r="AP52" s="2">
        <f t="shared" si="15"/>
        <v>12.335669200000002</v>
      </c>
    </row>
    <row r="53" spans="1:42" hidden="1" x14ac:dyDescent="0.55000000000000004">
      <c r="A53" t="s">
        <v>31</v>
      </c>
      <c r="B53" s="4">
        <v>9940506422</v>
      </c>
      <c r="C53" t="s">
        <v>108</v>
      </c>
      <c r="D53" t="s">
        <v>139</v>
      </c>
      <c r="E53" t="s">
        <v>151</v>
      </c>
      <c r="F53" t="s">
        <v>131</v>
      </c>
      <c r="G53" s="2">
        <v>-9.1808800000000002</v>
      </c>
      <c r="H53" s="2"/>
      <c r="I53" s="2"/>
      <c r="J53" s="2">
        <v>0</v>
      </c>
      <c r="K53" s="2">
        <v>0</v>
      </c>
      <c r="L53" s="2">
        <v>0</v>
      </c>
      <c r="M53" s="2"/>
      <c r="N53" s="2"/>
      <c r="O53" s="2">
        <v>0</v>
      </c>
      <c r="P53" s="2"/>
      <c r="Q53" s="2"/>
      <c r="R53" s="2"/>
      <c r="S53" s="2">
        <f t="shared" si="0"/>
        <v>-9.1808800000000002</v>
      </c>
      <c r="T53" s="2">
        <f t="shared" si="1"/>
        <v>0</v>
      </c>
      <c r="U53" s="2">
        <f t="shared" si="6"/>
        <v>0</v>
      </c>
      <c r="V53" s="2">
        <f t="shared" si="7"/>
        <v>0</v>
      </c>
      <c r="W53" s="2">
        <f t="shared" si="8"/>
        <v>0</v>
      </c>
      <c r="X53" s="2">
        <f t="shared" si="9"/>
        <v>-9.1808800000000002</v>
      </c>
      <c r="Y53" s="2">
        <v>-12.665509999999999</v>
      </c>
      <c r="Z53" s="2"/>
      <c r="AA53" s="2"/>
      <c r="AB53" s="2">
        <v>0</v>
      </c>
      <c r="AC53" s="2">
        <v>0</v>
      </c>
      <c r="AD53" s="2">
        <v>0</v>
      </c>
      <c r="AE53" s="2"/>
      <c r="AF53" s="2"/>
      <c r="AG53" s="2">
        <v>0</v>
      </c>
      <c r="AH53" s="2"/>
      <c r="AI53" s="2"/>
      <c r="AJ53" s="2"/>
      <c r="AK53" s="2">
        <f t="shared" si="10"/>
        <v>-12.665509999999999</v>
      </c>
      <c r="AL53" s="2">
        <f t="shared" si="11"/>
        <v>0</v>
      </c>
      <c r="AM53" s="2">
        <f t="shared" si="12"/>
        <v>0</v>
      </c>
      <c r="AN53" s="2">
        <f t="shared" si="13"/>
        <v>0</v>
      </c>
      <c r="AO53" s="2">
        <f t="shared" si="14"/>
        <v>0</v>
      </c>
      <c r="AP53" s="2">
        <f t="shared" si="15"/>
        <v>-12.665509999999999</v>
      </c>
    </row>
    <row r="54" spans="1:42" hidden="1" x14ac:dyDescent="0.55000000000000004">
      <c r="A54" t="s">
        <v>31</v>
      </c>
      <c r="B54" s="4">
        <v>9940522388</v>
      </c>
      <c r="C54" t="s">
        <v>109</v>
      </c>
      <c r="D54" t="s">
        <v>87</v>
      </c>
      <c r="E54" t="s">
        <v>150</v>
      </c>
      <c r="F54" t="s">
        <v>131</v>
      </c>
      <c r="G54" s="2">
        <v>-8.94E-3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/>
      <c r="Q54" s="2"/>
      <c r="R54" s="2"/>
      <c r="S54" s="2">
        <f t="shared" si="0"/>
        <v>-8.94E-3</v>
      </c>
      <c r="T54" s="2">
        <f t="shared" si="1"/>
        <v>0</v>
      </c>
      <c r="U54" s="2">
        <f t="shared" si="6"/>
        <v>0</v>
      </c>
      <c r="V54" s="2">
        <f t="shared" si="7"/>
        <v>0</v>
      </c>
      <c r="W54" s="2">
        <f t="shared" si="8"/>
        <v>0</v>
      </c>
      <c r="X54" s="2">
        <f t="shared" si="9"/>
        <v>-8.94E-3</v>
      </c>
      <c r="Y54" s="2">
        <v>-1.0363899999999999</v>
      </c>
      <c r="Z54" s="2">
        <v>-0.76963000000000004</v>
      </c>
      <c r="AA54" s="2">
        <v>-0.29988999999999999</v>
      </c>
      <c r="AB54" s="2">
        <v>-0.28342000000000001</v>
      </c>
      <c r="AC54" s="2">
        <v>-6.5360000000000001E-2</v>
      </c>
      <c r="AD54" s="2">
        <v>0</v>
      </c>
      <c r="AE54" s="2">
        <v>0</v>
      </c>
      <c r="AF54" s="2">
        <v>0</v>
      </c>
      <c r="AG54" s="2"/>
      <c r="AH54" s="2"/>
      <c r="AI54" s="2"/>
      <c r="AJ54" s="2"/>
      <c r="AK54" s="2">
        <f t="shared" si="10"/>
        <v>-2.1059099999999997</v>
      </c>
      <c r="AL54" s="2">
        <f t="shared" si="11"/>
        <v>-0.34877999999999998</v>
      </c>
      <c r="AM54" s="2">
        <f t="shared" si="12"/>
        <v>0</v>
      </c>
      <c r="AN54" s="2">
        <f t="shared" si="13"/>
        <v>0</v>
      </c>
      <c r="AO54" s="2">
        <f t="shared" si="14"/>
        <v>0</v>
      </c>
      <c r="AP54" s="2">
        <f t="shared" si="15"/>
        <v>-2.4546899999999998</v>
      </c>
    </row>
    <row r="55" spans="1:42" x14ac:dyDescent="0.55000000000000004">
      <c r="A55" t="s">
        <v>31</v>
      </c>
      <c r="B55" s="4">
        <v>9940534372</v>
      </c>
      <c r="C55" t="s">
        <v>50</v>
      </c>
      <c r="D55" t="s">
        <v>82</v>
      </c>
      <c r="E55" t="s">
        <v>150</v>
      </c>
      <c r="F55" t="s">
        <v>26</v>
      </c>
      <c r="G55" s="2">
        <v>29.667120000000001</v>
      </c>
      <c r="H55" s="2">
        <v>35.406619999999997</v>
      </c>
      <c r="I55" s="2">
        <v>30.91046</v>
      </c>
      <c r="J55" s="2">
        <v>10.4795</v>
      </c>
      <c r="K55" s="2">
        <v>0</v>
      </c>
      <c r="L55" s="2">
        <v>0</v>
      </c>
      <c r="M55" s="2">
        <v>29.752739999999999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f t="shared" si="0"/>
        <v>95.984200000000001</v>
      </c>
      <c r="T55" s="2">
        <f t="shared" si="1"/>
        <v>10.4795</v>
      </c>
      <c r="U55" s="2">
        <f t="shared" si="6"/>
        <v>29.752739999999999</v>
      </c>
      <c r="V55" s="2">
        <f t="shared" si="7"/>
        <v>0</v>
      </c>
      <c r="W55" s="2">
        <f t="shared" si="8"/>
        <v>0</v>
      </c>
      <c r="X55" s="2">
        <f t="shared" si="9"/>
        <v>136.21644000000001</v>
      </c>
      <c r="Y55" s="2">
        <v>8.2256999999999998</v>
      </c>
      <c r="Z55" s="2">
        <v>10.77154</v>
      </c>
      <c r="AA55" s="2">
        <v>8.5102399999999996</v>
      </c>
      <c r="AB55" s="2">
        <v>-12.429600000000001</v>
      </c>
      <c r="AC55" s="2">
        <v>-6.1102999999999996</v>
      </c>
      <c r="AD55" s="2">
        <v>-1.3584400000000001</v>
      </c>
      <c r="AE55" s="2">
        <v>27.096679999999999</v>
      </c>
      <c r="AF55" s="2">
        <v>-1.5288999999999999</v>
      </c>
      <c r="AG55" s="2">
        <v>-0.58208000000000004</v>
      </c>
      <c r="AH55" s="2">
        <v>-0.58353999999999995</v>
      </c>
      <c r="AI55" s="2">
        <v>-0.24088999999999999</v>
      </c>
      <c r="AJ55" s="2">
        <v>0</v>
      </c>
      <c r="AK55" s="2">
        <f t="shared" si="10"/>
        <v>27.507479999999997</v>
      </c>
      <c r="AL55" s="2">
        <f t="shared" si="11"/>
        <v>-19.898340000000001</v>
      </c>
      <c r="AM55" s="2">
        <f t="shared" si="12"/>
        <v>24.985699999999998</v>
      </c>
      <c r="AN55" s="2">
        <f t="shared" si="13"/>
        <v>-0.82443</v>
      </c>
      <c r="AO55" s="2">
        <f t="shared" si="14"/>
        <v>-0.24088999999999999</v>
      </c>
      <c r="AP55" s="2">
        <f t="shared" si="15"/>
        <v>31.770409999999991</v>
      </c>
    </row>
    <row r="56" spans="1:42" hidden="1" x14ac:dyDescent="0.55000000000000004">
      <c r="A56" t="s">
        <v>31</v>
      </c>
      <c r="B56" s="4">
        <v>9940517574</v>
      </c>
      <c r="C56" t="s">
        <v>110</v>
      </c>
      <c r="D56" t="s">
        <v>91</v>
      </c>
      <c r="E56" t="s">
        <v>151</v>
      </c>
      <c r="F56" t="s">
        <v>131</v>
      </c>
      <c r="G56" s="2">
        <v>4.3962599999999998</v>
      </c>
      <c r="H56" s="2">
        <v>0</v>
      </c>
      <c r="I56" s="2">
        <v>0</v>
      </c>
      <c r="J56" s="2"/>
      <c r="K56" s="2"/>
      <c r="L56" s="2"/>
      <c r="M56" s="2">
        <v>0</v>
      </c>
      <c r="N56" s="2">
        <v>0</v>
      </c>
      <c r="O56" s="2">
        <v>0</v>
      </c>
      <c r="P56" s="2">
        <v>0</v>
      </c>
      <c r="Q56" s="2"/>
      <c r="R56" s="2"/>
      <c r="S56" s="2">
        <f t="shared" si="0"/>
        <v>4.3962599999999998</v>
      </c>
      <c r="T56" s="2">
        <f t="shared" si="1"/>
        <v>0</v>
      </c>
      <c r="U56" s="2">
        <f t="shared" si="6"/>
        <v>0</v>
      </c>
      <c r="V56" s="2">
        <f t="shared" si="7"/>
        <v>0</v>
      </c>
      <c r="W56" s="2">
        <f t="shared" si="8"/>
        <v>0</v>
      </c>
      <c r="X56" s="2">
        <f t="shared" si="9"/>
        <v>4.3962599999999998</v>
      </c>
      <c r="Y56" s="2">
        <v>-13.085520000000001</v>
      </c>
      <c r="Z56" s="2">
        <v>17.672599999999999</v>
      </c>
      <c r="AA56" s="2">
        <v>0.104</v>
      </c>
      <c r="AB56" s="2"/>
      <c r="AC56" s="2"/>
      <c r="AD56" s="2"/>
      <c r="AE56" s="2">
        <v>0</v>
      </c>
      <c r="AF56" s="2">
        <v>0</v>
      </c>
      <c r="AG56" s="2">
        <v>0</v>
      </c>
      <c r="AH56" s="2">
        <v>0</v>
      </c>
      <c r="AI56" s="2"/>
      <c r="AJ56" s="2"/>
      <c r="AK56" s="2">
        <f t="shared" si="10"/>
        <v>4.6910799999999986</v>
      </c>
      <c r="AL56" s="2">
        <f t="shared" si="11"/>
        <v>0</v>
      </c>
      <c r="AM56" s="2">
        <f t="shared" si="12"/>
        <v>0</v>
      </c>
      <c r="AN56" s="2">
        <f t="shared" si="13"/>
        <v>0</v>
      </c>
      <c r="AO56" s="2">
        <f t="shared" si="14"/>
        <v>0</v>
      </c>
      <c r="AP56" s="2">
        <f t="shared" si="15"/>
        <v>4.6910799999999986</v>
      </c>
    </row>
    <row r="57" spans="1:42" hidden="1" x14ac:dyDescent="0.55000000000000004">
      <c r="A57" t="s">
        <v>31</v>
      </c>
      <c r="B57" s="4">
        <v>9940164708</v>
      </c>
      <c r="C57" t="s">
        <v>111</v>
      </c>
      <c r="D57" t="s">
        <v>72</v>
      </c>
      <c r="E57" t="s">
        <v>150</v>
      </c>
      <c r="F57" t="s">
        <v>133</v>
      </c>
      <c r="G57" s="2">
        <v>0</v>
      </c>
      <c r="H57" s="2">
        <v>0</v>
      </c>
      <c r="I57" s="2">
        <v>0</v>
      </c>
      <c r="J57" s="2">
        <v>0</v>
      </c>
      <c r="K57" s="2">
        <v>1.4859899999999999</v>
      </c>
      <c r="L57" s="2"/>
      <c r="M57" s="2"/>
      <c r="N57" s="2"/>
      <c r="O57" s="2"/>
      <c r="P57" s="2"/>
      <c r="Q57" s="2"/>
      <c r="R57" s="2"/>
      <c r="S57" s="2">
        <f t="shared" si="0"/>
        <v>0</v>
      </c>
      <c r="T57" s="2">
        <f t="shared" si="1"/>
        <v>1.4859899999999999</v>
      </c>
      <c r="U57" s="2">
        <f t="shared" si="6"/>
        <v>0</v>
      </c>
      <c r="V57" s="2">
        <f t="shared" si="7"/>
        <v>0</v>
      </c>
      <c r="W57" s="2">
        <f t="shared" si="8"/>
        <v>0</v>
      </c>
      <c r="X57" s="2">
        <f t="shared" si="9"/>
        <v>1.4859899999999999</v>
      </c>
      <c r="Y57" s="2">
        <v>-0.31874999999999998</v>
      </c>
      <c r="Z57" s="2">
        <v>-0.16119</v>
      </c>
      <c r="AA57" s="2">
        <v>-0.15648000000000001</v>
      </c>
      <c r="AB57" s="2">
        <v>-0.2208</v>
      </c>
      <c r="AC57" s="2">
        <v>0.74807999999999997</v>
      </c>
      <c r="AD57" s="2"/>
      <c r="AE57" s="2"/>
      <c r="AF57" s="2"/>
      <c r="AG57" s="2"/>
      <c r="AH57" s="2"/>
      <c r="AI57" s="2"/>
      <c r="AJ57" s="2"/>
      <c r="AK57" s="2">
        <f t="shared" si="10"/>
        <v>-0.63641999999999999</v>
      </c>
      <c r="AL57" s="2">
        <f t="shared" si="11"/>
        <v>0.52727999999999997</v>
      </c>
      <c r="AM57" s="2">
        <f t="shared" si="12"/>
        <v>0</v>
      </c>
      <c r="AN57" s="2">
        <f t="shared" si="13"/>
        <v>0</v>
      </c>
      <c r="AO57" s="2">
        <f t="shared" si="14"/>
        <v>0</v>
      </c>
      <c r="AP57" s="2">
        <f t="shared" si="15"/>
        <v>-0.10914000000000001</v>
      </c>
    </row>
    <row r="58" spans="1:42" hidden="1" x14ac:dyDescent="0.55000000000000004">
      <c r="A58" t="s">
        <v>31</v>
      </c>
      <c r="B58" s="4">
        <v>9940250928</v>
      </c>
      <c r="C58" t="s">
        <v>51</v>
      </c>
      <c r="D58" t="s">
        <v>80</v>
      </c>
      <c r="E58" t="s">
        <v>151</v>
      </c>
      <c r="F58" t="s">
        <v>131</v>
      </c>
      <c r="G58" s="2">
        <v>1.69116</v>
      </c>
      <c r="H58" s="2">
        <v>1.7470000000000001</v>
      </c>
      <c r="I58" s="2">
        <v>1.56714</v>
      </c>
      <c r="J58" s="2">
        <v>1.3571500000000001</v>
      </c>
      <c r="K58" s="2">
        <v>1.6101399999999999</v>
      </c>
      <c r="L58" s="2">
        <v>1.6558299999999999</v>
      </c>
      <c r="M58" s="2">
        <v>1.7021299999999999</v>
      </c>
      <c r="N58" s="2">
        <v>1.62212</v>
      </c>
      <c r="O58" s="2">
        <v>1.7289699999999999</v>
      </c>
      <c r="P58" s="2">
        <v>1.7781199999999999</v>
      </c>
      <c r="Q58" s="2">
        <v>1.8390788</v>
      </c>
      <c r="R58" s="2">
        <v>1.8507776</v>
      </c>
      <c r="S58" s="2">
        <f t="shared" ref="S58:S111" si="16">G58+H58+I58</f>
        <v>5.0053000000000001</v>
      </c>
      <c r="T58" s="2">
        <f t="shared" ref="T58:T111" si="17">J58+K58+L58</f>
        <v>4.6231200000000001</v>
      </c>
      <c r="U58" s="2">
        <f t="shared" si="6"/>
        <v>5.0532199999999996</v>
      </c>
      <c r="V58" s="2">
        <f t="shared" si="7"/>
        <v>5.4679763999999995</v>
      </c>
      <c r="W58" s="2">
        <f t="shared" si="8"/>
        <v>3.6898564</v>
      </c>
      <c r="X58" s="2">
        <f t="shared" si="9"/>
        <v>20.149616399999999</v>
      </c>
      <c r="Y58" s="2">
        <v>1.45231</v>
      </c>
      <c r="Z58" s="2">
        <v>1.5062199999999999</v>
      </c>
      <c r="AA58" s="2">
        <v>1.3280700000000001</v>
      </c>
      <c r="AB58" s="2">
        <v>1.12022</v>
      </c>
      <c r="AC58" s="2">
        <v>1.37195</v>
      </c>
      <c r="AD58" s="2">
        <v>1.39242</v>
      </c>
      <c r="AE58" s="2">
        <v>1.454</v>
      </c>
      <c r="AF58" s="2">
        <v>1.38561</v>
      </c>
      <c r="AG58" s="2">
        <v>1.4872700000000001</v>
      </c>
      <c r="AH58" s="2">
        <v>1.53722</v>
      </c>
      <c r="AI58" s="2">
        <v>1.6011131999999999</v>
      </c>
      <c r="AJ58" s="2">
        <v>-1.1329692</v>
      </c>
      <c r="AK58" s="2">
        <f t="shared" si="10"/>
        <v>4.2866</v>
      </c>
      <c r="AL58" s="2">
        <f t="shared" si="11"/>
        <v>3.8845899999999998</v>
      </c>
      <c r="AM58" s="2">
        <f t="shared" si="12"/>
        <v>4.3268800000000001</v>
      </c>
      <c r="AN58" s="2">
        <f t="shared" si="13"/>
        <v>2.0053640000000001</v>
      </c>
      <c r="AO58" s="2">
        <f t="shared" si="14"/>
        <v>0.46814399999999989</v>
      </c>
      <c r="AP58" s="2">
        <f t="shared" si="15"/>
        <v>14.503433999999999</v>
      </c>
    </row>
    <row r="59" spans="1:42" hidden="1" x14ac:dyDescent="0.55000000000000004">
      <c r="A59" t="s">
        <v>31</v>
      </c>
      <c r="B59" s="4">
        <v>9940250928</v>
      </c>
      <c r="C59" t="s">
        <v>51</v>
      </c>
      <c r="D59" t="s">
        <v>80</v>
      </c>
      <c r="E59" t="s">
        <v>151</v>
      </c>
      <c r="F59" t="s">
        <v>26</v>
      </c>
      <c r="G59" s="2">
        <v>2.93011</v>
      </c>
      <c r="H59" s="2">
        <v>3.0268700000000002</v>
      </c>
      <c r="I59" s="2">
        <v>2.7152599999999998</v>
      </c>
      <c r="J59" s="2">
        <v>2.3513899999999999</v>
      </c>
      <c r="K59" s="2">
        <v>2.7897500000000002</v>
      </c>
      <c r="L59" s="2">
        <v>2.8689</v>
      </c>
      <c r="M59" s="2">
        <v>2.9491399999999999</v>
      </c>
      <c r="N59" s="2">
        <v>2.8104900000000002</v>
      </c>
      <c r="O59" s="2">
        <v>2.9956399999999999</v>
      </c>
      <c r="P59" s="2">
        <v>3.0807799999999999</v>
      </c>
      <c r="Q59" s="2">
        <v>3.1864080000000001</v>
      </c>
      <c r="R59" s="2">
        <v>3.2066808</v>
      </c>
      <c r="S59" s="2">
        <f t="shared" si="16"/>
        <v>8.6722399999999986</v>
      </c>
      <c r="T59" s="2">
        <f t="shared" si="17"/>
        <v>8.01004</v>
      </c>
      <c r="U59" s="2">
        <f t="shared" si="6"/>
        <v>8.7552699999999994</v>
      </c>
      <c r="V59" s="2">
        <f t="shared" si="7"/>
        <v>9.4738688</v>
      </c>
      <c r="W59" s="2">
        <f t="shared" si="8"/>
        <v>6.3930888000000001</v>
      </c>
      <c r="X59" s="2">
        <f t="shared" si="9"/>
        <v>34.9114188</v>
      </c>
      <c r="Y59" s="2">
        <v>2.5681400000000001</v>
      </c>
      <c r="Z59" s="2">
        <v>2.66886</v>
      </c>
      <c r="AA59" s="2">
        <v>2.3525800000000001</v>
      </c>
      <c r="AB59" s="2">
        <v>2.0036800000000001</v>
      </c>
      <c r="AC59" s="2">
        <v>2.79149</v>
      </c>
      <c r="AD59" s="2">
        <v>2.8416399999999999</v>
      </c>
      <c r="AE59" s="2">
        <v>2.5827200000000001</v>
      </c>
      <c r="AF59" s="2">
        <v>2.4685700000000002</v>
      </c>
      <c r="AG59" s="2">
        <v>2.63855</v>
      </c>
      <c r="AH59" s="2">
        <v>2.6763300000000001</v>
      </c>
      <c r="AI59" s="2">
        <v>3.1829719999999999</v>
      </c>
      <c r="AJ59" s="2">
        <v>3.2028596</v>
      </c>
      <c r="AK59" s="2">
        <f t="shared" si="10"/>
        <v>7.5895799999999998</v>
      </c>
      <c r="AL59" s="2">
        <f t="shared" si="11"/>
        <v>7.6368100000000005</v>
      </c>
      <c r="AM59" s="2">
        <f t="shared" si="12"/>
        <v>7.6898400000000002</v>
      </c>
      <c r="AN59" s="2">
        <f t="shared" si="13"/>
        <v>9.0621615999999996</v>
      </c>
      <c r="AO59" s="2">
        <f t="shared" si="14"/>
        <v>6.3858315999999995</v>
      </c>
      <c r="AP59" s="2">
        <f t="shared" si="15"/>
        <v>31.978391599999998</v>
      </c>
    </row>
    <row r="60" spans="1:42" hidden="1" x14ac:dyDescent="0.55000000000000004">
      <c r="A60" t="s">
        <v>31</v>
      </c>
      <c r="B60" s="4">
        <v>9940250928</v>
      </c>
      <c r="C60" t="s">
        <v>51</v>
      </c>
      <c r="D60" t="s">
        <v>80</v>
      </c>
      <c r="E60" t="s">
        <v>151</v>
      </c>
      <c r="F60" t="s">
        <v>133</v>
      </c>
      <c r="G60" s="2">
        <v>3.2805499999999999</v>
      </c>
      <c r="H60" s="2">
        <v>3.38889</v>
      </c>
      <c r="I60" s="2">
        <v>3.04</v>
      </c>
      <c r="J60" s="2">
        <v>2.6326200000000002</v>
      </c>
      <c r="K60" s="2">
        <v>3.1234000000000002</v>
      </c>
      <c r="L60" s="2">
        <v>3.2120299999999999</v>
      </c>
      <c r="M60" s="2">
        <v>3.30186</v>
      </c>
      <c r="N60" s="2">
        <v>3.14663</v>
      </c>
      <c r="O60" s="2">
        <v>3.3539099999999999</v>
      </c>
      <c r="P60" s="2">
        <v>3.4492400000000001</v>
      </c>
      <c r="Q60" s="2">
        <v>3.5675032</v>
      </c>
      <c r="R60" s="2">
        <v>3.5902004000000001</v>
      </c>
      <c r="S60" s="2">
        <f t="shared" si="16"/>
        <v>9.7094400000000007</v>
      </c>
      <c r="T60" s="2">
        <f t="shared" si="17"/>
        <v>8.9680499999999999</v>
      </c>
      <c r="U60" s="2">
        <f t="shared" si="6"/>
        <v>9.8023999999999987</v>
      </c>
      <c r="V60" s="2">
        <f t="shared" si="7"/>
        <v>10.606943600000001</v>
      </c>
      <c r="W60" s="2">
        <f t="shared" si="8"/>
        <v>7.1577035999999996</v>
      </c>
      <c r="X60" s="2">
        <f t="shared" si="9"/>
        <v>39.086833599999999</v>
      </c>
      <c r="Y60" s="2">
        <v>0.67083000000000004</v>
      </c>
      <c r="Z60" s="2">
        <v>1.15394</v>
      </c>
      <c r="AA60" s="2">
        <v>1.58666</v>
      </c>
      <c r="AB60" s="2">
        <v>0.17978</v>
      </c>
      <c r="AC60" s="2">
        <v>0.53190999999999999</v>
      </c>
      <c r="AD60" s="2">
        <v>0.73863000000000001</v>
      </c>
      <c r="AE60" s="2">
        <v>1.89876</v>
      </c>
      <c r="AF60" s="2">
        <v>-2.7269999999999999E-2</v>
      </c>
      <c r="AG60" s="2">
        <v>-2.664E-2</v>
      </c>
      <c r="AH60" s="2">
        <v>-0.32386999999999999</v>
      </c>
      <c r="AI60" s="2">
        <v>2.1637591999999999</v>
      </c>
      <c r="AJ60" s="2">
        <v>1.1697624</v>
      </c>
      <c r="AK60" s="2">
        <f t="shared" si="10"/>
        <v>3.4114300000000002</v>
      </c>
      <c r="AL60" s="2">
        <f t="shared" si="11"/>
        <v>1.4503200000000001</v>
      </c>
      <c r="AM60" s="2">
        <f t="shared" si="12"/>
        <v>1.8448500000000001</v>
      </c>
      <c r="AN60" s="2">
        <f t="shared" si="13"/>
        <v>3.0096515999999998</v>
      </c>
      <c r="AO60" s="2">
        <f t="shared" si="14"/>
        <v>3.3335216000000001</v>
      </c>
      <c r="AP60" s="2">
        <f t="shared" si="15"/>
        <v>9.7162515999999997</v>
      </c>
    </row>
    <row r="61" spans="1:42" hidden="1" x14ac:dyDescent="0.55000000000000004">
      <c r="A61" t="s">
        <v>31</v>
      </c>
      <c r="B61" s="4">
        <v>9940534052</v>
      </c>
      <c r="C61" t="s">
        <v>112</v>
      </c>
      <c r="D61" t="s">
        <v>87</v>
      </c>
      <c r="E61" t="s">
        <v>151</v>
      </c>
      <c r="F61" t="s">
        <v>131</v>
      </c>
      <c r="G61" s="2">
        <v>0</v>
      </c>
      <c r="H61" s="2"/>
      <c r="I61" s="2"/>
      <c r="J61" s="2"/>
      <c r="K61" s="2">
        <v>0</v>
      </c>
      <c r="L61" s="2"/>
      <c r="M61" s="2"/>
      <c r="N61" s="2"/>
      <c r="O61" s="2"/>
      <c r="P61" s="2">
        <v>0</v>
      </c>
      <c r="Q61" s="2"/>
      <c r="R61" s="2"/>
      <c r="S61" s="2">
        <f t="shared" si="16"/>
        <v>0</v>
      </c>
      <c r="T61" s="2">
        <f t="shared" si="17"/>
        <v>0</v>
      </c>
      <c r="U61" s="2">
        <f t="shared" si="6"/>
        <v>0</v>
      </c>
      <c r="V61" s="2">
        <f t="shared" si="7"/>
        <v>0</v>
      </c>
      <c r="W61" s="2">
        <f t="shared" si="8"/>
        <v>0</v>
      </c>
      <c r="X61" s="2">
        <f t="shared" si="9"/>
        <v>0</v>
      </c>
      <c r="Y61" s="2">
        <v>-0.17538999999999999</v>
      </c>
      <c r="Z61" s="2"/>
      <c r="AA61" s="2"/>
      <c r="AB61" s="2"/>
      <c r="AC61" s="2">
        <v>0</v>
      </c>
      <c r="AD61" s="2"/>
      <c r="AE61" s="2"/>
      <c r="AF61" s="2"/>
      <c r="AG61" s="2"/>
      <c r="AH61" s="2">
        <v>0</v>
      </c>
      <c r="AI61" s="2"/>
      <c r="AJ61" s="2"/>
      <c r="AK61" s="2">
        <f t="shared" si="10"/>
        <v>-0.17538999999999999</v>
      </c>
      <c r="AL61" s="2">
        <f t="shared" si="11"/>
        <v>0</v>
      </c>
      <c r="AM61" s="2">
        <f t="shared" si="12"/>
        <v>0</v>
      </c>
      <c r="AN61" s="2">
        <f t="shared" si="13"/>
        <v>0</v>
      </c>
      <c r="AO61" s="2">
        <f t="shared" si="14"/>
        <v>0</v>
      </c>
      <c r="AP61" s="2">
        <f t="shared" si="15"/>
        <v>-0.17538999999999999</v>
      </c>
    </row>
    <row r="62" spans="1:42" hidden="1" x14ac:dyDescent="0.55000000000000004">
      <c r="A62" t="s">
        <v>31</v>
      </c>
      <c r="B62" s="4">
        <v>9940537104</v>
      </c>
      <c r="C62" t="s">
        <v>52</v>
      </c>
      <c r="D62" t="s">
        <v>84</v>
      </c>
      <c r="E62" t="s">
        <v>150</v>
      </c>
      <c r="F62" t="s">
        <v>131</v>
      </c>
      <c r="G62" s="2"/>
      <c r="H62" s="2"/>
      <c r="I62" s="2"/>
      <c r="J62" s="2"/>
      <c r="K62" s="2"/>
      <c r="L62" s="2">
        <v>63.72</v>
      </c>
      <c r="M62" s="2">
        <v>63.72</v>
      </c>
      <c r="N62" s="2">
        <v>63.72</v>
      </c>
      <c r="O62" s="2">
        <v>63.72</v>
      </c>
      <c r="P62" s="2">
        <v>63.72</v>
      </c>
      <c r="Q62" s="2">
        <v>63.72</v>
      </c>
      <c r="R62" s="2">
        <v>63.72</v>
      </c>
      <c r="S62" s="2">
        <f t="shared" si="16"/>
        <v>0</v>
      </c>
      <c r="T62" s="2">
        <f t="shared" si="17"/>
        <v>63.72</v>
      </c>
      <c r="U62" s="2">
        <f t="shared" si="6"/>
        <v>191.16</v>
      </c>
      <c r="V62" s="2">
        <f t="shared" si="7"/>
        <v>191.16</v>
      </c>
      <c r="W62" s="2">
        <f t="shared" si="8"/>
        <v>127.44</v>
      </c>
      <c r="X62" s="2">
        <f t="shared" si="9"/>
        <v>446.03999999999996</v>
      </c>
      <c r="Y62" s="2"/>
      <c r="Z62" s="2"/>
      <c r="AA62" s="2"/>
      <c r="AB62" s="2"/>
      <c r="AC62" s="2"/>
      <c r="AD62" s="2">
        <v>63.72</v>
      </c>
      <c r="AE62" s="2">
        <v>63.181049999999999</v>
      </c>
      <c r="AF62" s="2">
        <v>25.19049</v>
      </c>
      <c r="AG62" s="2">
        <v>14.828950000000001</v>
      </c>
      <c r="AH62" s="2">
        <v>8.3814499999999992</v>
      </c>
      <c r="AI62" s="2">
        <v>33.2766254</v>
      </c>
      <c r="AJ62" s="2">
        <v>18.487478899999999</v>
      </c>
      <c r="AK62" s="2">
        <f t="shared" si="10"/>
        <v>0</v>
      </c>
      <c r="AL62" s="2">
        <f t="shared" si="11"/>
        <v>63.72</v>
      </c>
      <c r="AM62" s="2">
        <f t="shared" si="12"/>
        <v>103.20049</v>
      </c>
      <c r="AN62" s="2">
        <f t="shared" si="13"/>
        <v>60.145554300000001</v>
      </c>
      <c r="AO62" s="2">
        <f t="shared" si="14"/>
        <v>51.7641043</v>
      </c>
      <c r="AP62" s="2">
        <f t="shared" si="15"/>
        <v>227.06604429999999</v>
      </c>
    </row>
    <row r="63" spans="1:42" x14ac:dyDescent="0.55000000000000004">
      <c r="A63" t="s">
        <v>31</v>
      </c>
      <c r="B63" s="4">
        <v>9940537104</v>
      </c>
      <c r="C63" t="s">
        <v>52</v>
      </c>
      <c r="D63" t="s">
        <v>84</v>
      </c>
      <c r="E63" t="s">
        <v>150</v>
      </c>
      <c r="F63" t="s">
        <v>26</v>
      </c>
      <c r="G63" s="2"/>
      <c r="H63" s="2"/>
      <c r="I63" s="2"/>
      <c r="J63" s="2"/>
      <c r="K63" s="2"/>
      <c r="L63" s="2">
        <v>44.28</v>
      </c>
      <c r="M63" s="2">
        <v>44.28</v>
      </c>
      <c r="N63" s="2">
        <v>44.28</v>
      </c>
      <c r="O63" s="2">
        <v>44.28</v>
      </c>
      <c r="P63" s="2">
        <v>44.28</v>
      </c>
      <c r="Q63" s="2">
        <v>44.28</v>
      </c>
      <c r="R63" s="2">
        <v>44.28</v>
      </c>
      <c r="S63" s="2">
        <f t="shared" si="16"/>
        <v>0</v>
      </c>
      <c r="T63" s="2">
        <f t="shared" si="17"/>
        <v>44.28</v>
      </c>
      <c r="U63" s="2">
        <f t="shared" si="6"/>
        <v>132.84</v>
      </c>
      <c r="V63" s="2">
        <f t="shared" si="7"/>
        <v>132.84</v>
      </c>
      <c r="W63" s="2">
        <f t="shared" si="8"/>
        <v>88.56</v>
      </c>
      <c r="X63" s="2">
        <f t="shared" si="9"/>
        <v>309.96000000000004</v>
      </c>
      <c r="Y63" s="2"/>
      <c r="Z63" s="2"/>
      <c r="AA63" s="2"/>
      <c r="AB63" s="2"/>
      <c r="AC63" s="2"/>
      <c r="AD63" s="2">
        <v>44.28</v>
      </c>
      <c r="AE63" s="2">
        <v>43.69614</v>
      </c>
      <c r="AF63" s="2">
        <v>2.5396999999999998</v>
      </c>
      <c r="AG63" s="2">
        <v>-8.6852999999999998</v>
      </c>
      <c r="AH63" s="2">
        <v>-15.67009</v>
      </c>
      <c r="AI63" s="2">
        <v>23.124434600000001</v>
      </c>
      <c r="AJ63" s="2">
        <v>12.8472311</v>
      </c>
      <c r="AK63" s="2">
        <f t="shared" si="10"/>
        <v>0</v>
      </c>
      <c r="AL63" s="2">
        <f t="shared" si="11"/>
        <v>44.28</v>
      </c>
      <c r="AM63" s="2">
        <f t="shared" si="12"/>
        <v>37.550539999999998</v>
      </c>
      <c r="AN63" s="2">
        <f t="shared" si="13"/>
        <v>20.301575700000001</v>
      </c>
      <c r="AO63" s="2">
        <f t="shared" si="14"/>
        <v>35.971665700000003</v>
      </c>
      <c r="AP63" s="2">
        <f t="shared" si="15"/>
        <v>102.1321157</v>
      </c>
    </row>
    <row r="64" spans="1:42" hidden="1" x14ac:dyDescent="0.55000000000000004">
      <c r="A64" t="s">
        <v>31</v>
      </c>
      <c r="B64" s="4">
        <v>9940277877</v>
      </c>
      <c r="C64" t="s">
        <v>113</v>
      </c>
      <c r="D64" t="s">
        <v>76</v>
      </c>
      <c r="E64" t="s">
        <v>150</v>
      </c>
      <c r="F64" t="s">
        <v>133</v>
      </c>
      <c r="G64" s="2">
        <v>35.823239999999998</v>
      </c>
      <c r="H64" s="2">
        <v>36.178469999999997</v>
      </c>
      <c r="I64" s="2">
        <v>27.922329999999999</v>
      </c>
      <c r="J64" s="2">
        <v>28.266590000000001</v>
      </c>
      <c r="K64" s="2">
        <v>21.979900000000001</v>
      </c>
      <c r="L64" s="2">
        <v>23.15166</v>
      </c>
      <c r="M64" s="2">
        <v>21.24194</v>
      </c>
      <c r="N64" s="2">
        <v>18.939050000000002</v>
      </c>
      <c r="O64" s="2">
        <v>14.459250000000001</v>
      </c>
      <c r="P64" s="2">
        <v>16.498069999999998</v>
      </c>
      <c r="Q64" s="2">
        <v>15.6365575</v>
      </c>
      <c r="R64" s="2">
        <v>16.430720000000001</v>
      </c>
      <c r="S64" s="2">
        <f t="shared" si="16"/>
        <v>99.924040000000005</v>
      </c>
      <c r="T64" s="2">
        <f t="shared" si="17"/>
        <v>73.398150000000001</v>
      </c>
      <c r="U64" s="2">
        <f t="shared" si="6"/>
        <v>54.640240000000006</v>
      </c>
      <c r="V64" s="2">
        <f t="shared" si="7"/>
        <v>48.565347500000001</v>
      </c>
      <c r="W64" s="2">
        <f t="shared" si="8"/>
        <v>32.067277500000003</v>
      </c>
      <c r="X64" s="2">
        <f t="shared" si="9"/>
        <v>276.52777750000001</v>
      </c>
      <c r="Y64" s="2">
        <v>11.89673</v>
      </c>
      <c r="Z64" s="2">
        <v>11.971970000000001</v>
      </c>
      <c r="AA64" s="2">
        <v>11.15025</v>
      </c>
      <c r="AB64" s="2">
        <v>8.5605200000000004</v>
      </c>
      <c r="AC64" s="2">
        <v>3.9702000000000002</v>
      </c>
      <c r="AD64" s="2">
        <v>6.6059900000000003</v>
      </c>
      <c r="AE64" s="2">
        <v>1.13517</v>
      </c>
      <c r="AF64" s="2">
        <v>2.101</v>
      </c>
      <c r="AG64" s="2">
        <v>0.21642</v>
      </c>
      <c r="AH64" s="2">
        <v>0.94762999999999997</v>
      </c>
      <c r="AI64" s="2">
        <v>2.2567474999999999</v>
      </c>
      <c r="AJ64" s="2">
        <v>5.3060324999999997</v>
      </c>
      <c r="AK64" s="2">
        <f t="shared" si="10"/>
        <v>35.018950000000004</v>
      </c>
      <c r="AL64" s="2">
        <f t="shared" si="11"/>
        <v>19.136710000000001</v>
      </c>
      <c r="AM64" s="2">
        <f t="shared" si="12"/>
        <v>3.4525899999999998</v>
      </c>
      <c r="AN64" s="2">
        <f t="shared" si="13"/>
        <v>8.5104100000000003</v>
      </c>
      <c r="AO64" s="2">
        <f t="shared" si="14"/>
        <v>7.5627800000000001</v>
      </c>
      <c r="AP64" s="2">
        <f t="shared" si="15"/>
        <v>66.118660000000006</v>
      </c>
    </row>
    <row r="65" spans="1:42" hidden="1" x14ac:dyDescent="0.55000000000000004">
      <c r="A65" t="s">
        <v>31</v>
      </c>
      <c r="B65" s="4">
        <v>9940473405</v>
      </c>
      <c r="C65" t="s">
        <v>114</v>
      </c>
      <c r="D65" t="s">
        <v>140</v>
      </c>
      <c r="E65" t="s">
        <v>152</v>
      </c>
      <c r="F65" t="s">
        <v>133</v>
      </c>
      <c r="G65" s="2">
        <v>-7.2936100000000001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>
        <f t="shared" si="16"/>
        <v>-7.2936100000000001</v>
      </c>
      <c r="T65" s="2">
        <f t="shared" si="17"/>
        <v>0</v>
      </c>
      <c r="U65" s="2">
        <f t="shared" si="6"/>
        <v>0</v>
      </c>
      <c r="V65" s="2">
        <f t="shared" si="7"/>
        <v>0</v>
      </c>
      <c r="W65" s="2">
        <f t="shared" si="8"/>
        <v>0</v>
      </c>
      <c r="X65" s="2">
        <f t="shared" si="9"/>
        <v>-7.2936100000000001</v>
      </c>
      <c r="Y65" s="2">
        <v>-7.7476200000000004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>
        <f t="shared" si="10"/>
        <v>-7.7476200000000004</v>
      </c>
      <c r="AL65" s="2">
        <f t="shared" si="11"/>
        <v>0</v>
      </c>
      <c r="AM65" s="2">
        <f t="shared" si="12"/>
        <v>0</v>
      </c>
      <c r="AN65" s="2">
        <f t="shared" si="13"/>
        <v>0</v>
      </c>
      <c r="AO65" s="2">
        <f t="shared" si="14"/>
        <v>0</v>
      </c>
      <c r="AP65" s="2">
        <f t="shared" si="15"/>
        <v>-7.7476200000000004</v>
      </c>
    </row>
    <row r="66" spans="1:42" hidden="1" x14ac:dyDescent="0.55000000000000004">
      <c r="A66" t="s">
        <v>31</v>
      </c>
      <c r="B66" s="4">
        <v>9940519950</v>
      </c>
      <c r="C66" t="s">
        <v>115</v>
      </c>
      <c r="D66" t="s">
        <v>141</v>
      </c>
      <c r="E66" t="s">
        <v>152</v>
      </c>
      <c r="F66" t="s">
        <v>134</v>
      </c>
      <c r="G66" s="2">
        <v>106.56952</v>
      </c>
      <c r="H66" s="2">
        <v>127.1135</v>
      </c>
      <c r="I66" s="2">
        <v>109.40912</v>
      </c>
      <c r="J66" s="2">
        <v>112.8129</v>
      </c>
      <c r="K66" s="2">
        <v>116.99764</v>
      </c>
      <c r="L66" s="2">
        <v>118.27736</v>
      </c>
      <c r="M66" s="2">
        <v>116.37734</v>
      </c>
      <c r="N66" s="2">
        <v>111.6889</v>
      </c>
      <c r="O66" s="2">
        <v>109.03578</v>
      </c>
      <c r="P66" s="2">
        <v>114.65476</v>
      </c>
      <c r="Q66" s="2">
        <v>98.821070000000006</v>
      </c>
      <c r="R66" s="2">
        <v>98.479600000000005</v>
      </c>
      <c r="S66" s="2">
        <f t="shared" si="16"/>
        <v>343.09213999999997</v>
      </c>
      <c r="T66" s="2">
        <f t="shared" si="17"/>
        <v>348.08789999999999</v>
      </c>
      <c r="U66" s="2">
        <f t="shared" si="6"/>
        <v>337.10201999999998</v>
      </c>
      <c r="V66" s="2">
        <f t="shared" si="7"/>
        <v>311.95542999999998</v>
      </c>
      <c r="W66" s="2">
        <f t="shared" si="8"/>
        <v>197.30067000000003</v>
      </c>
      <c r="X66" s="2">
        <f t="shared" si="9"/>
        <v>1340.23749</v>
      </c>
      <c r="Y66" s="2">
        <v>17.259840000000001</v>
      </c>
      <c r="Z66" s="2">
        <v>22.9438</v>
      </c>
      <c r="AA66" s="2">
        <v>27.610320000000002</v>
      </c>
      <c r="AB66" s="2">
        <v>33.14922</v>
      </c>
      <c r="AC66" s="2">
        <v>33.159219999999998</v>
      </c>
      <c r="AD66" s="2">
        <v>39.360140000000001</v>
      </c>
      <c r="AE66" s="2">
        <v>30.848659999999999</v>
      </c>
      <c r="AF66" s="2">
        <v>24.993539999999999</v>
      </c>
      <c r="AG66" s="2">
        <v>22.836379999999998</v>
      </c>
      <c r="AH66" s="2">
        <v>33.693899999999999</v>
      </c>
      <c r="AI66" s="2">
        <v>-14.977399999999999</v>
      </c>
      <c r="AJ66" s="2">
        <v>17.53145</v>
      </c>
      <c r="AK66" s="2">
        <f t="shared" si="10"/>
        <v>67.813960000000009</v>
      </c>
      <c r="AL66" s="2">
        <f t="shared" si="11"/>
        <v>105.66857999999999</v>
      </c>
      <c r="AM66" s="2">
        <f t="shared" si="12"/>
        <v>78.678579999999997</v>
      </c>
      <c r="AN66" s="2">
        <f t="shared" si="13"/>
        <v>36.247950000000003</v>
      </c>
      <c r="AO66" s="2">
        <f t="shared" si="14"/>
        <v>2.5540500000000002</v>
      </c>
      <c r="AP66" s="2">
        <f t="shared" si="15"/>
        <v>288.40906999999999</v>
      </c>
    </row>
    <row r="67" spans="1:42" hidden="1" x14ac:dyDescent="0.55000000000000004">
      <c r="A67" t="s">
        <v>31</v>
      </c>
      <c r="B67" s="4">
        <v>9940564448</v>
      </c>
      <c r="C67" t="s">
        <v>116</v>
      </c>
      <c r="D67" t="s">
        <v>79</v>
      </c>
      <c r="E67" t="s">
        <v>153</v>
      </c>
      <c r="F67" t="s">
        <v>131</v>
      </c>
      <c r="G67" s="2"/>
      <c r="H67" s="2"/>
      <c r="I67" s="2"/>
      <c r="J67" s="2"/>
      <c r="K67" s="2"/>
      <c r="L67" s="2">
        <v>0</v>
      </c>
      <c r="M67" s="2">
        <v>0</v>
      </c>
      <c r="N67" s="2">
        <v>0</v>
      </c>
      <c r="O67" s="2">
        <v>6.7569600000000003</v>
      </c>
      <c r="P67" s="2">
        <v>6.7027700000000001</v>
      </c>
      <c r="Q67" s="2">
        <v>6.3467700000000002</v>
      </c>
      <c r="R67" s="2">
        <v>6.3467700000000002</v>
      </c>
      <c r="S67" s="2">
        <f t="shared" si="16"/>
        <v>0</v>
      </c>
      <c r="T67" s="2">
        <f t="shared" si="17"/>
        <v>0</v>
      </c>
      <c r="U67" s="2">
        <f t="shared" si="6"/>
        <v>6.7569600000000003</v>
      </c>
      <c r="V67" s="2">
        <f t="shared" si="7"/>
        <v>19.39631</v>
      </c>
      <c r="W67" s="2">
        <f t="shared" si="8"/>
        <v>12.69354</v>
      </c>
      <c r="X67" s="2">
        <f t="shared" si="9"/>
        <v>26.153269999999999</v>
      </c>
      <c r="Y67" s="2"/>
      <c r="Z67" s="2"/>
      <c r="AA67" s="2"/>
      <c r="AB67" s="2"/>
      <c r="AC67" s="2"/>
      <c r="AD67" s="2">
        <v>0</v>
      </c>
      <c r="AE67" s="2">
        <v>0</v>
      </c>
      <c r="AF67" s="2">
        <v>0</v>
      </c>
      <c r="AG67" s="2">
        <v>2.4806400000000002</v>
      </c>
      <c r="AH67" s="2">
        <v>0.47433999999999998</v>
      </c>
      <c r="AI67" s="2">
        <v>3.9833599999999998</v>
      </c>
      <c r="AJ67" s="2">
        <v>2.6265100000000001</v>
      </c>
      <c r="AK67" s="2">
        <f t="shared" si="10"/>
        <v>0</v>
      </c>
      <c r="AL67" s="2">
        <f t="shared" si="11"/>
        <v>0</v>
      </c>
      <c r="AM67" s="2">
        <f t="shared" si="12"/>
        <v>2.4806400000000002</v>
      </c>
      <c r="AN67" s="2">
        <f t="shared" si="13"/>
        <v>7.0842100000000006</v>
      </c>
      <c r="AO67" s="2">
        <f t="shared" si="14"/>
        <v>6.6098699999999999</v>
      </c>
      <c r="AP67" s="2">
        <f t="shared" si="15"/>
        <v>9.5648499999999999</v>
      </c>
    </row>
    <row r="68" spans="1:42" hidden="1" x14ac:dyDescent="0.55000000000000004">
      <c r="A68" t="s">
        <v>31</v>
      </c>
      <c r="B68" s="4">
        <v>9940564448</v>
      </c>
      <c r="C68" t="s">
        <v>116</v>
      </c>
      <c r="D68" t="s">
        <v>79</v>
      </c>
      <c r="E68" t="s">
        <v>153</v>
      </c>
      <c r="F68" t="s">
        <v>135</v>
      </c>
      <c r="G68" s="2"/>
      <c r="H68" s="2"/>
      <c r="I68" s="2"/>
      <c r="J68" s="2"/>
      <c r="K68" s="2"/>
      <c r="L68" s="2">
        <v>0</v>
      </c>
      <c r="M68" s="2">
        <v>0</v>
      </c>
      <c r="N68" s="2">
        <v>0</v>
      </c>
      <c r="O68" s="2">
        <v>27.36919</v>
      </c>
      <c r="P68" s="2">
        <v>70.453109999999995</v>
      </c>
      <c r="Q68" s="2">
        <v>90.898200000000003</v>
      </c>
      <c r="R68" s="2">
        <v>90.898200000000003</v>
      </c>
      <c r="S68" s="2">
        <f t="shared" si="16"/>
        <v>0</v>
      </c>
      <c r="T68" s="2">
        <f t="shared" si="17"/>
        <v>0</v>
      </c>
      <c r="U68" s="2">
        <f t="shared" ref="U68:U131" si="18">M68+N68+O68</f>
        <v>27.36919</v>
      </c>
      <c r="V68" s="2">
        <f t="shared" ref="V68:V131" si="19">P68+Q68+R68</f>
        <v>252.24951000000001</v>
      </c>
      <c r="W68" s="2">
        <f t="shared" ref="W68:W131" si="20">Q68+R68</f>
        <v>181.79640000000001</v>
      </c>
      <c r="X68" s="2">
        <f t="shared" ref="X68:X131" si="21">S68+T68+U68+V68</f>
        <v>279.61869999999999</v>
      </c>
      <c r="Y68" s="2"/>
      <c r="Z68" s="2"/>
      <c r="AA68" s="2"/>
      <c r="AB68" s="2"/>
      <c r="AC68" s="2"/>
      <c r="AD68" s="2">
        <v>0</v>
      </c>
      <c r="AE68" s="2">
        <v>0</v>
      </c>
      <c r="AF68" s="2">
        <v>0</v>
      </c>
      <c r="AG68" s="2">
        <v>6.9660200000000003</v>
      </c>
      <c r="AH68" s="2">
        <v>20.149989999999999</v>
      </c>
      <c r="AI68" s="2">
        <v>9.9395699999999998</v>
      </c>
      <c r="AJ68" s="2">
        <v>23.507090000000002</v>
      </c>
      <c r="AK68" s="2">
        <f t="shared" ref="AK68:AK131" si="22">Y68+Z68+AA68</f>
        <v>0</v>
      </c>
      <c r="AL68" s="2">
        <f t="shared" ref="AL68:AL131" si="23">AB68+AC68+AD68</f>
        <v>0</v>
      </c>
      <c r="AM68" s="2">
        <f t="shared" ref="AM68:AM131" si="24">AE68+AF68+AG68</f>
        <v>6.9660200000000003</v>
      </c>
      <c r="AN68" s="2">
        <f t="shared" ref="AN68:AN131" si="25">AH68+AI68+AJ68</f>
        <v>53.596649999999997</v>
      </c>
      <c r="AO68" s="2">
        <f t="shared" ref="AO68:AO131" si="26">AI68+AJ68</f>
        <v>33.446660000000001</v>
      </c>
      <c r="AP68" s="2">
        <f t="shared" ref="AP68:AP131" si="27">AK68+AL68+AM68+AN68</f>
        <v>60.562669999999997</v>
      </c>
    </row>
    <row r="69" spans="1:42" hidden="1" x14ac:dyDescent="0.55000000000000004">
      <c r="A69" t="s">
        <v>31</v>
      </c>
      <c r="B69" s="4">
        <v>9940565303</v>
      </c>
      <c r="C69" t="s">
        <v>117</v>
      </c>
      <c r="D69" t="s">
        <v>142</v>
      </c>
      <c r="E69" t="s">
        <v>154</v>
      </c>
      <c r="F69" t="s">
        <v>131</v>
      </c>
      <c r="G69" s="2"/>
      <c r="H69" s="2"/>
      <c r="I69" s="2"/>
      <c r="J69" s="2"/>
      <c r="K69" s="2"/>
      <c r="L69" s="2">
        <v>15.738989999999999</v>
      </c>
      <c r="M69" s="2">
        <v>128.36392000000001</v>
      </c>
      <c r="N69" s="2">
        <v>127.61302000000001</v>
      </c>
      <c r="O69" s="2">
        <v>-0.83797999999999995</v>
      </c>
      <c r="P69" s="2">
        <v>0</v>
      </c>
      <c r="Q69" s="2">
        <v>0</v>
      </c>
      <c r="R69" s="2">
        <v>0</v>
      </c>
      <c r="S69" s="2">
        <f t="shared" si="16"/>
        <v>0</v>
      </c>
      <c r="T69" s="2">
        <f t="shared" si="17"/>
        <v>15.738989999999999</v>
      </c>
      <c r="U69" s="2">
        <f t="shared" si="18"/>
        <v>255.13896000000003</v>
      </c>
      <c r="V69" s="2">
        <f t="shared" si="19"/>
        <v>0</v>
      </c>
      <c r="W69" s="2">
        <f t="shared" si="20"/>
        <v>0</v>
      </c>
      <c r="X69" s="2">
        <f t="shared" si="21"/>
        <v>270.87795</v>
      </c>
      <c r="Y69" s="2"/>
      <c r="Z69" s="2"/>
      <c r="AA69" s="2"/>
      <c r="AB69" s="2"/>
      <c r="AC69" s="2"/>
      <c r="AD69" s="2">
        <v>7.1787200000000002</v>
      </c>
      <c r="AE69" s="2">
        <v>45.761879999999998</v>
      </c>
      <c r="AF69" s="2">
        <v>-0.60209000000000001</v>
      </c>
      <c r="AG69" s="2">
        <v>-45.28434</v>
      </c>
      <c r="AH69" s="2">
        <v>-29.68281</v>
      </c>
      <c r="AI69" s="2">
        <v>135.96495999999999</v>
      </c>
      <c r="AJ69" s="2">
        <v>0</v>
      </c>
      <c r="AK69" s="2">
        <f t="shared" si="22"/>
        <v>0</v>
      </c>
      <c r="AL69" s="2">
        <f t="shared" si="23"/>
        <v>7.1787200000000002</v>
      </c>
      <c r="AM69" s="2">
        <f t="shared" si="24"/>
        <v>-0.12454999999999927</v>
      </c>
      <c r="AN69" s="2">
        <f t="shared" si="25"/>
        <v>106.28214999999999</v>
      </c>
      <c r="AO69" s="2">
        <f t="shared" si="26"/>
        <v>135.96495999999999</v>
      </c>
      <c r="AP69" s="2">
        <f t="shared" si="27"/>
        <v>113.33631999999999</v>
      </c>
    </row>
    <row r="70" spans="1:42" hidden="1" x14ac:dyDescent="0.55000000000000004">
      <c r="A70" t="s">
        <v>31</v>
      </c>
      <c r="B70" s="4">
        <v>9940422701</v>
      </c>
      <c r="C70" t="s">
        <v>118</v>
      </c>
      <c r="D70" t="s">
        <v>143</v>
      </c>
      <c r="E70" t="s">
        <v>151</v>
      </c>
      <c r="F70" t="s">
        <v>131</v>
      </c>
      <c r="G70" s="2">
        <v>-5.3159999999999999E-2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>
        <f t="shared" si="16"/>
        <v>-5.3159999999999999E-2</v>
      </c>
      <c r="T70" s="2">
        <f t="shared" si="17"/>
        <v>0</v>
      </c>
      <c r="U70" s="2">
        <f t="shared" si="18"/>
        <v>0</v>
      </c>
      <c r="V70" s="2">
        <f t="shared" si="19"/>
        <v>0</v>
      </c>
      <c r="W70" s="2">
        <f t="shared" si="20"/>
        <v>0</v>
      </c>
      <c r="X70" s="2">
        <f t="shared" si="21"/>
        <v>-5.3159999999999999E-2</v>
      </c>
      <c r="Y70" s="2">
        <v>-5.3690000000000002E-2</v>
      </c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>
        <f t="shared" si="22"/>
        <v>-5.3690000000000002E-2</v>
      </c>
      <c r="AL70" s="2">
        <f t="shared" si="23"/>
        <v>0</v>
      </c>
      <c r="AM70" s="2">
        <f t="shared" si="24"/>
        <v>0</v>
      </c>
      <c r="AN70" s="2">
        <f t="shared" si="25"/>
        <v>0</v>
      </c>
      <c r="AO70" s="2">
        <f t="shared" si="26"/>
        <v>0</v>
      </c>
      <c r="AP70" s="2">
        <f t="shared" si="27"/>
        <v>-5.3690000000000002E-2</v>
      </c>
    </row>
    <row r="71" spans="1:42" hidden="1" x14ac:dyDescent="0.55000000000000004">
      <c r="A71" t="s">
        <v>31</v>
      </c>
      <c r="B71" s="4">
        <v>9940447844</v>
      </c>
      <c r="C71" t="s">
        <v>119</v>
      </c>
      <c r="D71" t="s">
        <v>144</v>
      </c>
      <c r="E71" t="s">
        <v>153</v>
      </c>
      <c r="F71" t="s">
        <v>131</v>
      </c>
      <c r="G71" s="2">
        <v>8.0340600000000002</v>
      </c>
      <c r="H71" s="2">
        <v>8.0568200000000001</v>
      </c>
      <c r="I71" s="2">
        <v>8.0572300000000006</v>
      </c>
      <c r="J71" s="2">
        <v>7.94998</v>
      </c>
      <c r="K71" s="2">
        <v>-5.6919999999999998E-2</v>
      </c>
      <c r="L71" s="2">
        <v>0</v>
      </c>
      <c r="M71" s="2">
        <v>0</v>
      </c>
      <c r="N71" s="2">
        <v>-9.5000000000000001E-2</v>
      </c>
      <c r="O71" s="2">
        <v>0</v>
      </c>
      <c r="P71" s="2">
        <v>0</v>
      </c>
      <c r="Q71" s="2">
        <v>0</v>
      </c>
      <c r="R71" s="2">
        <v>0</v>
      </c>
      <c r="S71" s="2">
        <f t="shared" si="16"/>
        <v>24.148109999999999</v>
      </c>
      <c r="T71" s="2">
        <f t="shared" si="17"/>
        <v>7.8930600000000002</v>
      </c>
      <c r="U71" s="2">
        <f t="shared" si="18"/>
        <v>-9.5000000000000001E-2</v>
      </c>
      <c r="V71" s="2">
        <f t="shared" si="19"/>
        <v>0</v>
      </c>
      <c r="W71" s="2">
        <f t="shared" si="20"/>
        <v>0</v>
      </c>
      <c r="X71" s="2">
        <f t="shared" si="21"/>
        <v>31.946170000000002</v>
      </c>
      <c r="Y71" s="2">
        <v>3.2985199999999999</v>
      </c>
      <c r="Z71" s="2">
        <v>2.6681900000000001</v>
      </c>
      <c r="AA71" s="2">
        <v>3.8269899999999999</v>
      </c>
      <c r="AB71" s="2">
        <v>3.59545</v>
      </c>
      <c r="AC71" s="2">
        <v>-0.35519000000000001</v>
      </c>
      <c r="AD71" s="2">
        <v>-0.15417</v>
      </c>
      <c r="AE71" s="2">
        <v>-9.6170000000000005E-2</v>
      </c>
      <c r="AF71" s="2">
        <v>-0.10667</v>
      </c>
      <c r="AG71" s="2">
        <v>-8.6899999999999998E-3</v>
      </c>
      <c r="AH71" s="2">
        <v>-8.5900000000000004E-3</v>
      </c>
      <c r="AI71" s="2">
        <v>-9.7499999999999998E-5</v>
      </c>
      <c r="AJ71" s="2">
        <v>0</v>
      </c>
      <c r="AK71" s="2">
        <f t="shared" si="22"/>
        <v>9.7936999999999994</v>
      </c>
      <c r="AL71" s="2">
        <f t="shared" si="23"/>
        <v>3.08609</v>
      </c>
      <c r="AM71" s="2">
        <f t="shared" si="24"/>
        <v>-0.21153000000000002</v>
      </c>
      <c r="AN71" s="2">
        <f t="shared" si="25"/>
        <v>-8.6875000000000008E-3</v>
      </c>
      <c r="AO71" s="2">
        <f t="shared" si="26"/>
        <v>-9.7499999999999998E-5</v>
      </c>
      <c r="AP71" s="2">
        <f t="shared" si="27"/>
        <v>12.659572499999999</v>
      </c>
    </row>
    <row r="72" spans="1:42" hidden="1" x14ac:dyDescent="0.55000000000000004">
      <c r="A72" t="s">
        <v>31</v>
      </c>
      <c r="B72" s="4">
        <v>9940447844</v>
      </c>
      <c r="C72" t="s">
        <v>119</v>
      </c>
      <c r="D72" t="s">
        <v>144</v>
      </c>
      <c r="E72" t="s">
        <v>153</v>
      </c>
      <c r="F72" t="s">
        <v>135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/>
      <c r="R72" s="2"/>
      <c r="S72" s="2">
        <f t="shared" si="16"/>
        <v>0</v>
      </c>
      <c r="T72" s="2">
        <f t="shared" si="17"/>
        <v>0</v>
      </c>
      <c r="U72" s="2">
        <f t="shared" si="18"/>
        <v>0</v>
      </c>
      <c r="V72" s="2">
        <f t="shared" si="19"/>
        <v>0</v>
      </c>
      <c r="W72" s="2">
        <f t="shared" si="20"/>
        <v>0</v>
      </c>
      <c r="X72" s="2">
        <f t="shared" si="21"/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/>
      <c r="AJ72" s="2"/>
      <c r="AK72" s="2">
        <f t="shared" si="22"/>
        <v>0</v>
      </c>
      <c r="AL72" s="2">
        <f t="shared" si="23"/>
        <v>0</v>
      </c>
      <c r="AM72" s="2">
        <f t="shared" si="24"/>
        <v>0</v>
      </c>
      <c r="AN72" s="2">
        <f t="shared" si="25"/>
        <v>0</v>
      </c>
      <c r="AO72" s="2">
        <f t="shared" si="26"/>
        <v>0</v>
      </c>
      <c r="AP72" s="2">
        <f t="shared" si="27"/>
        <v>0</v>
      </c>
    </row>
    <row r="73" spans="1:42" hidden="1" x14ac:dyDescent="0.55000000000000004">
      <c r="A73" t="s">
        <v>31</v>
      </c>
      <c r="B73" s="4">
        <v>9940530688</v>
      </c>
      <c r="C73" t="s">
        <v>120</v>
      </c>
      <c r="D73" t="s">
        <v>89</v>
      </c>
      <c r="E73" t="s">
        <v>151</v>
      </c>
      <c r="F73" t="s">
        <v>131</v>
      </c>
      <c r="G73" s="2">
        <v>14.44627</v>
      </c>
      <c r="H73" s="2">
        <v>14.650969999999999</v>
      </c>
      <c r="I73" s="2">
        <v>14.629490000000001</v>
      </c>
      <c r="J73" s="2">
        <v>14.64954</v>
      </c>
      <c r="K73" s="2">
        <v>15.02896</v>
      </c>
      <c r="L73" s="2">
        <v>15.661630000000001</v>
      </c>
      <c r="M73" s="2">
        <v>4.6943400000000004</v>
      </c>
      <c r="N73" s="2">
        <v>0</v>
      </c>
      <c r="O73" s="2">
        <v>29.253409999999999</v>
      </c>
      <c r="P73" s="2">
        <v>14.663410000000001</v>
      </c>
      <c r="Q73" s="2">
        <v>14.4901</v>
      </c>
      <c r="R73" s="2">
        <v>14.4901</v>
      </c>
      <c r="S73" s="2">
        <f t="shared" si="16"/>
        <v>43.726730000000003</v>
      </c>
      <c r="T73" s="2">
        <f t="shared" si="17"/>
        <v>45.340130000000002</v>
      </c>
      <c r="U73" s="2">
        <f t="shared" si="18"/>
        <v>33.947749999999999</v>
      </c>
      <c r="V73" s="2">
        <f t="shared" si="19"/>
        <v>43.643610000000002</v>
      </c>
      <c r="W73" s="2">
        <f t="shared" si="20"/>
        <v>28.9802</v>
      </c>
      <c r="X73" s="2">
        <f t="shared" si="21"/>
        <v>166.65822</v>
      </c>
      <c r="Y73" s="2">
        <v>4.1289699999999998</v>
      </c>
      <c r="Z73" s="2">
        <v>4.1733799999999999</v>
      </c>
      <c r="AA73" s="2">
        <v>4.0072700000000001</v>
      </c>
      <c r="AB73" s="2">
        <v>3.87907</v>
      </c>
      <c r="AC73" s="2">
        <v>6.0295399999999999</v>
      </c>
      <c r="AD73" s="2">
        <v>6.5201399999999996</v>
      </c>
      <c r="AE73" s="2">
        <v>-4.60372</v>
      </c>
      <c r="AF73" s="2">
        <v>-9.3450000000000006</v>
      </c>
      <c r="AG73" s="2">
        <v>21.663620000000002</v>
      </c>
      <c r="AH73" s="2">
        <v>6.7847499999999998</v>
      </c>
      <c r="AI73" s="2">
        <v>6.3887499999999999</v>
      </c>
      <c r="AJ73" s="2">
        <v>6.2659000000000002</v>
      </c>
      <c r="AK73" s="2">
        <f t="shared" si="22"/>
        <v>12.309620000000001</v>
      </c>
      <c r="AL73" s="2">
        <f t="shared" si="23"/>
        <v>16.428750000000001</v>
      </c>
      <c r="AM73" s="2">
        <f t="shared" si="24"/>
        <v>7.7149000000000001</v>
      </c>
      <c r="AN73" s="2">
        <f t="shared" si="25"/>
        <v>19.439399999999999</v>
      </c>
      <c r="AO73" s="2">
        <f t="shared" si="26"/>
        <v>12.65465</v>
      </c>
      <c r="AP73" s="2">
        <f t="shared" si="27"/>
        <v>55.892670000000003</v>
      </c>
    </row>
    <row r="74" spans="1:42" hidden="1" x14ac:dyDescent="0.55000000000000004">
      <c r="A74" t="s">
        <v>31</v>
      </c>
      <c r="B74" s="4">
        <v>9940532944</v>
      </c>
      <c r="C74" t="s">
        <v>121</v>
      </c>
      <c r="D74" t="s">
        <v>145</v>
      </c>
      <c r="E74" t="s">
        <v>153</v>
      </c>
      <c r="F74" t="s">
        <v>131</v>
      </c>
      <c r="G74" s="2">
        <v>0</v>
      </c>
      <c r="H74" s="2">
        <v>0</v>
      </c>
      <c r="I74" s="2">
        <v>247.07932</v>
      </c>
      <c r="J74" s="2">
        <v>276.96420000000001</v>
      </c>
      <c r="K74" s="2">
        <v>315.85912000000002</v>
      </c>
      <c r="L74" s="2">
        <v>334.21751999999998</v>
      </c>
      <c r="M74" s="2">
        <v>358.12632000000002</v>
      </c>
      <c r="N74" s="2">
        <v>334.08987999999999</v>
      </c>
      <c r="O74" s="2">
        <v>311.30376000000001</v>
      </c>
      <c r="P74" s="2">
        <v>545.46104000000003</v>
      </c>
      <c r="Q74" s="2">
        <v>189.24126290000001</v>
      </c>
      <c r="R74" s="2">
        <v>0</v>
      </c>
      <c r="S74" s="2">
        <f t="shared" si="16"/>
        <v>247.07932</v>
      </c>
      <c r="T74" s="2">
        <f t="shared" si="17"/>
        <v>927.04083999999989</v>
      </c>
      <c r="U74" s="2">
        <f t="shared" si="18"/>
        <v>1003.5199600000001</v>
      </c>
      <c r="V74" s="2">
        <f t="shared" si="19"/>
        <v>734.70230290000006</v>
      </c>
      <c r="W74" s="2">
        <f t="shared" si="20"/>
        <v>189.24126290000001</v>
      </c>
      <c r="X74" s="2">
        <f t="shared" si="21"/>
        <v>2912.3424229000002</v>
      </c>
      <c r="Y74" s="2">
        <v>-10.455310000000001</v>
      </c>
      <c r="Z74" s="2">
        <v>-26.533729999999998</v>
      </c>
      <c r="AA74" s="2">
        <v>167.35472999999999</v>
      </c>
      <c r="AB74" s="2">
        <v>136.35744</v>
      </c>
      <c r="AC74" s="2">
        <v>137.42511999999999</v>
      </c>
      <c r="AD74" s="2">
        <v>145.16636</v>
      </c>
      <c r="AE74" s="2">
        <v>153.47888</v>
      </c>
      <c r="AF74" s="2">
        <v>137.18915999999999</v>
      </c>
      <c r="AG74" s="2">
        <v>84.543840000000003</v>
      </c>
      <c r="AH74" s="2">
        <v>297.14819999999997</v>
      </c>
      <c r="AI74" s="2">
        <v>63.398725800000001</v>
      </c>
      <c r="AJ74" s="2">
        <v>0</v>
      </c>
      <c r="AK74" s="2">
        <f t="shared" si="22"/>
        <v>130.36568999999997</v>
      </c>
      <c r="AL74" s="2">
        <f t="shared" si="23"/>
        <v>418.94891999999999</v>
      </c>
      <c r="AM74" s="2">
        <f t="shared" si="24"/>
        <v>375.21188000000001</v>
      </c>
      <c r="AN74" s="2">
        <f t="shared" si="25"/>
        <v>360.5469258</v>
      </c>
      <c r="AO74" s="2">
        <f t="shared" si="26"/>
        <v>63.398725800000001</v>
      </c>
      <c r="AP74" s="2">
        <f t="shared" si="27"/>
        <v>1285.0734158</v>
      </c>
    </row>
    <row r="75" spans="1:42" hidden="1" x14ac:dyDescent="0.55000000000000004">
      <c r="A75" t="s">
        <v>31</v>
      </c>
      <c r="B75" s="4">
        <v>9940532944</v>
      </c>
      <c r="C75" t="s">
        <v>121</v>
      </c>
      <c r="D75" t="s">
        <v>145</v>
      </c>
      <c r="E75" t="s">
        <v>153</v>
      </c>
      <c r="F75" t="s">
        <v>132</v>
      </c>
      <c r="G75" s="2">
        <v>0</v>
      </c>
      <c r="H75" s="2">
        <v>0</v>
      </c>
      <c r="I75" s="2">
        <v>247.07932</v>
      </c>
      <c r="J75" s="2">
        <v>113.1262</v>
      </c>
      <c r="K75" s="2">
        <v>129.01288</v>
      </c>
      <c r="L75" s="2">
        <v>136.51140000000001</v>
      </c>
      <c r="M75" s="2">
        <v>146.27696</v>
      </c>
      <c r="N75" s="2">
        <v>136.45923999999999</v>
      </c>
      <c r="O75" s="2">
        <v>127.15219999999999</v>
      </c>
      <c r="P75" s="2">
        <v>222.79392000000001</v>
      </c>
      <c r="Q75" s="2">
        <v>77.295727099999993</v>
      </c>
      <c r="R75" s="2">
        <v>0</v>
      </c>
      <c r="S75" s="2">
        <f t="shared" si="16"/>
        <v>247.07932</v>
      </c>
      <c r="T75" s="2">
        <f t="shared" si="17"/>
        <v>378.65048000000002</v>
      </c>
      <c r="U75" s="2">
        <f t="shared" si="18"/>
        <v>409.88839999999999</v>
      </c>
      <c r="V75" s="2">
        <f t="shared" si="19"/>
        <v>300.08964709999998</v>
      </c>
      <c r="W75" s="2">
        <f t="shared" si="20"/>
        <v>77.295727099999993</v>
      </c>
      <c r="X75" s="2">
        <f t="shared" si="21"/>
        <v>1335.7078471</v>
      </c>
      <c r="Y75" s="2">
        <v>-10.455310000000001</v>
      </c>
      <c r="Z75" s="2">
        <v>-26.533729999999998</v>
      </c>
      <c r="AA75" s="2">
        <v>167.35472999999999</v>
      </c>
      <c r="AB75" s="2">
        <v>63.723799999999997</v>
      </c>
      <c r="AC75" s="2">
        <v>66.319760000000002</v>
      </c>
      <c r="AD75" s="2">
        <v>70.087999999999994</v>
      </c>
      <c r="AE75" s="2">
        <v>74.373679999999993</v>
      </c>
      <c r="AF75" s="2">
        <v>67.277879999999996</v>
      </c>
      <c r="AG75" s="2">
        <v>47.479759999999999</v>
      </c>
      <c r="AH75" s="2">
        <v>135.54884000000001</v>
      </c>
      <c r="AI75" s="2">
        <v>25.8952542</v>
      </c>
      <c r="AJ75" s="2">
        <v>0</v>
      </c>
      <c r="AK75" s="2">
        <f t="shared" si="22"/>
        <v>130.36568999999997</v>
      </c>
      <c r="AL75" s="2">
        <f t="shared" si="23"/>
        <v>200.13156000000001</v>
      </c>
      <c r="AM75" s="2">
        <f t="shared" si="24"/>
        <v>189.13131999999999</v>
      </c>
      <c r="AN75" s="2">
        <f t="shared" si="25"/>
        <v>161.44409420000002</v>
      </c>
      <c r="AO75" s="2">
        <f t="shared" si="26"/>
        <v>25.8952542</v>
      </c>
      <c r="AP75" s="2">
        <f t="shared" si="27"/>
        <v>681.07266419999996</v>
      </c>
    </row>
    <row r="76" spans="1:42" hidden="1" x14ac:dyDescent="0.55000000000000004">
      <c r="A76" t="s">
        <v>31</v>
      </c>
      <c r="B76" s="4">
        <v>9940547078</v>
      </c>
      <c r="C76" t="s">
        <v>53</v>
      </c>
      <c r="D76" t="s">
        <v>80</v>
      </c>
      <c r="E76" t="s">
        <v>150</v>
      </c>
      <c r="F76" t="s">
        <v>131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f t="shared" si="16"/>
        <v>0</v>
      </c>
      <c r="T76" s="2">
        <f t="shared" si="17"/>
        <v>0</v>
      </c>
      <c r="U76" s="2">
        <f t="shared" si="18"/>
        <v>0</v>
      </c>
      <c r="V76" s="2">
        <f t="shared" si="19"/>
        <v>0</v>
      </c>
      <c r="W76" s="2">
        <f t="shared" si="20"/>
        <v>0</v>
      </c>
      <c r="X76" s="2">
        <f t="shared" si="21"/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f t="shared" si="22"/>
        <v>0</v>
      </c>
      <c r="AL76" s="2">
        <f t="shared" si="23"/>
        <v>0</v>
      </c>
      <c r="AM76" s="2">
        <f t="shared" si="24"/>
        <v>0</v>
      </c>
      <c r="AN76" s="2">
        <f t="shared" si="25"/>
        <v>0</v>
      </c>
      <c r="AO76" s="2">
        <f t="shared" si="26"/>
        <v>0</v>
      </c>
      <c r="AP76" s="2">
        <f t="shared" si="27"/>
        <v>0</v>
      </c>
    </row>
    <row r="77" spans="1:42" hidden="1" x14ac:dyDescent="0.55000000000000004">
      <c r="A77" t="s">
        <v>31</v>
      </c>
      <c r="B77" s="4">
        <v>9940547078</v>
      </c>
      <c r="C77" t="s">
        <v>53</v>
      </c>
      <c r="D77" t="s">
        <v>80</v>
      </c>
      <c r="E77" t="s">
        <v>150</v>
      </c>
      <c r="F77" t="s">
        <v>132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f t="shared" si="16"/>
        <v>0</v>
      </c>
      <c r="T77" s="2">
        <f t="shared" si="17"/>
        <v>0</v>
      </c>
      <c r="U77" s="2">
        <f t="shared" si="18"/>
        <v>0</v>
      </c>
      <c r="V77" s="2">
        <f t="shared" si="19"/>
        <v>0</v>
      </c>
      <c r="W77" s="2">
        <f t="shared" si="20"/>
        <v>0</v>
      </c>
      <c r="X77" s="2">
        <f t="shared" si="21"/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f t="shared" si="22"/>
        <v>0</v>
      </c>
      <c r="AL77" s="2">
        <f t="shared" si="23"/>
        <v>0</v>
      </c>
      <c r="AM77" s="2">
        <f t="shared" si="24"/>
        <v>0</v>
      </c>
      <c r="AN77" s="2">
        <f t="shared" si="25"/>
        <v>0</v>
      </c>
      <c r="AO77" s="2">
        <f t="shared" si="26"/>
        <v>0</v>
      </c>
      <c r="AP77" s="2">
        <f t="shared" si="27"/>
        <v>0</v>
      </c>
    </row>
    <row r="78" spans="1:42" x14ac:dyDescent="0.55000000000000004">
      <c r="A78" t="s">
        <v>31</v>
      </c>
      <c r="B78" s="4">
        <v>9940547078</v>
      </c>
      <c r="C78" t="s">
        <v>53</v>
      </c>
      <c r="D78" t="s">
        <v>80</v>
      </c>
      <c r="E78" t="s">
        <v>150</v>
      </c>
      <c r="F78" t="s">
        <v>26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f t="shared" si="16"/>
        <v>0</v>
      </c>
      <c r="T78" s="2">
        <f t="shared" si="17"/>
        <v>0</v>
      </c>
      <c r="U78" s="2">
        <f t="shared" si="18"/>
        <v>0</v>
      </c>
      <c r="V78" s="2">
        <f t="shared" si="19"/>
        <v>0</v>
      </c>
      <c r="W78" s="2">
        <f t="shared" si="20"/>
        <v>0</v>
      </c>
      <c r="X78" s="2">
        <f t="shared" si="21"/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f t="shared" si="22"/>
        <v>0</v>
      </c>
      <c r="AL78" s="2">
        <f t="shared" si="23"/>
        <v>0</v>
      </c>
      <c r="AM78" s="2">
        <f t="shared" si="24"/>
        <v>0</v>
      </c>
      <c r="AN78" s="2">
        <f t="shared" si="25"/>
        <v>0</v>
      </c>
      <c r="AO78" s="2">
        <f t="shared" si="26"/>
        <v>0</v>
      </c>
      <c r="AP78" s="2">
        <f t="shared" si="27"/>
        <v>0</v>
      </c>
    </row>
    <row r="79" spans="1:42" hidden="1" x14ac:dyDescent="0.55000000000000004">
      <c r="A79" t="s">
        <v>31</v>
      </c>
      <c r="B79" s="4">
        <v>9940547078</v>
      </c>
      <c r="C79" t="s">
        <v>53</v>
      </c>
      <c r="D79" t="s">
        <v>80</v>
      </c>
      <c r="E79" t="s">
        <v>150</v>
      </c>
      <c r="F79" t="s">
        <v>133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f t="shared" si="16"/>
        <v>0</v>
      </c>
      <c r="T79" s="2">
        <f t="shared" si="17"/>
        <v>0</v>
      </c>
      <c r="U79" s="2">
        <f t="shared" si="18"/>
        <v>0</v>
      </c>
      <c r="V79" s="2">
        <f t="shared" si="19"/>
        <v>0</v>
      </c>
      <c r="W79" s="2">
        <f t="shared" si="20"/>
        <v>0</v>
      </c>
      <c r="X79" s="2">
        <f t="shared" si="21"/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f t="shared" si="22"/>
        <v>0</v>
      </c>
      <c r="AL79" s="2">
        <f t="shared" si="23"/>
        <v>0</v>
      </c>
      <c r="AM79" s="2">
        <f t="shared" si="24"/>
        <v>0</v>
      </c>
      <c r="AN79" s="2">
        <f t="shared" si="25"/>
        <v>0</v>
      </c>
      <c r="AO79" s="2">
        <f t="shared" si="26"/>
        <v>0</v>
      </c>
      <c r="AP79" s="2">
        <f t="shared" si="27"/>
        <v>0</v>
      </c>
    </row>
    <row r="80" spans="1:42" hidden="1" x14ac:dyDescent="0.55000000000000004">
      <c r="A80" t="s">
        <v>31</v>
      </c>
      <c r="B80" s="4">
        <v>9940547078</v>
      </c>
      <c r="C80" t="s">
        <v>53</v>
      </c>
      <c r="D80" t="s">
        <v>80</v>
      </c>
      <c r="E80" t="s">
        <v>150</v>
      </c>
      <c r="F80" t="s">
        <v>135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f t="shared" si="16"/>
        <v>0</v>
      </c>
      <c r="T80" s="2">
        <f t="shared" si="17"/>
        <v>0</v>
      </c>
      <c r="U80" s="2">
        <f t="shared" si="18"/>
        <v>0</v>
      </c>
      <c r="V80" s="2">
        <f t="shared" si="19"/>
        <v>0</v>
      </c>
      <c r="W80" s="2">
        <f t="shared" si="20"/>
        <v>0</v>
      </c>
      <c r="X80" s="2">
        <f t="shared" si="21"/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f t="shared" si="22"/>
        <v>0</v>
      </c>
      <c r="AL80" s="2">
        <f t="shared" si="23"/>
        <v>0</v>
      </c>
      <c r="AM80" s="2">
        <f t="shared" si="24"/>
        <v>0</v>
      </c>
      <c r="AN80" s="2">
        <f t="shared" si="25"/>
        <v>0</v>
      </c>
      <c r="AO80" s="2">
        <f t="shared" si="26"/>
        <v>0</v>
      </c>
      <c r="AP80" s="2">
        <f t="shared" si="27"/>
        <v>0</v>
      </c>
    </row>
    <row r="81" spans="1:42" hidden="1" x14ac:dyDescent="0.55000000000000004">
      <c r="A81" t="s">
        <v>31</v>
      </c>
      <c r="B81" s="4">
        <v>9940548855</v>
      </c>
      <c r="C81" t="s">
        <v>54</v>
      </c>
      <c r="D81" t="s">
        <v>72</v>
      </c>
      <c r="E81" t="s">
        <v>151</v>
      </c>
      <c r="F81" t="s">
        <v>131</v>
      </c>
      <c r="G81" s="2"/>
      <c r="H81" s="2">
        <v>148.96360000000001</v>
      </c>
      <c r="I81" s="2">
        <v>256.13357999999999</v>
      </c>
      <c r="J81" s="2">
        <v>199.40317999999999</v>
      </c>
      <c r="K81" s="2">
        <v>317.40874000000002</v>
      </c>
      <c r="L81" s="2">
        <v>282.41678000000002</v>
      </c>
      <c r="M81" s="2">
        <v>158.93456</v>
      </c>
      <c r="N81" s="2">
        <v>220.26130000000001</v>
      </c>
      <c r="O81" s="2">
        <v>141.77145999999999</v>
      </c>
      <c r="P81" s="2">
        <v>33.264600000000002</v>
      </c>
      <c r="Q81" s="2">
        <v>0</v>
      </c>
      <c r="R81" s="2">
        <v>0</v>
      </c>
      <c r="S81" s="2">
        <f t="shared" si="16"/>
        <v>405.09717999999998</v>
      </c>
      <c r="T81" s="2">
        <f t="shared" si="17"/>
        <v>799.2287</v>
      </c>
      <c r="U81" s="2">
        <f t="shared" si="18"/>
        <v>520.96731999999997</v>
      </c>
      <c r="V81" s="2">
        <f t="shared" si="19"/>
        <v>33.264600000000002</v>
      </c>
      <c r="W81" s="2">
        <f t="shared" si="20"/>
        <v>0</v>
      </c>
      <c r="X81" s="2">
        <f t="shared" si="21"/>
        <v>1758.5577999999998</v>
      </c>
      <c r="Y81" s="2"/>
      <c r="Z81" s="2">
        <v>63.667459999999998</v>
      </c>
      <c r="AA81" s="2">
        <v>124.22172</v>
      </c>
      <c r="AB81" s="2">
        <v>82.456199999999995</v>
      </c>
      <c r="AC81" s="2">
        <v>176.38087999999999</v>
      </c>
      <c r="AD81" s="2">
        <v>143.39599999999999</v>
      </c>
      <c r="AE81" s="2">
        <v>-6.91282</v>
      </c>
      <c r="AF81" s="2">
        <v>144.08860000000001</v>
      </c>
      <c r="AG81" s="2">
        <v>75.345420000000004</v>
      </c>
      <c r="AH81" s="2">
        <v>-8.6490799999999997</v>
      </c>
      <c r="AI81" s="2">
        <v>-30.042654899999999</v>
      </c>
      <c r="AJ81" s="2">
        <v>-6.1665324000000004</v>
      </c>
      <c r="AK81" s="2">
        <f t="shared" si="22"/>
        <v>187.88918000000001</v>
      </c>
      <c r="AL81" s="2">
        <f t="shared" si="23"/>
        <v>402.23307999999997</v>
      </c>
      <c r="AM81" s="2">
        <f t="shared" si="24"/>
        <v>212.52120000000002</v>
      </c>
      <c r="AN81" s="2">
        <f t="shared" si="25"/>
        <v>-44.858267300000001</v>
      </c>
      <c r="AO81" s="2">
        <f t="shared" si="26"/>
        <v>-36.209187299999996</v>
      </c>
      <c r="AP81" s="2">
        <f t="shared" si="27"/>
        <v>757.78519270000004</v>
      </c>
    </row>
    <row r="82" spans="1:42" hidden="1" x14ac:dyDescent="0.55000000000000004">
      <c r="A82" t="s">
        <v>31</v>
      </c>
      <c r="B82" s="4">
        <v>9940548855</v>
      </c>
      <c r="C82" t="s">
        <v>54</v>
      </c>
      <c r="D82" t="s">
        <v>72</v>
      </c>
      <c r="E82" t="s">
        <v>151</v>
      </c>
      <c r="F82" t="s">
        <v>26</v>
      </c>
      <c r="G82" s="2"/>
      <c r="H82" s="2">
        <v>11.21232</v>
      </c>
      <c r="I82" s="2">
        <v>19.278880000000001</v>
      </c>
      <c r="J82" s="2">
        <v>15.008839999999999</v>
      </c>
      <c r="K82" s="2">
        <v>23.890979999999999</v>
      </c>
      <c r="L82" s="2">
        <v>21.257180000000002</v>
      </c>
      <c r="M82" s="2">
        <v>11.962820000000001</v>
      </c>
      <c r="N82" s="2">
        <v>16.578800000000001</v>
      </c>
      <c r="O82" s="2">
        <v>10.67098</v>
      </c>
      <c r="P82" s="2">
        <v>2.5038</v>
      </c>
      <c r="Q82" s="2">
        <v>0</v>
      </c>
      <c r="R82" s="2">
        <v>0</v>
      </c>
      <c r="S82" s="2">
        <f t="shared" si="16"/>
        <v>30.491199999999999</v>
      </c>
      <c r="T82" s="2">
        <f t="shared" si="17"/>
        <v>60.156999999999996</v>
      </c>
      <c r="U82" s="2">
        <f t="shared" si="18"/>
        <v>39.212600000000002</v>
      </c>
      <c r="V82" s="2">
        <f t="shared" si="19"/>
        <v>2.5038</v>
      </c>
      <c r="W82" s="2">
        <f t="shared" si="20"/>
        <v>0</v>
      </c>
      <c r="X82" s="2">
        <f t="shared" si="21"/>
        <v>132.36460000000002</v>
      </c>
      <c r="Y82" s="2"/>
      <c r="Z82" s="2">
        <v>4.7921800000000001</v>
      </c>
      <c r="AA82" s="2">
        <v>9.3499800000000004</v>
      </c>
      <c r="AB82" s="2">
        <v>6.2062799999999996</v>
      </c>
      <c r="AC82" s="2">
        <v>13.27594</v>
      </c>
      <c r="AD82" s="2">
        <v>10.793200000000001</v>
      </c>
      <c r="AE82" s="2">
        <v>-0.52036000000000004</v>
      </c>
      <c r="AF82" s="2">
        <v>10.845280000000001</v>
      </c>
      <c r="AG82" s="2">
        <v>5.6711</v>
      </c>
      <c r="AH82" s="2">
        <v>-0.65102000000000004</v>
      </c>
      <c r="AI82" s="2">
        <v>-2.2612751000000002</v>
      </c>
      <c r="AJ82" s="2">
        <v>-0.46414759999999999</v>
      </c>
      <c r="AK82" s="2">
        <f t="shared" si="22"/>
        <v>14.142160000000001</v>
      </c>
      <c r="AL82" s="2">
        <f t="shared" si="23"/>
        <v>30.275419999999997</v>
      </c>
      <c r="AM82" s="2">
        <f t="shared" si="24"/>
        <v>15.996020000000001</v>
      </c>
      <c r="AN82" s="2">
        <f t="shared" si="25"/>
        <v>-3.3764427000000001</v>
      </c>
      <c r="AO82" s="2">
        <f t="shared" si="26"/>
        <v>-2.7254227000000002</v>
      </c>
      <c r="AP82" s="2">
        <f t="shared" si="27"/>
        <v>57.037157300000004</v>
      </c>
    </row>
    <row r="83" spans="1:42" hidden="1" x14ac:dyDescent="0.55000000000000004">
      <c r="A83" t="s">
        <v>31</v>
      </c>
      <c r="B83" s="4">
        <v>9940548949</v>
      </c>
      <c r="C83" t="s">
        <v>122</v>
      </c>
      <c r="D83" t="s">
        <v>83</v>
      </c>
      <c r="E83" t="s">
        <v>151</v>
      </c>
      <c r="F83" t="s">
        <v>131</v>
      </c>
      <c r="G83" s="2"/>
      <c r="H83" s="2">
        <v>5.9672099999999997</v>
      </c>
      <c r="I83" s="2">
        <v>8.0134299999999996</v>
      </c>
      <c r="J83" s="2">
        <v>7.9950799999999997</v>
      </c>
      <c r="K83" s="2">
        <v>-3.5589999999999997E-2</v>
      </c>
      <c r="L83" s="2">
        <v>1.04E-2</v>
      </c>
      <c r="M83" s="2">
        <v>0</v>
      </c>
      <c r="N83" s="2">
        <v>0</v>
      </c>
      <c r="O83" s="2"/>
      <c r="P83" s="2"/>
      <c r="Q83" s="2"/>
      <c r="R83" s="2"/>
      <c r="S83" s="2">
        <f t="shared" si="16"/>
        <v>13.980639999999999</v>
      </c>
      <c r="T83" s="2">
        <f t="shared" si="17"/>
        <v>7.9698899999999995</v>
      </c>
      <c r="U83" s="2">
        <f t="shared" si="18"/>
        <v>0</v>
      </c>
      <c r="V83" s="2">
        <f t="shared" si="19"/>
        <v>0</v>
      </c>
      <c r="W83" s="2">
        <f t="shared" si="20"/>
        <v>0</v>
      </c>
      <c r="X83" s="2">
        <f t="shared" si="21"/>
        <v>21.950530000000001</v>
      </c>
      <c r="Y83" s="2"/>
      <c r="Z83" s="2">
        <v>3.1259100000000002</v>
      </c>
      <c r="AA83" s="2">
        <v>3.4018999999999999</v>
      </c>
      <c r="AB83" s="2">
        <v>3.4026200000000002</v>
      </c>
      <c r="AC83" s="2">
        <v>-5.2712500000000002</v>
      </c>
      <c r="AD83" s="2">
        <v>-2.3241100000000001</v>
      </c>
      <c r="AE83" s="2">
        <v>0</v>
      </c>
      <c r="AF83" s="2">
        <v>0</v>
      </c>
      <c r="AG83" s="2"/>
      <c r="AH83" s="2"/>
      <c r="AI83" s="2"/>
      <c r="AJ83" s="2"/>
      <c r="AK83" s="2">
        <f t="shared" si="22"/>
        <v>6.5278100000000006</v>
      </c>
      <c r="AL83" s="2">
        <f t="shared" si="23"/>
        <v>-4.1927400000000006</v>
      </c>
      <c r="AM83" s="2">
        <f t="shared" si="24"/>
        <v>0</v>
      </c>
      <c r="AN83" s="2">
        <f t="shared" si="25"/>
        <v>0</v>
      </c>
      <c r="AO83" s="2">
        <f t="shared" si="26"/>
        <v>0</v>
      </c>
      <c r="AP83" s="2">
        <f t="shared" si="27"/>
        <v>2.33507</v>
      </c>
    </row>
    <row r="84" spans="1:42" hidden="1" x14ac:dyDescent="0.55000000000000004">
      <c r="A84" t="s">
        <v>31</v>
      </c>
      <c r="B84" s="4">
        <v>9940551082</v>
      </c>
      <c r="C84" t="s">
        <v>55</v>
      </c>
      <c r="D84" t="s">
        <v>80</v>
      </c>
      <c r="E84" t="s">
        <v>155</v>
      </c>
      <c r="F84" t="s">
        <v>26</v>
      </c>
      <c r="G84" s="2"/>
      <c r="H84" s="2">
        <v>25.004110000000001</v>
      </c>
      <c r="I84" s="2">
        <v>26.683689999999999</v>
      </c>
      <c r="J84" s="2">
        <v>24.748860000000001</v>
      </c>
      <c r="K84" s="2">
        <v>-0.13292999999999999</v>
      </c>
      <c r="L84" s="2">
        <v>0</v>
      </c>
      <c r="M84" s="2">
        <v>-2.3999999999999998E-3</v>
      </c>
      <c r="N84" s="2">
        <v>-6.7970000000000003E-2</v>
      </c>
      <c r="O84" s="2"/>
      <c r="P84" s="2">
        <v>0</v>
      </c>
      <c r="Q84" s="2"/>
      <c r="R84" s="2"/>
      <c r="S84" s="2">
        <f t="shared" si="16"/>
        <v>51.687799999999996</v>
      </c>
      <c r="T84" s="2">
        <f t="shared" si="17"/>
        <v>24.615929999999999</v>
      </c>
      <c r="U84" s="2">
        <f t="shared" si="18"/>
        <v>-7.0370000000000002E-2</v>
      </c>
      <c r="V84" s="2">
        <f t="shared" si="19"/>
        <v>0</v>
      </c>
      <c r="W84" s="2">
        <f t="shared" si="20"/>
        <v>0</v>
      </c>
      <c r="X84" s="2">
        <f t="shared" si="21"/>
        <v>76.233360000000005</v>
      </c>
      <c r="Y84" s="2"/>
      <c r="Z84" s="2">
        <v>8.6086799999999997</v>
      </c>
      <c r="AA84" s="2">
        <v>8.5827899999999993</v>
      </c>
      <c r="AB84" s="2">
        <v>6.0229600000000003</v>
      </c>
      <c r="AC84" s="2">
        <v>-0.65561000000000003</v>
      </c>
      <c r="AD84" s="2">
        <v>-0.41547000000000001</v>
      </c>
      <c r="AE84" s="2">
        <v>-2.3999999999999998E-3</v>
      </c>
      <c r="AF84" s="2">
        <v>-6.7970000000000003E-2</v>
      </c>
      <c r="AG84" s="2"/>
      <c r="AH84" s="2">
        <v>0</v>
      </c>
      <c r="AI84" s="2"/>
      <c r="AJ84" s="2"/>
      <c r="AK84" s="2">
        <f t="shared" si="22"/>
        <v>17.191469999999999</v>
      </c>
      <c r="AL84" s="2">
        <f t="shared" si="23"/>
        <v>4.9518800000000001</v>
      </c>
      <c r="AM84" s="2">
        <f t="shared" si="24"/>
        <v>-7.0370000000000002E-2</v>
      </c>
      <c r="AN84" s="2">
        <f t="shared" si="25"/>
        <v>0</v>
      </c>
      <c r="AO84" s="2">
        <f t="shared" si="26"/>
        <v>0</v>
      </c>
      <c r="AP84" s="2">
        <f t="shared" si="27"/>
        <v>22.072979999999998</v>
      </c>
    </row>
    <row r="85" spans="1:42" hidden="1" x14ac:dyDescent="0.55000000000000004">
      <c r="A85" t="s">
        <v>31</v>
      </c>
      <c r="B85" s="4">
        <v>9940447770</v>
      </c>
      <c r="C85" t="s">
        <v>123</v>
      </c>
      <c r="D85" t="s">
        <v>143</v>
      </c>
      <c r="E85" t="s">
        <v>153</v>
      </c>
      <c r="F85" t="s">
        <v>131</v>
      </c>
      <c r="G85" s="2"/>
      <c r="H85" s="2"/>
      <c r="I85" s="2"/>
      <c r="J85" s="2">
        <v>175.13758000000001</v>
      </c>
      <c r="K85" s="2">
        <v>119.81146</v>
      </c>
      <c r="L85" s="2">
        <v>114.10616</v>
      </c>
      <c r="M85" s="2">
        <v>125.51676</v>
      </c>
      <c r="N85" s="2">
        <v>163.25595999999999</v>
      </c>
      <c r="O85" s="2">
        <v>155.82651999999999</v>
      </c>
      <c r="P85" s="2">
        <v>163.24686</v>
      </c>
      <c r="Q85" s="2">
        <v>163.25855999999999</v>
      </c>
      <c r="R85" s="2">
        <v>155.26367999999999</v>
      </c>
      <c r="S85" s="2">
        <f t="shared" si="16"/>
        <v>0</v>
      </c>
      <c r="T85" s="2">
        <f t="shared" si="17"/>
        <v>409.05520000000001</v>
      </c>
      <c r="U85" s="2">
        <f t="shared" si="18"/>
        <v>444.59924000000001</v>
      </c>
      <c r="V85" s="2">
        <f t="shared" si="19"/>
        <v>481.76909999999998</v>
      </c>
      <c r="W85" s="2">
        <f t="shared" si="20"/>
        <v>318.52224000000001</v>
      </c>
      <c r="X85" s="2">
        <f t="shared" si="21"/>
        <v>1335.42354</v>
      </c>
      <c r="Y85" s="2"/>
      <c r="Z85" s="2"/>
      <c r="AA85" s="2"/>
      <c r="AB85" s="2">
        <v>71.270560000000003</v>
      </c>
      <c r="AC85" s="2">
        <v>27.933579999999999</v>
      </c>
      <c r="AD85" s="2">
        <v>40.041539999999998</v>
      </c>
      <c r="AE85" s="2">
        <v>37.545780000000001</v>
      </c>
      <c r="AF85" s="2">
        <v>57.145040000000002</v>
      </c>
      <c r="AG85" s="2">
        <v>28.61374</v>
      </c>
      <c r="AH85" s="2">
        <v>46.361660000000001</v>
      </c>
      <c r="AI85" s="2">
        <v>66.922380000000004</v>
      </c>
      <c r="AJ85" s="2">
        <v>50.720669999999998</v>
      </c>
      <c r="AK85" s="2">
        <f t="shared" si="22"/>
        <v>0</v>
      </c>
      <c r="AL85" s="2">
        <f t="shared" si="23"/>
        <v>139.24567999999999</v>
      </c>
      <c r="AM85" s="2">
        <f t="shared" si="24"/>
        <v>123.30456000000001</v>
      </c>
      <c r="AN85" s="2">
        <f t="shared" si="25"/>
        <v>164.00470999999999</v>
      </c>
      <c r="AO85" s="2">
        <f t="shared" si="26"/>
        <v>117.64305</v>
      </c>
      <c r="AP85" s="2">
        <f t="shared" si="27"/>
        <v>426.55495000000002</v>
      </c>
    </row>
    <row r="86" spans="1:42" x14ac:dyDescent="0.55000000000000004">
      <c r="A86" t="s">
        <v>31</v>
      </c>
      <c r="B86" s="4">
        <v>9940542499</v>
      </c>
      <c r="C86" t="s">
        <v>56</v>
      </c>
      <c r="D86" t="s">
        <v>88</v>
      </c>
      <c r="E86" t="s">
        <v>150</v>
      </c>
      <c r="F86" t="s">
        <v>26</v>
      </c>
      <c r="G86" s="2"/>
      <c r="H86" s="2"/>
      <c r="I86" s="2"/>
      <c r="J86" s="2">
        <v>38.813809999999997</v>
      </c>
      <c r="K86" s="2">
        <v>35.363779999999998</v>
      </c>
      <c r="L86" s="2">
        <v>43.896749999999997</v>
      </c>
      <c r="M86" s="2">
        <v>20.843540000000001</v>
      </c>
      <c r="N86" s="2">
        <v>0.16375999999999999</v>
      </c>
      <c r="O86" s="2">
        <v>6.4599999999999996E-3</v>
      </c>
      <c r="P86" s="2">
        <v>6.1799999999999997E-3</v>
      </c>
      <c r="Q86" s="2">
        <v>6.985881</v>
      </c>
      <c r="R86" s="2">
        <v>0</v>
      </c>
      <c r="S86" s="2">
        <f t="shared" si="16"/>
        <v>0</v>
      </c>
      <c r="T86" s="2">
        <f t="shared" si="17"/>
        <v>118.07433999999999</v>
      </c>
      <c r="U86" s="2">
        <f t="shared" si="18"/>
        <v>21.013760000000001</v>
      </c>
      <c r="V86" s="2">
        <f t="shared" si="19"/>
        <v>6.9920609999999996</v>
      </c>
      <c r="W86" s="2">
        <f t="shared" si="20"/>
        <v>6.985881</v>
      </c>
      <c r="X86" s="2">
        <f t="shared" si="21"/>
        <v>146.080161</v>
      </c>
      <c r="Y86" s="2"/>
      <c r="Z86" s="2"/>
      <c r="AA86" s="2"/>
      <c r="AB86" s="2">
        <v>15.24663</v>
      </c>
      <c r="AC86" s="2">
        <v>11.44868</v>
      </c>
      <c r="AD86" s="2">
        <v>19.984839999999998</v>
      </c>
      <c r="AE86" s="2">
        <v>8.3426299999999998</v>
      </c>
      <c r="AF86" s="2">
        <v>-0.81964000000000004</v>
      </c>
      <c r="AG86" s="2">
        <v>-1.02417</v>
      </c>
      <c r="AH86" s="2">
        <v>0.20677000000000001</v>
      </c>
      <c r="AI86" s="2">
        <v>2.6238608999999999</v>
      </c>
      <c r="AJ86" s="2">
        <v>0</v>
      </c>
      <c r="AK86" s="2">
        <f t="shared" si="22"/>
        <v>0</v>
      </c>
      <c r="AL86" s="2">
        <f t="shared" si="23"/>
        <v>46.680149999999998</v>
      </c>
      <c r="AM86" s="2">
        <f t="shared" si="24"/>
        <v>6.4988200000000003</v>
      </c>
      <c r="AN86" s="2">
        <f t="shared" si="25"/>
        <v>2.8306309000000001</v>
      </c>
      <c r="AO86" s="2">
        <f t="shared" si="26"/>
        <v>2.6238608999999999</v>
      </c>
      <c r="AP86" s="2">
        <f t="shared" si="27"/>
        <v>56.009600900000002</v>
      </c>
    </row>
    <row r="87" spans="1:42" hidden="1" x14ac:dyDescent="0.55000000000000004">
      <c r="A87" t="s">
        <v>31</v>
      </c>
      <c r="B87" s="4">
        <v>9940575134</v>
      </c>
      <c r="C87" t="s">
        <v>124</v>
      </c>
      <c r="D87" t="s">
        <v>146</v>
      </c>
      <c r="E87" t="s">
        <v>151</v>
      </c>
      <c r="F87" t="s">
        <v>131</v>
      </c>
      <c r="G87" s="2"/>
      <c r="H87" s="2"/>
      <c r="I87" s="2"/>
      <c r="J87" s="2"/>
      <c r="K87" s="2"/>
      <c r="L87" s="2"/>
      <c r="M87" s="2"/>
      <c r="N87" s="2"/>
      <c r="O87" s="2">
        <v>0</v>
      </c>
      <c r="P87" s="2">
        <v>284.57628999999997</v>
      </c>
      <c r="Q87" s="2">
        <v>135.03147999999999</v>
      </c>
      <c r="R87" s="2">
        <v>5.2115799999999997</v>
      </c>
      <c r="S87" s="2">
        <f t="shared" si="16"/>
        <v>0</v>
      </c>
      <c r="T87" s="2">
        <f t="shared" si="17"/>
        <v>0</v>
      </c>
      <c r="U87" s="2">
        <f t="shared" si="18"/>
        <v>0</v>
      </c>
      <c r="V87" s="2">
        <f t="shared" si="19"/>
        <v>424.81934999999999</v>
      </c>
      <c r="W87" s="2">
        <f t="shared" si="20"/>
        <v>140.24305999999999</v>
      </c>
      <c r="X87" s="2">
        <f t="shared" si="21"/>
        <v>424.81934999999999</v>
      </c>
      <c r="Y87" s="2"/>
      <c r="Z87" s="2"/>
      <c r="AA87" s="2"/>
      <c r="AB87" s="2"/>
      <c r="AC87" s="2"/>
      <c r="AD87" s="2"/>
      <c r="AE87" s="2"/>
      <c r="AF87" s="2"/>
      <c r="AG87" s="2">
        <v>0</v>
      </c>
      <c r="AH87" s="2">
        <v>152.15357</v>
      </c>
      <c r="AI87" s="2">
        <v>41.230179999999997</v>
      </c>
      <c r="AJ87" s="2">
        <v>-12.933</v>
      </c>
      <c r="AK87" s="2">
        <f t="shared" si="22"/>
        <v>0</v>
      </c>
      <c r="AL87" s="2">
        <f t="shared" si="23"/>
        <v>0</v>
      </c>
      <c r="AM87" s="2">
        <f t="shared" si="24"/>
        <v>0</v>
      </c>
      <c r="AN87" s="2">
        <f t="shared" si="25"/>
        <v>180.45075</v>
      </c>
      <c r="AO87" s="2">
        <f t="shared" si="26"/>
        <v>28.297179999999997</v>
      </c>
      <c r="AP87" s="2">
        <f t="shared" si="27"/>
        <v>180.45075</v>
      </c>
    </row>
    <row r="88" spans="1:42" hidden="1" x14ac:dyDescent="0.55000000000000004">
      <c r="A88" t="s">
        <v>31</v>
      </c>
      <c r="B88" s="4">
        <v>9940397792</v>
      </c>
      <c r="C88" t="s">
        <v>57</v>
      </c>
      <c r="D88" t="s">
        <v>90</v>
      </c>
      <c r="E88" t="s">
        <v>154</v>
      </c>
      <c r="F88" t="s">
        <v>131</v>
      </c>
      <c r="G88" s="2"/>
      <c r="H88" s="2"/>
      <c r="I88" s="2"/>
      <c r="J88" s="2"/>
      <c r="K88" s="2"/>
      <c r="L88" s="2">
        <v>0.57160999999999995</v>
      </c>
      <c r="M88" s="2">
        <v>0.57699</v>
      </c>
      <c r="N88" s="2">
        <v>0.83703000000000005</v>
      </c>
      <c r="O88" s="2">
        <v>0.70601999999999998</v>
      </c>
      <c r="P88" s="2">
        <v>1.0819000000000001</v>
      </c>
      <c r="Q88" s="2">
        <v>1.1152987560000001</v>
      </c>
      <c r="R88" s="2">
        <v>0.92675700000000005</v>
      </c>
      <c r="S88" s="2">
        <f t="shared" si="16"/>
        <v>0</v>
      </c>
      <c r="T88" s="2">
        <f t="shared" si="17"/>
        <v>0.57160999999999995</v>
      </c>
      <c r="U88" s="2">
        <f t="shared" si="18"/>
        <v>2.1200399999999999</v>
      </c>
      <c r="V88" s="2">
        <f t="shared" si="19"/>
        <v>3.123955756</v>
      </c>
      <c r="W88" s="2">
        <f t="shared" si="20"/>
        <v>2.0420557559999999</v>
      </c>
      <c r="X88" s="2">
        <f t="shared" si="21"/>
        <v>5.8156057560000001</v>
      </c>
      <c r="Y88" s="2"/>
      <c r="Z88" s="2"/>
      <c r="AA88" s="2"/>
      <c r="AB88" s="2"/>
      <c r="AC88" s="2"/>
      <c r="AD88" s="2">
        <v>0.25789000000000001</v>
      </c>
      <c r="AE88" s="2">
        <v>0.14354</v>
      </c>
      <c r="AF88" s="2">
        <v>0.36363000000000001</v>
      </c>
      <c r="AG88" s="2">
        <v>0.26429999999999998</v>
      </c>
      <c r="AH88" s="2">
        <v>0.47119</v>
      </c>
      <c r="AI88" s="2">
        <v>0.37459967999999999</v>
      </c>
      <c r="AJ88" s="2">
        <v>0.30026256000000001</v>
      </c>
      <c r="AK88" s="2">
        <f t="shared" si="22"/>
        <v>0</v>
      </c>
      <c r="AL88" s="2">
        <f t="shared" si="23"/>
        <v>0.25789000000000001</v>
      </c>
      <c r="AM88" s="2">
        <f t="shared" si="24"/>
        <v>0.77146999999999999</v>
      </c>
      <c r="AN88" s="2">
        <f t="shared" si="25"/>
        <v>1.1460522399999999</v>
      </c>
      <c r="AO88" s="2">
        <f t="shared" si="26"/>
        <v>0.67486223999999995</v>
      </c>
      <c r="AP88" s="2">
        <f t="shared" si="27"/>
        <v>2.17541224</v>
      </c>
    </row>
    <row r="89" spans="1:42" hidden="1" x14ac:dyDescent="0.55000000000000004">
      <c r="A89" t="s">
        <v>31</v>
      </c>
      <c r="B89" s="4">
        <v>9940397792</v>
      </c>
      <c r="C89" t="s">
        <v>57</v>
      </c>
      <c r="D89" t="s">
        <v>90</v>
      </c>
      <c r="E89" t="s">
        <v>154</v>
      </c>
      <c r="F89" t="s">
        <v>26</v>
      </c>
      <c r="G89" s="2"/>
      <c r="H89" s="2"/>
      <c r="I89" s="2"/>
      <c r="J89" s="2"/>
      <c r="K89" s="2"/>
      <c r="L89" s="2">
        <v>3.8254000000000001</v>
      </c>
      <c r="M89" s="2">
        <v>3.8613900000000001</v>
      </c>
      <c r="N89" s="2">
        <v>5.6016599999999999</v>
      </c>
      <c r="O89" s="2">
        <v>4.7249400000000001</v>
      </c>
      <c r="P89" s="2">
        <v>7.2403899999999997</v>
      </c>
      <c r="Q89" s="2">
        <v>7.4639224439999996</v>
      </c>
      <c r="R89" s="2">
        <v>6.2021430000000004</v>
      </c>
      <c r="S89" s="2">
        <f t="shared" si="16"/>
        <v>0</v>
      </c>
      <c r="T89" s="2">
        <f t="shared" si="17"/>
        <v>3.8254000000000001</v>
      </c>
      <c r="U89" s="2">
        <f t="shared" si="18"/>
        <v>14.187989999999999</v>
      </c>
      <c r="V89" s="2">
        <f t="shared" si="19"/>
        <v>20.906455443999999</v>
      </c>
      <c r="W89" s="2">
        <f t="shared" si="20"/>
        <v>13.666065444000001</v>
      </c>
      <c r="X89" s="2">
        <f t="shared" si="21"/>
        <v>38.919845444000003</v>
      </c>
      <c r="Y89" s="2"/>
      <c r="Z89" s="2"/>
      <c r="AA89" s="2"/>
      <c r="AB89" s="2"/>
      <c r="AC89" s="2"/>
      <c r="AD89" s="2">
        <v>1.5247900000000001</v>
      </c>
      <c r="AE89" s="2">
        <v>0.68271000000000004</v>
      </c>
      <c r="AF89" s="2">
        <v>2.13009</v>
      </c>
      <c r="AG89" s="2">
        <v>1.48566</v>
      </c>
      <c r="AH89" s="2">
        <v>2.76186</v>
      </c>
      <c r="AI89" s="2">
        <v>2.5069363199999999</v>
      </c>
      <c r="AJ89" s="2">
        <v>2.00944944</v>
      </c>
      <c r="AK89" s="2">
        <f t="shared" si="22"/>
        <v>0</v>
      </c>
      <c r="AL89" s="2">
        <f t="shared" si="23"/>
        <v>1.5247900000000001</v>
      </c>
      <c r="AM89" s="2">
        <f t="shared" si="24"/>
        <v>4.2984600000000004</v>
      </c>
      <c r="AN89" s="2">
        <f t="shared" si="25"/>
        <v>7.2782457599999999</v>
      </c>
      <c r="AO89" s="2">
        <f t="shared" si="26"/>
        <v>4.5163857600000004</v>
      </c>
      <c r="AP89" s="2">
        <f t="shared" si="27"/>
        <v>13.101495760000001</v>
      </c>
    </row>
    <row r="90" spans="1:42" x14ac:dyDescent="0.55000000000000004">
      <c r="A90" t="s">
        <v>31</v>
      </c>
      <c r="B90" s="4">
        <v>9940499510</v>
      </c>
      <c r="C90" t="s">
        <v>58</v>
      </c>
      <c r="D90" t="s">
        <v>79</v>
      </c>
      <c r="E90" t="s">
        <v>150</v>
      </c>
      <c r="F90" t="s">
        <v>26</v>
      </c>
      <c r="G90" s="2">
        <v>11.98413</v>
      </c>
      <c r="H90" s="2">
        <v>15.35421</v>
      </c>
      <c r="I90" s="2">
        <v>15.11078</v>
      </c>
      <c r="J90" s="2">
        <v>10.41118</v>
      </c>
      <c r="K90" s="2">
        <v>14.277329999999999</v>
      </c>
      <c r="L90" s="2">
        <v>17.984290000000001</v>
      </c>
      <c r="M90" s="2">
        <v>13.747719999999999</v>
      </c>
      <c r="N90" s="2">
        <v>20.26577</v>
      </c>
      <c r="O90" s="2">
        <v>19.280380000000001</v>
      </c>
      <c r="P90" s="2">
        <v>24.223990000000001</v>
      </c>
      <c r="Q90" s="2">
        <v>17.479150000000001</v>
      </c>
      <c r="R90" s="2">
        <v>18.117660000000001</v>
      </c>
      <c r="S90" s="2">
        <f t="shared" si="16"/>
        <v>42.449120000000001</v>
      </c>
      <c r="T90" s="2">
        <f t="shared" si="17"/>
        <v>42.672800000000002</v>
      </c>
      <c r="U90" s="2">
        <f t="shared" si="18"/>
        <v>53.293869999999998</v>
      </c>
      <c r="V90" s="2">
        <f t="shared" si="19"/>
        <v>59.820800000000006</v>
      </c>
      <c r="W90" s="2">
        <f t="shared" si="20"/>
        <v>35.596810000000005</v>
      </c>
      <c r="X90" s="2">
        <f t="shared" si="21"/>
        <v>198.23659000000004</v>
      </c>
      <c r="Y90" s="2">
        <v>3.9304199999999998</v>
      </c>
      <c r="Z90" s="2">
        <v>6.5246399999999998</v>
      </c>
      <c r="AA90" s="2">
        <v>5.8244499999999997</v>
      </c>
      <c r="AB90" s="2">
        <v>4.6267399999999999</v>
      </c>
      <c r="AC90" s="2">
        <v>5.5214100000000004</v>
      </c>
      <c r="AD90" s="2">
        <v>7.3871700000000002</v>
      </c>
      <c r="AE90" s="2">
        <v>2.5411700000000002</v>
      </c>
      <c r="AF90" s="2">
        <v>9.37195</v>
      </c>
      <c r="AG90" s="2">
        <v>7.6352500000000001</v>
      </c>
      <c r="AH90" s="2">
        <v>9.0970200000000006</v>
      </c>
      <c r="AI90" s="2">
        <v>6.9278199999999996</v>
      </c>
      <c r="AJ90" s="2">
        <v>6.6655300000000004</v>
      </c>
      <c r="AK90" s="2">
        <f t="shared" si="22"/>
        <v>16.279509999999998</v>
      </c>
      <c r="AL90" s="2">
        <f t="shared" si="23"/>
        <v>17.535320000000002</v>
      </c>
      <c r="AM90" s="2">
        <f t="shared" si="24"/>
        <v>19.548369999999998</v>
      </c>
      <c r="AN90" s="2">
        <f t="shared" si="25"/>
        <v>22.690370000000001</v>
      </c>
      <c r="AO90" s="2">
        <f t="shared" si="26"/>
        <v>13.593350000000001</v>
      </c>
      <c r="AP90" s="2">
        <f t="shared" si="27"/>
        <v>76.053570000000008</v>
      </c>
    </row>
    <row r="91" spans="1:42" hidden="1" x14ac:dyDescent="0.55000000000000004">
      <c r="A91" t="s">
        <v>31</v>
      </c>
      <c r="B91" s="4">
        <v>9940564207</v>
      </c>
      <c r="C91" t="s">
        <v>59</v>
      </c>
      <c r="D91" t="s">
        <v>80</v>
      </c>
      <c r="E91" t="s">
        <v>155</v>
      </c>
      <c r="F91" t="s">
        <v>26</v>
      </c>
      <c r="G91" s="2"/>
      <c r="H91" s="2"/>
      <c r="I91" s="2"/>
      <c r="J91" s="2"/>
      <c r="K91" s="2"/>
      <c r="L91" s="2">
        <v>0</v>
      </c>
      <c r="M91" s="2">
        <v>23.733699999999999</v>
      </c>
      <c r="N91" s="2">
        <v>2.06284</v>
      </c>
      <c r="O91" s="2">
        <v>8.8611799999999992</v>
      </c>
      <c r="P91" s="2">
        <v>2.2587000000000002</v>
      </c>
      <c r="Q91" s="2">
        <v>0</v>
      </c>
      <c r="R91" s="2">
        <v>0</v>
      </c>
      <c r="S91" s="2">
        <f t="shared" si="16"/>
        <v>0</v>
      </c>
      <c r="T91" s="2">
        <f t="shared" si="17"/>
        <v>0</v>
      </c>
      <c r="U91" s="2">
        <f t="shared" si="18"/>
        <v>34.657719999999998</v>
      </c>
      <c r="V91" s="2">
        <f t="shared" si="19"/>
        <v>2.2587000000000002</v>
      </c>
      <c r="W91" s="2">
        <f t="shared" si="20"/>
        <v>0</v>
      </c>
      <c r="X91" s="2">
        <f t="shared" si="21"/>
        <v>36.916419999999995</v>
      </c>
      <c r="Y91" s="2"/>
      <c r="Z91" s="2"/>
      <c r="AA91" s="2"/>
      <c r="AB91" s="2"/>
      <c r="AC91" s="2"/>
      <c r="AD91" s="2">
        <v>0</v>
      </c>
      <c r="AE91" s="2">
        <v>7.91465</v>
      </c>
      <c r="AF91" s="2">
        <v>-4.4340400000000004</v>
      </c>
      <c r="AG91" s="2">
        <v>2.5011399999999999</v>
      </c>
      <c r="AH91" s="2">
        <v>1.8092900000000001</v>
      </c>
      <c r="AI91" s="2">
        <v>8.5029999999999994E-2</v>
      </c>
      <c r="AJ91" s="2">
        <v>0</v>
      </c>
      <c r="AK91" s="2">
        <f t="shared" si="22"/>
        <v>0</v>
      </c>
      <c r="AL91" s="2">
        <f t="shared" si="23"/>
        <v>0</v>
      </c>
      <c r="AM91" s="2">
        <f t="shared" si="24"/>
        <v>5.9817499999999999</v>
      </c>
      <c r="AN91" s="2">
        <f t="shared" si="25"/>
        <v>1.89432</v>
      </c>
      <c r="AO91" s="2">
        <f t="shared" si="26"/>
        <v>8.5029999999999994E-2</v>
      </c>
      <c r="AP91" s="2">
        <f t="shared" si="27"/>
        <v>7.8760700000000003</v>
      </c>
    </row>
    <row r="92" spans="1:42" hidden="1" x14ac:dyDescent="0.55000000000000004">
      <c r="A92" t="s">
        <v>31</v>
      </c>
      <c r="B92" s="4">
        <v>9940572727</v>
      </c>
      <c r="C92" t="s">
        <v>125</v>
      </c>
      <c r="D92" t="s">
        <v>147</v>
      </c>
      <c r="E92" t="s">
        <v>153</v>
      </c>
      <c r="F92" t="s">
        <v>131</v>
      </c>
      <c r="G92" s="2"/>
      <c r="H92" s="2"/>
      <c r="I92" s="2"/>
      <c r="J92" s="2"/>
      <c r="K92" s="2"/>
      <c r="L92" s="2"/>
      <c r="M92" s="2"/>
      <c r="N92" s="2">
        <v>0</v>
      </c>
      <c r="O92" s="2">
        <v>156.94951</v>
      </c>
      <c r="P92" s="2">
        <v>127.34797</v>
      </c>
      <c r="Q92" s="2">
        <v>60.8429</v>
      </c>
      <c r="R92" s="2">
        <v>16.89828</v>
      </c>
      <c r="S92" s="2">
        <f t="shared" si="16"/>
        <v>0</v>
      </c>
      <c r="T92" s="2">
        <f t="shared" si="17"/>
        <v>0</v>
      </c>
      <c r="U92" s="2">
        <f t="shared" si="18"/>
        <v>156.94951</v>
      </c>
      <c r="V92" s="2">
        <f t="shared" si="19"/>
        <v>205.08915000000002</v>
      </c>
      <c r="W92" s="2">
        <f t="shared" si="20"/>
        <v>77.74118</v>
      </c>
      <c r="X92" s="2">
        <f t="shared" si="21"/>
        <v>362.03866000000005</v>
      </c>
      <c r="Y92" s="2"/>
      <c r="Z92" s="2"/>
      <c r="AA92" s="2"/>
      <c r="AB92" s="2"/>
      <c r="AC92" s="2"/>
      <c r="AD92" s="2"/>
      <c r="AE92" s="2"/>
      <c r="AF92" s="2">
        <v>0</v>
      </c>
      <c r="AG92" s="2">
        <v>67.161199999999994</v>
      </c>
      <c r="AH92" s="2">
        <v>25.277170000000002</v>
      </c>
      <c r="AI92" s="2">
        <v>17.682130000000001</v>
      </c>
      <c r="AJ92" s="2">
        <v>4.0189199999999996</v>
      </c>
      <c r="AK92" s="2">
        <f t="shared" si="22"/>
        <v>0</v>
      </c>
      <c r="AL92" s="2">
        <f t="shared" si="23"/>
        <v>0</v>
      </c>
      <c r="AM92" s="2">
        <f t="shared" si="24"/>
        <v>67.161199999999994</v>
      </c>
      <c r="AN92" s="2">
        <f t="shared" si="25"/>
        <v>46.97822</v>
      </c>
      <c r="AO92" s="2">
        <f t="shared" si="26"/>
        <v>21.701050000000002</v>
      </c>
      <c r="AP92" s="2">
        <f t="shared" si="27"/>
        <v>114.13942</v>
      </c>
    </row>
    <row r="93" spans="1:42" hidden="1" x14ac:dyDescent="0.55000000000000004">
      <c r="A93" t="s">
        <v>31</v>
      </c>
      <c r="B93" s="4">
        <v>9940480171</v>
      </c>
      <c r="C93" t="s">
        <v>126</v>
      </c>
      <c r="D93" t="s">
        <v>79</v>
      </c>
      <c r="E93" t="s">
        <v>150</v>
      </c>
      <c r="F93" t="s">
        <v>133</v>
      </c>
      <c r="G93" s="2"/>
      <c r="H93" s="2"/>
      <c r="I93" s="2"/>
      <c r="J93" s="2"/>
      <c r="K93" s="2"/>
      <c r="L93" s="2"/>
      <c r="M93" s="2">
        <v>150.33302</v>
      </c>
      <c r="N93" s="2">
        <v>122.18156</v>
      </c>
      <c r="O93" s="2">
        <v>133.81012999999999</v>
      </c>
      <c r="P93" s="2">
        <v>138.82980000000001</v>
      </c>
      <c r="Q93" s="2">
        <v>178.11303000000001</v>
      </c>
      <c r="R93" s="2">
        <v>179.90831399999999</v>
      </c>
      <c r="S93" s="2">
        <f t="shared" si="16"/>
        <v>0</v>
      </c>
      <c r="T93" s="2">
        <f t="shared" si="17"/>
        <v>0</v>
      </c>
      <c r="U93" s="2">
        <f t="shared" si="18"/>
        <v>406.32470999999998</v>
      </c>
      <c r="V93" s="2">
        <f t="shared" si="19"/>
        <v>496.85114399999998</v>
      </c>
      <c r="W93" s="2">
        <f t="shared" si="20"/>
        <v>358.021344</v>
      </c>
      <c r="X93" s="2">
        <f t="shared" si="21"/>
        <v>903.17585399999996</v>
      </c>
      <c r="Y93" s="2"/>
      <c r="Z93" s="2"/>
      <c r="AA93" s="2"/>
      <c r="AB93" s="2"/>
      <c r="AC93" s="2"/>
      <c r="AD93" s="2"/>
      <c r="AE93" s="2">
        <v>55.426450000000003</v>
      </c>
      <c r="AF93" s="2">
        <v>39.471339999999998</v>
      </c>
      <c r="AG93" s="2">
        <v>42.558199999999999</v>
      </c>
      <c r="AH93" s="2">
        <v>32.372010000000003</v>
      </c>
      <c r="AI93" s="2">
        <v>37.146585000000002</v>
      </c>
      <c r="AJ93" s="2">
        <v>50.006202000000002</v>
      </c>
      <c r="AK93" s="2">
        <f t="shared" si="22"/>
        <v>0</v>
      </c>
      <c r="AL93" s="2">
        <f t="shared" si="23"/>
        <v>0</v>
      </c>
      <c r="AM93" s="2">
        <f t="shared" si="24"/>
        <v>137.45598999999999</v>
      </c>
      <c r="AN93" s="2">
        <f t="shared" si="25"/>
        <v>119.52479700000001</v>
      </c>
      <c r="AO93" s="2">
        <f t="shared" si="26"/>
        <v>87.152787000000004</v>
      </c>
      <c r="AP93" s="2">
        <f t="shared" si="27"/>
        <v>256.98078699999996</v>
      </c>
    </row>
    <row r="94" spans="1:42" hidden="1" x14ac:dyDescent="0.55000000000000004">
      <c r="A94" t="s">
        <v>31</v>
      </c>
      <c r="B94" s="4">
        <v>9940576284</v>
      </c>
      <c r="C94" t="s">
        <v>60</v>
      </c>
      <c r="D94" t="s">
        <v>91</v>
      </c>
      <c r="E94" t="s">
        <v>150</v>
      </c>
      <c r="F94" t="s">
        <v>131</v>
      </c>
      <c r="G94" s="2"/>
      <c r="H94" s="2"/>
      <c r="I94" s="2"/>
      <c r="J94" s="2"/>
      <c r="K94" s="2"/>
      <c r="L94" s="2"/>
      <c r="M94" s="2"/>
      <c r="N94" s="2"/>
      <c r="O94" s="2">
        <v>0</v>
      </c>
      <c r="P94" s="2">
        <v>105.55453</v>
      </c>
      <c r="Q94" s="2">
        <v>133.9511856</v>
      </c>
      <c r="R94" s="2">
        <v>35.308636800000002</v>
      </c>
      <c r="S94" s="2">
        <f t="shared" si="16"/>
        <v>0</v>
      </c>
      <c r="T94" s="2">
        <f t="shared" si="17"/>
        <v>0</v>
      </c>
      <c r="U94" s="2">
        <f t="shared" si="18"/>
        <v>0</v>
      </c>
      <c r="V94" s="2">
        <f t="shared" si="19"/>
        <v>274.81435240000002</v>
      </c>
      <c r="W94" s="2">
        <f t="shared" si="20"/>
        <v>169.25982240000002</v>
      </c>
      <c r="X94" s="2">
        <f t="shared" si="21"/>
        <v>274.81435240000002</v>
      </c>
      <c r="Y94" s="2"/>
      <c r="Z94" s="2"/>
      <c r="AA94" s="2"/>
      <c r="AB94" s="2"/>
      <c r="AC94" s="2"/>
      <c r="AD94" s="2"/>
      <c r="AE94" s="2"/>
      <c r="AF94" s="2"/>
      <c r="AG94" s="2">
        <v>0</v>
      </c>
      <c r="AH94" s="2">
        <v>52.325719999999997</v>
      </c>
      <c r="AI94" s="2">
        <v>60.277286400000001</v>
      </c>
      <c r="AJ94" s="2">
        <v>0.57372000000000001</v>
      </c>
      <c r="AK94" s="2">
        <f t="shared" si="22"/>
        <v>0</v>
      </c>
      <c r="AL94" s="2">
        <f t="shared" si="23"/>
        <v>0</v>
      </c>
      <c r="AM94" s="2">
        <f t="shared" si="24"/>
        <v>0</v>
      </c>
      <c r="AN94" s="2">
        <f t="shared" si="25"/>
        <v>113.17672639999999</v>
      </c>
      <c r="AO94" s="2">
        <f t="shared" si="26"/>
        <v>60.851006400000003</v>
      </c>
      <c r="AP94" s="2">
        <f t="shared" si="27"/>
        <v>113.17672639999999</v>
      </c>
    </row>
    <row r="95" spans="1:42" x14ac:dyDescent="0.55000000000000004">
      <c r="A95" t="s">
        <v>31</v>
      </c>
      <c r="B95" s="4">
        <v>9940576284</v>
      </c>
      <c r="C95" t="s">
        <v>60</v>
      </c>
      <c r="D95" t="s">
        <v>91</v>
      </c>
      <c r="E95" t="s">
        <v>150</v>
      </c>
      <c r="F95" t="s">
        <v>26</v>
      </c>
      <c r="G95" s="2"/>
      <c r="H95" s="2"/>
      <c r="I95" s="2"/>
      <c r="J95" s="2"/>
      <c r="K95" s="2"/>
      <c r="L95" s="2"/>
      <c r="M95" s="2"/>
      <c r="N95" s="2"/>
      <c r="O95" s="2">
        <v>0</v>
      </c>
      <c r="P95" s="2">
        <v>114.35074</v>
      </c>
      <c r="Q95" s="2">
        <v>145.11378439999999</v>
      </c>
      <c r="R95" s="2">
        <v>38.251023199999999</v>
      </c>
      <c r="S95" s="2">
        <f t="shared" si="16"/>
        <v>0</v>
      </c>
      <c r="T95" s="2">
        <f t="shared" si="17"/>
        <v>0</v>
      </c>
      <c r="U95" s="2">
        <f t="shared" si="18"/>
        <v>0</v>
      </c>
      <c r="V95" s="2">
        <f t="shared" si="19"/>
        <v>297.71554759999998</v>
      </c>
      <c r="W95" s="2">
        <f t="shared" si="20"/>
        <v>183.36480759999998</v>
      </c>
      <c r="X95" s="2">
        <f t="shared" si="21"/>
        <v>297.71554759999998</v>
      </c>
      <c r="Y95" s="2"/>
      <c r="Z95" s="2"/>
      <c r="AA95" s="2"/>
      <c r="AB95" s="2"/>
      <c r="AC95" s="2"/>
      <c r="AD95" s="2"/>
      <c r="AE95" s="2"/>
      <c r="AF95" s="2"/>
      <c r="AG95" s="2">
        <v>0</v>
      </c>
      <c r="AH95" s="2">
        <v>49.293340000000001</v>
      </c>
      <c r="AI95" s="2">
        <v>65.300393600000007</v>
      </c>
      <c r="AJ95" s="2">
        <v>0.62153000000000003</v>
      </c>
      <c r="AK95" s="2">
        <f t="shared" si="22"/>
        <v>0</v>
      </c>
      <c r="AL95" s="2">
        <f t="shared" si="23"/>
        <v>0</v>
      </c>
      <c r="AM95" s="2">
        <f t="shared" si="24"/>
        <v>0</v>
      </c>
      <c r="AN95" s="2">
        <f t="shared" si="25"/>
        <v>115.21526360000001</v>
      </c>
      <c r="AO95" s="2">
        <f t="shared" si="26"/>
        <v>65.921923600000014</v>
      </c>
      <c r="AP95" s="2">
        <f t="shared" si="27"/>
        <v>115.21526360000001</v>
      </c>
    </row>
    <row r="96" spans="1:42" hidden="1" x14ac:dyDescent="0.55000000000000004">
      <c r="A96" t="s">
        <v>31</v>
      </c>
      <c r="B96" s="4">
        <v>9940505640</v>
      </c>
      <c r="C96" t="s">
        <v>61</v>
      </c>
      <c r="D96" t="s">
        <v>85</v>
      </c>
      <c r="E96" t="s">
        <v>150</v>
      </c>
      <c r="F96" t="s">
        <v>131</v>
      </c>
      <c r="G96" s="2">
        <v>72.687719999999999</v>
      </c>
      <c r="H96" s="2">
        <v>85.815359999999998</v>
      </c>
      <c r="I96" s="2">
        <v>62.642229999999998</v>
      </c>
      <c r="J96" s="2">
        <v>3.6503299999999999</v>
      </c>
      <c r="K96" s="2">
        <v>0</v>
      </c>
      <c r="L96" s="2">
        <v>97.761259999999993</v>
      </c>
      <c r="M96" s="2">
        <v>114.59764</v>
      </c>
      <c r="N96" s="2">
        <v>65.002380000000002</v>
      </c>
      <c r="O96" s="2">
        <v>78.097359999999995</v>
      </c>
      <c r="P96" s="2">
        <v>93.065349999999995</v>
      </c>
      <c r="Q96" s="2">
        <v>128.59448209999999</v>
      </c>
      <c r="R96" s="2">
        <v>112.95811930000001</v>
      </c>
      <c r="S96" s="2">
        <f t="shared" si="16"/>
        <v>221.14530999999999</v>
      </c>
      <c r="T96" s="2">
        <f t="shared" si="17"/>
        <v>101.41158999999999</v>
      </c>
      <c r="U96" s="2">
        <f t="shared" si="18"/>
        <v>257.69738000000001</v>
      </c>
      <c r="V96" s="2">
        <f t="shared" si="19"/>
        <v>334.61795139999998</v>
      </c>
      <c r="W96" s="2">
        <f t="shared" si="20"/>
        <v>241.55260140000001</v>
      </c>
      <c r="X96" s="2">
        <f t="shared" si="21"/>
        <v>914.87223139999992</v>
      </c>
      <c r="Y96" s="2">
        <v>47.955959999999997</v>
      </c>
      <c r="Z96" s="2">
        <v>15.83433</v>
      </c>
      <c r="AA96" s="2">
        <v>24.399270000000001</v>
      </c>
      <c r="AB96" s="2">
        <v>-30.49785</v>
      </c>
      <c r="AC96" s="2">
        <v>-26.086849999999998</v>
      </c>
      <c r="AD96" s="2">
        <v>71.504009999999994</v>
      </c>
      <c r="AE96" s="2">
        <v>73.318600000000004</v>
      </c>
      <c r="AF96" s="2">
        <v>25.905830000000002</v>
      </c>
      <c r="AG96" s="2">
        <v>32.022840000000002</v>
      </c>
      <c r="AH96" s="2">
        <v>35.854790000000001</v>
      </c>
      <c r="AI96" s="2">
        <v>67.232530299999993</v>
      </c>
      <c r="AJ96" s="2">
        <v>50.4059721</v>
      </c>
      <c r="AK96" s="2">
        <f t="shared" si="22"/>
        <v>88.18956</v>
      </c>
      <c r="AL96" s="2">
        <f t="shared" si="23"/>
        <v>14.919309999999996</v>
      </c>
      <c r="AM96" s="2">
        <f t="shared" si="24"/>
        <v>131.24727000000001</v>
      </c>
      <c r="AN96" s="2">
        <f t="shared" si="25"/>
        <v>153.49329239999997</v>
      </c>
      <c r="AO96" s="2">
        <f t="shared" si="26"/>
        <v>117.63850239999999</v>
      </c>
      <c r="AP96" s="2">
        <f t="shared" si="27"/>
        <v>387.84943239999996</v>
      </c>
    </row>
    <row r="97" spans="1:42" x14ac:dyDescent="0.55000000000000004">
      <c r="A97" t="s">
        <v>31</v>
      </c>
      <c r="B97" s="4">
        <v>9940505640</v>
      </c>
      <c r="C97" t="s">
        <v>61</v>
      </c>
      <c r="D97" t="s">
        <v>85</v>
      </c>
      <c r="E97" t="s">
        <v>150</v>
      </c>
      <c r="F97" t="s">
        <v>26</v>
      </c>
      <c r="G97" s="2">
        <v>186.91127</v>
      </c>
      <c r="H97" s="2">
        <v>220.66807</v>
      </c>
      <c r="I97" s="2">
        <v>161.08001999999999</v>
      </c>
      <c r="J97" s="2">
        <v>6.7791800000000002</v>
      </c>
      <c r="K97" s="2">
        <v>0</v>
      </c>
      <c r="L97" s="2">
        <v>181.55663999999999</v>
      </c>
      <c r="M97" s="2">
        <v>255.07216</v>
      </c>
      <c r="N97" s="2">
        <v>144.68270999999999</v>
      </c>
      <c r="O97" s="2">
        <v>173.82961</v>
      </c>
      <c r="P97" s="2">
        <v>207.14546000000001</v>
      </c>
      <c r="Q97" s="2">
        <v>286.22642789999998</v>
      </c>
      <c r="R97" s="2">
        <v>251.42291069999999</v>
      </c>
      <c r="S97" s="2">
        <f t="shared" si="16"/>
        <v>568.65935999999999</v>
      </c>
      <c r="T97" s="2">
        <f t="shared" si="17"/>
        <v>188.33581999999998</v>
      </c>
      <c r="U97" s="2">
        <f t="shared" si="18"/>
        <v>573.58447999999999</v>
      </c>
      <c r="V97" s="2">
        <f t="shared" si="19"/>
        <v>744.79479859999992</v>
      </c>
      <c r="W97" s="2">
        <f t="shared" si="20"/>
        <v>537.64933859999996</v>
      </c>
      <c r="X97" s="2">
        <f t="shared" si="21"/>
        <v>2075.3744585999998</v>
      </c>
      <c r="Y97" s="2">
        <v>126.36109999999999</v>
      </c>
      <c r="Z97" s="2">
        <v>49.335239999999999</v>
      </c>
      <c r="AA97" s="2">
        <v>67.450689999999994</v>
      </c>
      <c r="AB97" s="2">
        <v>-56.638890000000004</v>
      </c>
      <c r="AC97" s="2">
        <v>-48.447009999999999</v>
      </c>
      <c r="AD97" s="2">
        <v>132.79317</v>
      </c>
      <c r="AE97" s="2">
        <v>163.19299000000001</v>
      </c>
      <c r="AF97" s="2">
        <v>57.661349999999999</v>
      </c>
      <c r="AG97" s="2">
        <v>71.276650000000004</v>
      </c>
      <c r="AH97" s="2">
        <v>79.805819999999997</v>
      </c>
      <c r="AI97" s="2">
        <v>149.6465997</v>
      </c>
      <c r="AJ97" s="2">
        <v>112.19393789999999</v>
      </c>
      <c r="AK97" s="2">
        <f t="shared" si="22"/>
        <v>243.14702999999997</v>
      </c>
      <c r="AL97" s="2">
        <f t="shared" si="23"/>
        <v>27.707269999999994</v>
      </c>
      <c r="AM97" s="2">
        <f t="shared" si="24"/>
        <v>292.13099</v>
      </c>
      <c r="AN97" s="2">
        <f t="shared" si="25"/>
        <v>341.64635759999999</v>
      </c>
      <c r="AO97" s="2">
        <f t="shared" si="26"/>
        <v>261.8405376</v>
      </c>
      <c r="AP97" s="2">
        <f t="shared" si="27"/>
        <v>904.63164759999995</v>
      </c>
    </row>
    <row r="98" spans="1:42" hidden="1" x14ac:dyDescent="0.55000000000000004">
      <c r="A98" t="s">
        <v>31</v>
      </c>
      <c r="B98" s="4">
        <v>9940505640</v>
      </c>
      <c r="C98" t="s">
        <v>61</v>
      </c>
      <c r="D98" t="s">
        <v>85</v>
      </c>
      <c r="E98" t="s">
        <v>150</v>
      </c>
      <c r="F98" t="s">
        <v>133</v>
      </c>
      <c r="G98" s="2">
        <v>227.14021</v>
      </c>
      <c r="H98" s="2">
        <v>217.48250999999999</v>
      </c>
      <c r="I98" s="2">
        <v>216.70249000000001</v>
      </c>
      <c r="J98" s="2">
        <v>191.56594999999999</v>
      </c>
      <c r="K98" s="2">
        <v>147.70735999999999</v>
      </c>
      <c r="L98" s="2">
        <v>93.597340000000003</v>
      </c>
      <c r="M98" s="2">
        <v>132.41800000000001</v>
      </c>
      <c r="N98" s="2">
        <v>98.118889999999993</v>
      </c>
      <c r="O98" s="2">
        <v>93.186999999999998</v>
      </c>
      <c r="P98" s="2">
        <v>113.33476</v>
      </c>
      <c r="Q98" s="2">
        <v>116.87401</v>
      </c>
      <c r="R98" s="2">
        <v>109.95001000000001</v>
      </c>
      <c r="S98" s="2">
        <f t="shared" si="16"/>
        <v>661.32520999999997</v>
      </c>
      <c r="T98" s="2">
        <f t="shared" si="17"/>
        <v>432.87064999999996</v>
      </c>
      <c r="U98" s="2">
        <f t="shared" si="18"/>
        <v>323.72388999999998</v>
      </c>
      <c r="V98" s="2">
        <f t="shared" si="19"/>
        <v>340.15878000000004</v>
      </c>
      <c r="W98" s="2">
        <f t="shared" si="20"/>
        <v>226.82402000000002</v>
      </c>
      <c r="X98" s="2">
        <f t="shared" si="21"/>
        <v>1758.0785299999998</v>
      </c>
      <c r="Y98" s="2">
        <v>-7.2318600000000002</v>
      </c>
      <c r="Z98" s="2">
        <v>164.95983000000001</v>
      </c>
      <c r="AA98" s="2">
        <v>87.764020000000002</v>
      </c>
      <c r="AB98" s="2">
        <v>48.953440000000001</v>
      </c>
      <c r="AC98" s="2">
        <v>22.81202</v>
      </c>
      <c r="AD98" s="2">
        <v>-18.235959999999999</v>
      </c>
      <c r="AE98" s="2">
        <v>26.64433</v>
      </c>
      <c r="AF98" s="2">
        <v>17.08501</v>
      </c>
      <c r="AG98" s="2">
        <v>31.599080000000001</v>
      </c>
      <c r="AH98" s="2">
        <v>20.430879999999998</v>
      </c>
      <c r="AI98" s="2">
        <v>43.776200000000003</v>
      </c>
      <c r="AJ98" s="2">
        <v>30.859729999999999</v>
      </c>
      <c r="AK98" s="2">
        <f t="shared" si="22"/>
        <v>245.49198999999999</v>
      </c>
      <c r="AL98" s="2">
        <f t="shared" si="23"/>
        <v>53.529500000000006</v>
      </c>
      <c r="AM98" s="2">
        <f t="shared" si="24"/>
        <v>75.328419999999994</v>
      </c>
      <c r="AN98" s="2">
        <f t="shared" si="25"/>
        <v>95.066810000000004</v>
      </c>
      <c r="AO98" s="2">
        <f t="shared" si="26"/>
        <v>74.635930000000002</v>
      </c>
      <c r="AP98" s="2">
        <f t="shared" si="27"/>
        <v>469.41671999999994</v>
      </c>
    </row>
    <row r="99" spans="1:42" x14ac:dyDescent="0.55000000000000004">
      <c r="A99" t="s">
        <v>31</v>
      </c>
      <c r="B99" s="4">
        <v>9940509186</v>
      </c>
      <c r="C99" t="s">
        <v>62</v>
      </c>
      <c r="D99" t="s">
        <v>80</v>
      </c>
      <c r="E99" t="s">
        <v>150</v>
      </c>
      <c r="F99" t="s">
        <v>26</v>
      </c>
      <c r="G99" s="2">
        <v>10.76055</v>
      </c>
      <c r="H99" s="2">
        <v>0</v>
      </c>
      <c r="I99" s="2">
        <v>0</v>
      </c>
      <c r="J99" s="2">
        <v>0</v>
      </c>
      <c r="K99" s="2">
        <v>0</v>
      </c>
      <c r="L99" s="2">
        <v>-1.66404</v>
      </c>
      <c r="M99" s="2">
        <v>0</v>
      </c>
      <c r="N99" s="2"/>
      <c r="O99" s="2">
        <v>0</v>
      </c>
      <c r="P99" s="2"/>
      <c r="Q99" s="2"/>
      <c r="R99" s="2"/>
      <c r="S99" s="2">
        <f t="shared" si="16"/>
        <v>10.76055</v>
      </c>
      <c r="T99" s="2">
        <f t="shared" si="17"/>
        <v>-1.66404</v>
      </c>
      <c r="U99" s="2">
        <f t="shared" si="18"/>
        <v>0</v>
      </c>
      <c r="V99" s="2">
        <f t="shared" si="19"/>
        <v>0</v>
      </c>
      <c r="W99" s="2">
        <f t="shared" si="20"/>
        <v>0</v>
      </c>
      <c r="X99" s="2">
        <f t="shared" si="21"/>
        <v>9.0965100000000003</v>
      </c>
      <c r="Y99" s="2">
        <v>-14.87374</v>
      </c>
      <c r="Z99" s="2">
        <v>-11.455880000000001</v>
      </c>
      <c r="AA99" s="2">
        <v>1.45513</v>
      </c>
      <c r="AB99" s="2">
        <v>-9.7439999999999999E-2</v>
      </c>
      <c r="AC99" s="2">
        <v>-0.38363000000000003</v>
      </c>
      <c r="AD99" s="2">
        <v>-1.90978</v>
      </c>
      <c r="AE99" s="2">
        <v>0</v>
      </c>
      <c r="AF99" s="2"/>
      <c r="AG99" s="2">
        <v>0</v>
      </c>
      <c r="AH99" s="2"/>
      <c r="AI99" s="2"/>
      <c r="AJ99" s="2"/>
      <c r="AK99" s="2">
        <f t="shared" si="22"/>
        <v>-24.874489999999998</v>
      </c>
      <c r="AL99" s="2">
        <f t="shared" si="23"/>
        <v>-2.3908499999999999</v>
      </c>
      <c r="AM99" s="2">
        <f t="shared" si="24"/>
        <v>0</v>
      </c>
      <c r="AN99" s="2">
        <f t="shared" si="25"/>
        <v>0</v>
      </c>
      <c r="AO99" s="2">
        <f t="shared" si="26"/>
        <v>0</v>
      </c>
      <c r="AP99" s="2">
        <f t="shared" si="27"/>
        <v>-27.265339999999998</v>
      </c>
    </row>
    <row r="100" spans="1:42" hidden="1" x14ac:dyDescent="0.55000000000000004">
      <c r="A100" t="s">
        <v>31</v>
      </c>
      <c r="B100" s="4">
        <v>9940525535</v>
      </c>
      <c r="C100" t="s">
        <v>63</v>
      </c>
      <c r="D100" t="s">
        <v>80</v>
      </c>
      <c r="E100" t="s">
        <v>153</v>
      </c>
      <c r="F100" t="s">
        <v>26</v>
      </c>
      <c r="G100" s="2">
        <v>0</v>
      </c>
      <c r="H100" s="2">
        <v>0</v>
      </c>
      <c r="I100" s="2"/>
      <c r="J100" s="2"/>
      <c r="K100" s="2"/>
      <c r="L100" s="2">
        <v>0</v>
      </c>
      <c r="M100" s="2">
        <v>0</v>
      </c>
      <c r="N100" s="2"/>
      <c r="O100" s="2">
        <v>0</v>
      </c>
      <c r="P100" s="2">
        <v>0</v>
      </c>
      <c r="Q100" s="2"/>
      <c r="R100" s="2"/>
      <c r="S100" s="2">
        <f t="shared" si="16"/>
        <v>0</v>
      </c>
      <c r="T100" s="2">
        <f t="shared" si="17"/>
        <v>0</v>
      </c>
      <c r="U100" s="2">
        <f t="shared" si="18"/>
        <v>0</v>
      </c>
      <c r="V100" s="2">
        <f t="shared" si="19"/>
        <v>0</v>
      </c>
      <c r="W100" s="2">
        <f t="shared" si="20"/>
        <v>0</v>
      </c>
      <c r="X100" s="2">
        <f t="shared" si="21"/>
        <v>0</v>
      </c>
      <c r="Y100" s="2">
        <v>3.1932499999999999</v>
      </c>
      <c r="Z100" s="2">
        <v>0</v>
      </c>
      <c r="AA100" s="2"/>
      <c r="AB100" s="2"/>
      <c r="AC100" s="2"/>
      <c r="AD100" s="2">
        <v>0</v>
      </c>
      <c r="AE100" s="2">
        <v>0</v>
      </c>
      <c r="AF100" s="2"/>
      <c r="AG100" s="2">
        <v>0</v>
      </c>
      <c r="AH100" s="2">
        <v>0</v>
      </c>
      <c r="AI100" s="2"/>
      <c r="AJ100" s="2"/>
      <c r="AK100" s="2">
        <f t="shared" si="22"/>
        <v>3.1932499999999999</v>
      </c>
      <c r="AL100" s="2">
        <f t="shared" si="23"/>
        <v>0</v>
      </c>
      <c r="AM100" s="2">
        <f t="shared" si="24"/>
        <v>0</v>
      </c>
      <c r="AN100" s="2">
        <f t="shared" si="25"/>
        <v>0</v>
      </c>
      <c r="AO100" s="2">
        <f t="shared" si="26"/>
        <v>0</v>
      </c>
      <c r="AP100" s="2">
        <f t="shared" si="27"/>
        <v>3.1932499999999999</v>
      </c>
    </row>
    <row r="101" spans="1:42" x14ac:dyDescent="0.55000000000000004">
      <c r="A101" t="s">
        <v>31</v>
      </c>
      <c r="B101" s="4">
        <v>9940559900</v>
      </c>
      <c r="C101" t="s">
        <v>64</v>
      </c>
      <c r="D101" t="s">
        <v>80</v>
      </c>
      <c r="E101" t="s">
        <v>150</v>
      </c>
      <c r="F101" t="s">
        <v>26</v>
      </c>
      <c r="G101" s="2"/>
      <c r="H101" s="2"/>
      <c r="I101" s="2"/>
      <c r="J101" s="2"/>
      <c r="K101" s="2">
        <v>8.2942599999999995</v>
      </c>
      <c r="L101" s="2">
        <v>32.905630000000002</v>
      </c>
      <c r="M101" s="2">
        <v>13.960050000000001</v>
      </c>
      <c r="N101" s="2">
        <v>0.78163000000000005</v>
      </c>
      <c r="O101" s="2">
        <v>0</v>
      </c>
      <c r="P101" s="2">
        <v>-1.0000000000000001E-5</v>
      </c>
      <c r="Q101" s="2">
        <v>0</v>
      </c>
      <c r="R101" s="2">
        <v>0</v>
      </c>
      <c r="S101" s="2">
        <f t="shared" si="16"/>
        <v>0</v>
      </c>
      <c r="T101" s="2">
        <f t="shared" si="17"/>
        <v>41.199890000000003</v>
      </c>
      <c r="U101" s="2">
        <f t="shared" si="18"/>
        <v>14.741680000000001</v>
      </c>
      <c r="V101" s="2">
        <f t="shared" si="19"/>
        <v>-1.0000000000000001E-5</v>
      </c>
      <c r="W101" s="2">
        <f t="shared" si="20"/>
        <v>0</v>
      </c>
      <c r="X101" s="2">
        <f t="shared" si="21"/>
        <v>55.941560000000003</v>
      </c>
      <c r="Y101" s="2"/>
      <c r="Z101" s="2"/>
      <c r="AA101" s="2"/>
      <c r="AB101" s="2"/>
      <c r="AC101" s="2">
        <v>3.1568700000000001</v>
      </c>
      <c r="AD101" s="2">
        <v>12.383100000000001</v>
      </c>
      <c r="AE101" s="2">
        <v>-7.1753999999999998</v>
      </c>
      <c r="AF101" s="2">
        <v>-0.29952000000000001</v>
      </c>
      <c r="AG101" s="2">
        <v>-0.57552999999999999</v>
      </c>
      <c r="AH101" s="2">
        <v>-0.64854999999999996</v>
      </c>
      <c r="AI101" s="2">
        <v>0</v>
      </c>
      <c r="AJ101" s="2">
        <v>0</v>
      </c>
      <c r="AK101" s="2">
        <f t="shared" si="22"/>
        <v>0</v>
      </c>
      <c r="AL101" s="2">
        <f t="shared" si="23"/>
        <v>15.53997</v>
      </c>
      <c r="AM101" s="2">
        <f t="shared" si="24"/>
        <v>-8.0504499999999997</v>
      </c>
      <c r="AN101" s="2">
        <f t="shared" si="25"/>
        <v>-0.64854999999999996</v>
      </c>
      <c r="AO101" s="2">
        <f t="shared" si="26"/>
        <v>0</v>
      </c>
      <c r="AP101" s="2">
        <f t="shared" si="27"/>
        <v>6.8409700000000004</v>
      </c>
    </row>
    <row r="102" spans="1:42" hidden="1" x14ac:dyDescent="0.55000000000000004">
      <c r="A102" t="s">
        <v>31</v>
      </c>
      <c r="B102" s="4">
        <v>9940500613</v>
      </c>
      <c r="C102" t="s">
        <v>127</v>
      </c>
      <c r="D102" t="s">
        <v>82</v>
      </c>
      <c r="E102" t="s">
        <v>153</v>
      </c>
      <c r="F102" t="s">
        <v>131</v>
      </c>
      <c r="G102" s="2">
        <v>489.06529999999998</v>
      </c>
      <c r="H102" s="2">
        <v>459.22989999999999</v>
      </c>
      <c r="I102" s="2">
        <v>446.99329999999998</v>
      </c>
      <c r="J102" s="2">
        <v>337.08305999999999</v>
      </c>
      <c r="K102" s="2">
        <v>260.19389999999999</v>
      </c>
      <c r="L102" s="2">
        <v>230.9228</v>
      </c>
      <c r="M102" s="2">
        <v>-7.8483299999999998</v>
      </c>
      <c r="N102" s="2">
        <v>193.91637</v>
      </c>
      <c r="O102" s="2">
        <v>204.10927000000001</v>
      </c>
      <c r="P102" s="2">
        <v>235.78076999999999</v>
      </c>
      <c r="Q102" s="2">
        <v>320.31074999999998</v>
      </c>
      <c r="R102" s="2">
        <v>0</v>
      </c>
      <c r="S102" s="2">
        <f t="shared" si="16"/>
        <v>1395.2885000000001</v>
      </c>
      <c r="T102" s="2">
        <f t="shared" si="17"/>
        <v>828.19975999999997</v>
      </c>
      <c r="U102" s="2">
        <f t="shared" si="18"/>
        <v>390.17731000000003</v>
      </c>
      <c r="V102" s="2">
        <f t="shared" si="19"/>
        <v>556.09151999999995</v>
      </c>
      <c r="W102" s="2">
        <f t="shared" si="20"/>
        <v>320.31074999999998</v>
      </c>
      <c r="X102" s="2">
        <f t="shared" si="21"/>
        <v>3169.7570900000001</v>
      </c>
      <c r="Y102" s="2">
        <v>146.91533000000001</v>
      </c>
      <c r="Z102" s="2">
        <v>126.03891</v>
      </c>
      <c r="AA102" s="2">
        <v>120.15446</v>
      </c>
      <c r="AB102" s="2">
        <v>59.998959999999997</v>
      </c>
      <c r="AC102" s="2">
        <v>-5.0120399999999998</v>
      </c>
      <c r="AD102" s="2">
        <v>66.754019999999997</v>
      </c>
      <c r="AE102" s="2">
        <v>-206.28442999999999</v>
      </c>
      <c r="AF102" s="2">
        <v>14.193849999999999</v>
      </c>
      <c r="AG102" s="2">
        <v>28.37527</v>
      </c>
      <c r="AH102" s="2">
        <v>35.160670000000003</v>
      </c>
      <c r="AI102" s="2">
        <v>35.984900000000003</v>
      </c>
      <c r="AJ102" s="2">
        <v>-180.30394999999999</v>
      </c>
      <c r="AK102" s="2">
        <f t="shared" si="22"/>
        <v>393.1087</v>
      </c>
      <c r="AL102" s="2">
        <f t="shared" si="23"/>
        <v>121.74093999999999</v>
      </c>
      <c r="AM102" s="2">
        <f t="shared" si="24"/>
        <v>-163.71530999999999</v>
      </c>
      <c r="AN102" s="2">
        <f t="shared" si="25"/>
        <v>-109.15837999999998</v>
      </c>
      <c r="AO102" s="2">
        <f t="shared" si="26"/>
        <v>-144.31904999999998</v>
      </c>
      <c r="AP102" s="2">
        <f t="shared" si="27"/>
        <v>241.97595000000007</v>
      </c>
    </row>
    <row r="103" spans="1:42" hidden="1" x14ac:dyDescent="0.55000000000000004">
      <c r="A103" t="s">
        <v>31</v>
      </c>
      <c r="B103" s="4">
        <v>9940534232</v>
      </c>
      <c r="C103" t="s">
        <v>128</v>
      </c>
      <c r="D103" t="s">
        <v>84</v>
      </c>
      <c r="E103" t="s">
        <v>153</v>
      </c>
      <c r="F103" t="s">
        <v>133</v>
      </c>
      <c r="G103" s="2">
        <v>0</v>
      </c>
      <c r="H103" s="2">
        <v>0</v>
      </c>
      <c r="I103" s="2">
        <v>11.928800000000001</v>
      </c>
      <c r="J103" s="2">
        <v>42.322879999999998</v>
      </c>
      <c r="K103" s="2">
        <v>43.419040000000003</v>
      </c>
      <c r="L103" s="2">
        <v>45.246830000000003</v>
      </c>
      <c r="M103" s="2">
        <v>45.295189999999998</v>
      </c>
      <c r="N103" s="2">
        <v>43.473599999999998</v>
      </c>
      <c r="O103" s="2">
        <v>63.452649999999998</v>
      </c>
      <c r="P103" s="2">
        <v>66.952600000000004</v>
      </c>
      <c r="Q103" s="2">
        <v>57.805396000000002</v>
      </c>
      <c r="R103" s="2">
        <v>57.805396000000002</v>
      </c>
      <c r="S103" s="2">
        <f t="shared" si="16"/>
        <v>11.928800000000001</v>
      </c>
      <c r="T103" s="2">
        <f t="shared" si="17"/>
        <v>130.98874999999998</v>
      </c>
      <c r="U103" s="2">
        <f t="shared" si="18"/>
        <v>152.22144</v>
      </c>
      <c r="V103" s="2">
        <f t="shared" si="19"/>
        <v>182.56339200000002</v>
      </c>
      <c r="W103" s="2">
        <f t="shared" si="20"/>
        <v>115.610792</v>
      </c>
      <c r="X103" s="2">
        <f t="shared" si="21"/>
        <v>477.702382</v>
      </c>
      <c r="Y103" s="2">
        <v>-0.29955999999999999</v>
      </c>
      <c r="Z103" s="2">
        <v>-10.600989999999999</v>
      </c>
      <c r="AA103" s="2">
        <v>-17.511220000000002</v>
      </c>
      <c r="AB103" s="2">
        <v>11.96791</v>
      </c>
      <c r="AC103" s="2">
        <v>4.4611599999999996</v>
      </c>
      <c r="AD103" s="2">
        <v>5.9426399999999999</v>
      </c>
      <c r="AE103" s="2">
        <v>14.85914</v>
      </c>
      <c r="AF103" s="2">
        <v>20.900880000000001</v>
      </c>
      <c r="AG103" s="2">
        <v>25.685320000000001</v>
      </c>
      <c r="AH103" s="2">
        <v>26.587669999999999</v>
      </c>
      <c r="AI103" s="2">
        <v>17.561508</v>
      </c>
      <c r="AJ103" s="2">
        <v>27.630188</v>
      </c>
      <c r="AK103" s="2">
        <f t="shared" si="22"/>
        <v>-28.411770000000001</v>
      </c>
      <c r="AL103" s="2">
        <f t="shared" si="23"/>
        <v>22.37171</v>
      </c>
      <c r="AM103" s="2">
        <f t="shared" si="24"/>
        <v>61.445340000000002</v>
      </c>
      <c r="AN103" s="2">
        <f t="shared" si="25"/>
        <v>71.779365999999996</v>
      </c>
      <c r="AO103" s="2">
        <f t="shared" si="26"/>
        <v>45.191696</v>
      </c>
      <c r="AP103" s="2">
        <f t="shared" si="27"/>
        <v>127.184646</v>
      </c>
    </row>
    <row r="104" spans="1:42" hidden="1" x14ac:dyDescent="0.55000000000000004">
      <c r="A104" t="s">
        <v>31</v>
      </c>
      <c r="B104" s="4">
        <v>9940540197</v>
      </c>
      <c r="C104" t="s">
        <v>129</v>
      </c>
      <c r="D104" t="s">
        <v>90</v>
      </c>
      <c r="E104" t="s">
        <v>153</v>
      </c>
      <c r="F104" t="s">
        <v>131</v>
      </c>
      <c r="G104" s="2">
        <v>0</v>
      </c>
      <c r="H104" s="2">
        <v>0</v>
      </c>
      <c r="I104" s="2">
        <v>0</v>
      </c>
      <c r="J104" s="2">
        <v>1E-4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f t="shared" si="16"/>
        <v>0</v>
      </c>
      <c r="T104" s="2">
        <f t="shared" si="17"/>
        <v>1E-4</v>
      </c>
      <c r="U104" s="2">
        <f t="shared" si="18"/>
        <v>0</v>
      </c>
      <c r="V104" s="2">
        <f t="shared" si="19"/>
        <v>0</v>
      </c>
      <c r="W104" s="2">
        <f t="shared" si="20"/>
        <v>0</v>
      </c>
      <c r="X104" s="2">
        <f t="shared" si="21"/>
        <v>1E-4</v>
      </c>
      <c r="Y104" s="2">
        <v>0</v>
      </c>
      <c r="Z104" s="2">
        <v>0</v>
      </c>
      <c r="AA104" s="2">
        <v>2.4930000000000001E-2</v>
      </c>
      <c r="AB104" s="2">
        <v>2.5069999999999999E-2</v>
      </c>
      <c r="AC104" s="2">
        <v>5.0900000000000001E-2</v>
      </c>
      <c r="AD104" s="2">
        <v>6.4689999999999998E-2</v>
      </c>
      <c r="AE104" s="2">
        <v>3.9910000000000001E-2</v>
      </c>
      <c r="AF104" s="2">
        <v>3.8300000000000001E-2</v>
      </c>
      <c r="AG104" s="2">
        <v>3.9480000000000001E-2</v>
      </c>
      <c r="AH104" s="2">
        <v>3.9579999999999997E-2</v>
      </c>
      <c r="AI104" s="2">
        <v>-0.32457000000000003</v>
      </c>
      <c r="AJ104" s="2">
        <v>0</v>
      </c>
      <c r="AK104" s="2">
        <f t="shared" si="22"/>
        <v>2.4930000000000001E-2</v>
      </c>
      <c r="AL104" s="2">
        <f t="shared" si="23"/>
        <v>0.14066000000000001</v>
      </c>
      <c r="AM104" s="2">
        <f t="shared" si="24"/>
        <v>0.11769</v>
      </c>
      <c r="AN104" s="2">
        <f t="shared" si="25"/>
        <v>-0.28499000000000002</v>
      </c>
      <c r="AO104" s="2">
        <f t="shared" si="26"/>
        <v>-0.32457000000000003</v>
      </c>
      <c r="AP104" s="2">
        <f t="shared" si="27"/>
        <v>-1.7099999999999893E-3</v>
      </c>
    </row>
    <row r="105" spans="1:42" x14ac:dyDescent="0.55000000000000004">
      <c r="A105" t="s">
        <v>31</v>
      </c>
      <c r="B105" s="4">
        <v>9940572803</v>
      </c>
      <c r="C105" t="s">
        <v>65</v>
      </c>
      <c r="D105" t="s">
        <v>91</v>
      </c>
      <c r="E105" t="s">
        <v>150</v>
      </c>
      <c r="F105" t="s">
        <v>26</v>
      </c>
      <c r="G105" s="2"/>
      <c r="H105" s="2"/>
      <c r="I105" s="2"/>
      <c r="J105" s="2"/>
      <c r="K105" s="2"/>
      <c r="L105" s="2"/>
      <c r="M105" s="2"/>
      <c r="N105" s="2">
        <v>10.123239999999999</v>
      </c>
      <c r="O105" s="2">
        <v>77.437579999999997</v>
      </c>
      <c r="P105" s="2">
        <v>19.23114</v>
      </c>
      <c r="Q105" s="2">
        <v>30.416640000000001</v>
      </c>
      <c r="R105" s="2">
        <v>0</v>
      </c>
      <c r="S105" s="2">
        <f t="shared" si="16"/>
        <v>0</v>
      </c>
      <c r="T105" s="2">
        <f t="shared" si="17"/>
        <v>0</v>
      </c>
      <c r="U105" s="2">
        <f t="shared" si="18"/>
        <v>87.560819999999993</v>
      </c>
      <c r="V105" s="2">
        <f t="shared" si="19"/>
        <v>49.647779999999997</v>
      </c>
      <c r="W105" s="2">
        <f t="shared" si="20"/>
        <v>30.416640000000001</v>
      </c>
      <c r="X105" s="2">
        <f t="shared" si="21"/>
        <v>137.20859999999999</v>
      </c>
      <c r="Y105" s="2"/>
      <c r="Z105" s="2"/>
      <c r="AA105" s="2"/>
      <c r="AB105" s="2"/>
      <c r="AC105" s="2"/>
      <c r="AD105" s="2"/>
      <c r="AE105" s="2"/>
      <c r="AF105" s="2">
        <v>4.3567999999999998</v>
      </c>
      <c r="AG105" s="2">
        <v>34.206060000000001</v>
      </c>
      <c r="AH105" s="2">
        <v>7.9812799999999999</v>
      </c>
      <c r="AI105" s="2">
        <v>12.93629</v>
      </c>
      <c r="AJ105" s="2">
        <v>0</v>
      </c>
      <c r="AK105" s="2">
        <f t="shared" si="22"/>
        <v>0</v>
      </c>
      <c r="AL105" s="2">
        <f t="shared" si="23"/>
        <v>0</v>
      </c>
      <c r="AM105" s="2">
        <f t="shared" si="24"/>
        <v>38.562860000000001</v>
      </c>
      <c r="AN105" s="2">
        <f t="shared" si="25"/>
        <v>20.917569999999998</v>
      </c>
      <c r="AO105" s="2">
        <f t="shared" si="26"/>
        <v>12.93629</v>
      </c>
      <c r="AP105" s="2">
        <f t="shared" si="27"/>
        <v>59.480429999999998</v>
      </c>
    </row>
    <row r="106" spans="1:42" x14ac:dyDescent="0.55000000000000004">
      <c r="A106" t="s">
        <v>31</v>
      </c>
      <c r="B106" s="4">
        <v>9940513403</v>
      </c>
      <c r="C106" t="s">
        <v>66</v>
      </c>
      <c r="D106" t="s">
        <v>77</v>
      </c>
      <c r="E106" t="s">
        <v>150</v>
      </c>
      <c r="F106" t="s">
        <v>26</v>
      </c>
      <c r="G106" s="2">
        <v>0</v>
      </c>
      <c r="H106" s="2"/>
      <c r="I106" s="2">
        <v>0</v>
      </c>
      <c r="J106" s="2">
        <v>-20.374880000000001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f t="shared" si="16"/>
        <v>0</v>
      </c>
      <c r="T106" s="2">
        <f t="shared" si="17"/>
        <v>-20.374880000000001</v>
      </c>
      <c r="U106" s="2">
        <f t="shared" si="18"/>
        <v>0</v>
      </c>
      <c r="V106" s="2">
        <f t="shared" si="19"/>
        <v>0</v>
      </c>
      <c r="W106" s="2">
        <f t="shared" si="20"/>
        <v>0</v>
      </c>
      <c r="X106" s="2">
        <f t="shared" si="21"/>
        <v>-20.374880000000001</v>
      </c>
      <c r="Y106" s="2">
        <v>0</v>
      </c>
      <c r="Z106" s="2"/>
      <c r="AA106" s="2">
        <v>0</v>
      </c>
      <c r="AB106" s="2">
        <v>-22.00395</v>
      </c>
      <c r="AC106" s="2">
        <v>0.24246999999999999</v>
      </c>
      <c r="AD106" s="2">
        <v>0.25268000000000002</v>
      </c>
      <c r="AE106" s="2">
        <v>0.25295000000000001</v>
      </c>
      <c r="AF106" s="2">
        <v>0.24277000000000001</v>
      </c>
      <c r="AG106" s="2">
        <v>0.25025999999999998</v>
      </c>
      <c r="AH106" s="2">
        <v>0.25089</v>
      </c>
      <c r="AI106" s="2">
        <v>0</v>
      </c>
      <c r="AJ106" s="2">
        <v>0</v>
      </c>
      <c r="AK106" s="2">
        <f t="shared" si="22"/>
        <v>0</v>
      </c>
      <c r="AL106" s="2">
        <f t="shared" si="23"/>
        <v>-21.508799999999997</v>
      </c>
      <c r="AM106" s="2">
        <f t="shared" si="24"/>
        <v>0.74598000000000009</v>
      </c>
      <c r="AN106" s="2">
        <f t="shared" si="25"/>
        <v>0.25089</v>
      </c>
      <c r="AO106" s="2">
        <f t="shared" si="26"/>
        <v>0</v>
      </c>
      <c r="AP106" s="2">
        <f t="shared" si="27"/>
        <v>-20.51193</v>
      </c>
    </row>
    <row r="107" spans="1:42" hidden="1" x14ac:dyDescent="0.55000000000000004">
      <c r="A107" t="s">
        <v>31</v>
      </c>
      <c r="B107" s="4">
        <v>9940471730</v>
      </c>
      <c r="C107" t="s">
        <v>130</v>
      </c>
      <c r="D107" t="s">
        <v>90</v>
      </c>
      <c r="E107" t="s">
        <v>153</v>
      </c>
      <c r="F107" t="s">
        <v>131</v>
      </c>
      <c r="G107" s="2"/>
      <c r="H107" s="2">
        <v>-2.4968499999999998</v>
      </c>
      <c r="I107" s="2"/>
      <c r="J107" s="2">
        <v>0</v>
      </c>
      <c r="K107" s="2">
        <v>0</v>
      </c>
      <c r="L107" s="2">
        <v>-2.7899999999999999E-3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f t="shared" si="16"/>
        <v>-2.4968499999999998</v>
      </c>
      <c r="T107" s="2">
        <f t="shared" si="17"/>
        <v>-2.7899999999999999E-3</v>
      </c>
      <c r="U107" s="2">
        <f t="shared" si="18"/>
        <v>0</v>
      </c>
      <c r="V107" s="2">
        <f t="shared" si="19"/>
        <v>0</v>
      </c>
      <c r="W107" s="2">
        <f t="shared" si="20"/>
        <v>0</v>
      </c>
      <c r="X107" s="2">
        <f t="shared" si="21"/>
        <v>-2.4996399999999999</v>
      </c>
      <c r="Y107" s="2"/>
      <c r="Z107" s="2">
        <v>-2.4968499999999998</v>
      </c>
      <c r="AA107" s="2"/>
      <c r="AB107" s="2">
        <v>0</v>
      </c>
      <c r="AC107" s="2">
        <v>0</v>
      </c>
      <c r="AD107" s="2">
        <v>-2.7899999999999999E-3</v>
      </c>
      <c r="AE107" s="2">
        <v>2.8819999999999998E-2</v>
      </c>
      <c r="AF107" s="2">
        <v>2.767E-2</v>
      </c>
      <c r="AG107" s="2">
        <v>2.852E-2</v>
      </c>
      <c r="AH107" s="2">
        <v>2.8590000000000001E-2</v>
      </c>
      <c r="AI107" s="2">
        <v>-0.11301</v>
      </c>
      <c r="AJ107" s="2">
        <v>0</v>
      </c>
      <c r="AK107" s="2">
        <f t="shared" si="22"/>
        <v>-2.4968499999999998</v>
      </c>
      <c r="AL107" s="2">
        <f t="shared" si="23"/>
        <v>-2.7899999999999999E-3</v>
      </c>
      <c r="AM107" s="2">
        <f t="shared" si="24"/>
        <v>8.5010000000000002E-2</v>
      </c>
      <c r="AN107" s="2">
        <f t="shared" si="25"/>
        <v>-8.4419999999999995E-2</v>
      </c>
      <c r="AO107" s="2">
        <f t="shared" si="26"/>
        <v>-0.11301</v>
      </c>
      <c r="AP107" s="2">
        <f t="shared" si="27"/>
        <v>-2.49905</v>
      </c>
    </row>
    <row r="108" spans="1:42" x14ac:dyDescent="0.55000000000000004">
      <c r="A108" t="s">
        <v>31</v>
      </c>
      <c r="B108" s="4">
        <v>9940540705</v>
      </c>
      <c r="C108" t="s">
        <v>67</v>
      </c>
      <c r="D108" t="s">
        <v>80</v>
      </c>
      <c r="E108" t="s">
        <v>150</v>
      </c>
      <c r="F108" t="s">
        <v>26</v>
      </c>
      <c r="G108" s="2">
        <v>20.362110000000001</v>
      </c>
      <c r="H108" s="2">
        <v>27.22692</v>
      </c>
      <c r="I108" s="2">
        <v>43.4069</v>
      </c>
      <c r="J108" s="2">
        <v>45.639719999999997</v>
      </c>
      <c r="K108" s="2">
        <v>7.1292799999999996</v>
      </c>
      <c r="L108" s="2">
        <v>0</v>
      </c>
      <c r="M108" s="2">
        <v>0</v>
      </c>
      <c r="N108" s="2">
        <v>0</v>
      </c>
      <c r="O108" s="2">
        <v>0</v>
      </c>
      <c r="P108" s="2"/>
      <c r="Q108" s="2"/>
      <c r="R108" s="2"/>
      <c r="S108" s="2">
        <f t="shared" si="16"/>
        <v>90.995930000000001</v>
      </c>
      <c r="T108" s="2">
        <f t="shared" si="17"/>
        <v>52.768999999999998</v>
      </c>
      <c r="U108" s="2">
        <f t="shared" si="18"/>
        <v>0</v>
      </c>
      <c r="V108" s="2">
        <f t="shared" si="19"/>
        <v>0</v>
      </c>
      <c r="W108" s="2">
        <f t="shared" si="20"/>
        <v>0</v>
      </c>
      <c r="X108" s="2">
        <f t="shared" si="21"/>
        <v>143.76492999999999</v>
      </c>
      <c r="Y108" s="2">
        <v>6.9966799999999996</v>
      </c>
      <c r="Z108" s="2">
        <v>7.96943</v>
      </c>
      <c r="AA108" s="2">
        <v>14.40645</v>
      </c>
      <c r="AB108" s="2">
        <v>14.309839999999999</v>
      </c>
      <c r="AC108" s="2">
        <v>-5.1763599999999999</v>
      </c>
      <c r="AD108" s="2">
        <v>-24.90089</v>
      </c>
      <c r="AE108" s="2">
        <v>10.738329999999999</v>
      </c>
      <c r="AF108" s="2">
        <v>2.81643</v>
      </c>
      <c r="AG108" s="2">
        <v>3.391</v>
      </c>
      <c r="AH108" s="2"/>
      <c r="AI108" s="2"/>
      <c r="AJ108" s="2"/>
      <c r="AK108" s="2">
        <f t="shared" si="22"/>
        <v>29.37256</v>
      </c>
      <c r="AL108" s="2">
        <f t="shared" si="23"/>
        <v>-15.767410000000002</v>
      </c>
      <c r="AM108" s="2">
        <f t="shared" si="24"/>
        <v>16.94576</v>
      </c>
      <c r="AN108" s="2">
        <f t="shared" si="25"/>
        <v>0</v>
      </c>
      <c r="AO108" s="2">
        <f t="shared" si="26"/>
        <v>0</v>
      </c>
      <c r="AP108" s="2">
        <f t="shared" si="27"/>
        <v>30.550909999999998</v>
      </c>
    </row>
    <row r="109" spans="1:42" hidden="1" x14ac:dyDescent="0.55000000000000004">
      <c r="A109" t="s">
        <v>31</v>
      </c>
      <c r="B109" s="4">
        <v>9940543177</v>
      </c>
      <c r="C109" t="s">
        <v>68</v>
      </c>
      <c r="D109" t="s">
        <v>82</v>
      </c>
      <c r="E109" t="s">
        <v>155</v>
      </c>
      <c r="F109" t="s">
        <v>26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f t="shared" si="16"/>
        <v>0</v>
      </c>
      <c r="T109" s="2">
        <f t="shared" si="17"/>
        <v>0</v>
      </c>
      <c r="U109" s="2">
        <f t="shared" si="18"/>
        <v>0</v>
      </c>
      <c r="V109" s="2">
        <f t="shared" si="19"/>
        <v>0</v>
      </c>
      <c r="W109" s="2">
        <f t="shared" si="20"/>
        <v>0</v>
      </c>
      <c r="X109" s="2">
        <f t="shared" si="21"/>
        <v>0</v>
      </c>
      <c r="Y109" s="2">
        <v>-2.0000000000000002E-5</v>
      </c>
      <c r="Z109" s="2">
        <v>4.9979800000000001</v>
      </c>
      <c r="AA109" s="2">
        <v>-5.3732100000000003</v>
      </c>
      <c r="AB109" s="2">
        <v>-1.12992</v>
      </c>
      <c r="AC109" s="2">
        <v>1.3072299999999999</v>
      </c>
      <c r="AD109" s="2">
        <v>1.09195</v>
      </c>
      <c r="AE109" s="2">
        <v>0.43251000000000001</v>
      </c>
      <c r="AF109" s="2">
        <v>0.43429000000000001</v>
      </c>
      <c r="AG109" s="2">
        <v>0.4249</v>
      </c>
      <c r="AH109" s="2">
        <v>0.42476000000000003</v>
      </c>
      <c r="AI109" s="2">
        <v>2.9083700000000001</v>
      </c>
      <c r="AJ109" s="2">
        <v>0</v>
      </c>
      <c r="AK109" s="2">
        <f t="shared" si="22"/>
        <v>-0.37525000000000031</v>
      </c>
      <c r="AL109" s="2">
        <f t="shared" si="23"/>
        <v>1.2692599999999998</v>
      </c>
      <c r="AM109" s="2">
        <f t="shared" si="24"/>
        <v>1.2917000000000001</v>
      </c>
      <c r="AN109" s="2">
        <f t="shared" si="25"/>
        <v>3.3331300000000001</v>
      </c>
      <c r="AO109" s="2">
        <f t="shared" si="26"/>
        <v>2.9083700000000001</v>
      </c>
      <c r="AP109" s="2">
        <f t="shared" si="27"/>
        <v>5.5188399999999991</v>
      </c>
    </row>
    <row r="110" spans="1:42" hidden="1" x14ac:dyDescent="0.55000000000000004">
      <c r="A110" t="s">
        <v>31</v>
      </c>
      <c r="B110" s="4">
        <v>9940569550</v>
      </c>
      <c r="C110" t="s">
        <v>69</v>
      </c>
      <c r="D110" t="s">
        <v>79</v>
      </c>
      <c r="E110" t="s">
        <v>152</v>
      </c>
      <c r="F110" t="s">
        <v>131</v>
      </c>
      <c r="G110" s="2"/>
      <c r="H110" s="2"/>
      <c r="I110" s="2"/>
      <c r="J110" s="2"/>
      <c r="K110" s="2"/>
      <c r="L110" s="2"/>
      <c r="M110" s="2">
        <v>0</v>
      </c>
      <c r="N110" s="2">
        <v>19.252579999999998</v>
      </c>
      <c r="O110" s="2">
        <v>45.938369999999999</v>
      </c>
      <c r="P110" s="2">
        <v>55.023310000000002</v>
      </c>
      <c r="Q110" s="2">
        <v>8.812856</v>
      </c>
      <c r="R110" s="2">
        <v>7.594436</v>
      </c>
      <c r="S110" s="2">
        <f t="shared" si="16"/>
        <v>0</v>
      </c>
      <c r="T110" s="2">
        <f t="shared" si="17"/>
        <v>0</v>
      </c>
      <c r="U110" s="2">
        <f t="shared" si="18"/>
        <v>65.190950000000001</v>
      </c>
      <c r="V110" s="2">
        <f t="shared" si="19"/>
        <v>71.430602000000007</v>
      </c>
      <c r="W110" s="2">
        <f t="shared" si="20"/>
        <v>16.407291999999998</v>
      </c>
      <c r="X110" s="2">
        <f t="shared" si="21"/>
        <v>136.62155200000001</v>
      </c>
      <c r="Y110" s="2"/>
      <c r="Z110" s="2"/>
      <c r="AA110" s="2"/>
      <c r="AB110" s="2"/>
      <c r="AC110" s="2"/>
      <c r="AD110" s="2"/>
      <c r="AE110" s="2">
        <v>0</v>
      </c>
      <c r="AF110" s="2">
        <v>7.9560300000000002</v>
      </c>
      <c r="AG110" s="2">
        <v>17.576840000000001</v>
      </c>
      <c r="AH110" s="2">
        <v>19.419309999999999</v>
      </c>
      <c r="AI110" s="2">
        <v>2.3560880000000002</v>
      </c>
      <c r="AJ110" s="2">
        <v>2.3157960000000002</v>
      </c>
      <c r="AK110" s="2">
        <f t="shared" si="22"/>
        <v>0</v>
      </c>
      <c r="AL110" s="2">
        <f t="shared" si="23"/>
        <v>0</v>
      </c>
      <c r="AM110" s="2">
        <f t="shared" si="24"/>
        <v>25.532870000000003</v>
      </c>
      <c r="AN110" s="2">
        <f t="shared" si="25"/>
        <v>24.091193999999998</v>
      </c>
      <c r="AO110" s="2">
        <f t="shared" si="26"/>
        <v>4.6718840000000004</v>
      </c>
      <c r="AP110" s="2">
        <f t="shared" si="27"/>
        <v>49.624064000000004</v>
      </c>
    </row>
    <row r="111" spans="1:42" hidden="1" x14ac:dyDescent="0.55000000000000004">
      <c r="A111" t="s">
        <v>31</v>
      </c>
      <c r="B111" s="4">
        <v>9940569550</v>
      </c>
      <c r="C111" t="s">
        <v>69</v>
      </c>
      <c r="D111" t="s">
        <v>79</v>
      </c>
      <c r="E111" t="s">
        <v>152</v>
      </c>
      <c r="F111" t="s">
        <v>26</v>
      </c>
      <c r="G111" s="2"/>
      <c r="H111" s="2"/>
      <c r="I111" s="2"/>
      <c r="J111" s="2"/>
      <c r="K111" s="2"/>
      <c r="L111" s="2"/>
      <c r="M111" s="2">
        <v>0</v>
      </c>
      <c r="N111" s="2">
        <v>28.878869999999999</v>
      </c>
      <c r="O111" s="2">
        <v>68.907550000000001</v>
      </c>
      <c r="P111" s="2">
        <v>82.534949999999995</v>
      </c>
      <c r="Q111" s="2">
        <v>13.219284</v>
      </c>
      <c r="R111" s="2">
        <v>11.391654000000001</v>
      </c>
      <c r="S111" s="2">
        <f t="shared" si="16"/>
        <v>0</v>
      </c>
      <c r="T111" s="2">
        <f t="shared" si="17"/>
        <v>0</v>
      </c>
      <c r="U111" s="2">
        <f t="shared" si="18"/>
        <v>97.786419999999993</v>
      </c>
      <c r="V111" s="2">
        <f t="shared" si="19"/>
        <v>107.145888</v>
      </c>
      <c r="W111" s="2">
        <f t="shared" si="20"/>
        <v>24.610938000000001</v>
      </c>
      <c r="X111" s="2">
        <f t="shared" si="21"/>
        <v>204.93230799999998</v>
      </c>
      <c r="Y111" s="2"/>
      <c r="Z111" s="2"/>
      <c r="AA111" s="2"/>
      <c r="AB111" s="2"/>
      <c r="AC111" s="2"/>
      <c r="AD111" s="2"/>
      <c r="AE111" s="2">
        <v>0</v>
      </c>
      <c r="AF111" s="2">
        <v>11.20992</v>
      </c>
      <c r="AG111" s="2">
        <v>24.547190000000001</v>
      </c>
      <c r="AH111" s="2">
        <v>26.846640000000001</v>
      </c>
      <c r="AI111" s="2">
        <v>3.5341320000000001</v>
      </c>
      <c r="AJ111" s="2">
        <v>3.4736940000000001</v>
      </c>
      <c r="AK111" s="2">
        <f t="shared" si="22"/>
        <v>0</v>
      </c>
      <c r="AL111" s="2">
        <f t="shared" si="23"/>
        <v>0</v>
      </c>
      <c r="AM111" s="2">
        <f t="shared" si="24"/>
        <v>35.757109999999997</v>
      </c>
      <c r="AN111" s="2">
        <f t="shared" si="25"/>
        <v>33.854466000000002</v>
      </c>
      <c r="AO111" s="2">
        <f t="shared" si="26"/>
        <v>7.0078259999999997</v>
      </c>
      <c r="AP111" s="2">
        <f t="shared" si="27"/>
        <v>69.611575999999999</v>
      </c>
    </row>
    <row r="112" spans="1:42" hidden="1" x14ac:dyDescent="0.55000000000000004">
      <c r="A112" t="s">
        <v>92</v>
      </c>
      <c r="B112" s="4">
        <v>9940558396</v>
      </c>
      <c r="C112" t="s">
        <v>35</v>
      </c>
      <c r="D112" t="s">
        <v>73</v>
      </c>
      <c r="E112" t="s">
        <v>150</v>
      </c>
      <c r="F112" t="s">
        <v>131</v>
      </c>
      <c r="G112" s="2">
        <v>5.7169668600000003</v>
      </c>
      <c r="H112" s="2">
        <v>5.6105616600000001</v>
      </c>
      <c r="I112" s="2">
        <v>5.9081299200000004</v>
      </c>
      <c r="J112" s="2">
        <v>4.4560177200000002</v>
      </c>
      <c r="K112" s="2">
        <v>4.49327538</v>
      </c>
      <c r="L112" s="2">
        <v>6.2819499600000004</v>
      </c>
      <c r="M112" s="2">
        <v>4.3146180000000003</v>
      </c>
      <c r="N112" s="2">
        <v>3.1076238599999999</v>
      </c>
      <c r="O112" s="2">
        <v>3.8763390599999998</v>
      </c>
      <c r="P112" s="2">
        <v>3.9947173199999999</v>
      </c>
      <c r="Q112" s="2">
        <v>3.6892528200000001</v>
      </c>
      <c r="R112" s="2">
        <v>3.1332490200000001</v>
      </c>
      <c r="S112" s="2">
        <f t="shared" ref="S112:S167" si="28">G112+H112+I112</f>
        <v>17.235658440000002</v>
      </c>
      <c r="T112" s="2">
        <f t="shared" ref="T112:T167" si="29">J112+K112+L112</f>
        <v>15.231243060000001</v>
      </c>
      <c r="U112" s="2">
        <f t="shared" si="18"/>
        <v>11.298580919999999</v>
      </c>
      <c r="V112" s="2">
        <f t="shared" si="19"/>
        <v>10.81721916</v>
      </c>
      <c r="W112" s="2">
        <f t="shared" si="20"/>
        <v>6.8225018400000002</v>
      </c>
      <c r="X112" s="2">
        <f t="shared" si="21"/>
        <v>54.582701580000005</v>
      </c>
      <c r="Y112" s="2">
        <v>2.1139529399999999</v>
      </c>
      <c r="Z112" s="2">
        <v>2.1554082000000001</v>
      </c>
      <c r="AA112" s="2">
        <v>2.2477435200000002</v>
      </c>
      <c r="AB112" s="2">
        <v>1.6521159599999999</v>
      </c>
      <c r="AC112" s="2">
        <v>1.7261838</v>
      </c>
      <c r="AD112" s="2">
        <v>2.4786808200000001</v>
      </c>
      <c r="AE112" s="2">
        <v>1.7484588000000001</v>
      </c>
      <c r="AF112" s="2">
        <v>1.1902413599999999</v>
      </c>
      <c r="AG112" s="2">
        <v>1.0805473800000001</v>
      </c>
      <c r="AH112" s="2">
        <v>1.12524588</v>
      </c>
      <c r="AI112" s="2">
        <v>1.39214196</v>
      </c>
      <c r="AJ112" s="2">
        <v>1.1077822799999999</v>
      </c>
      <c r="AK112" s="2">
        <f t="shared" si="22"/>
        <v>6.5171046600000002</v>
      </c>
      <c r="AL112" s="2">
        <f t="shared" si="23"/>
        <v>5.8569805800000001</v>
      </c>
      <c r="AM112" s="2">
        <f t="shared" si="24"/>
        <v>4.0192475400000003</v>
      </c>
      <c r="AN112" s="2">
        <f t="shared" si="25"/>
        <v>3.6251701199999999</v>
      </c>
      <c r="AO112" s="2">
        <f t="shared" si="26"/>
        <v>2.4999242399999999</v>
      </c>
      <c r="AP112" s="2">
        <f t="shared" si="27"/>
        <v>20.018502900000001</v>
      </c>
    </row>
    <row r="113" spans="1:42" x14ac:dyDescent="0.55000000000000004">
      <c r="A113" t="s">
        <v>92</v>
      </c>
      <c r="B113" s="4">
        <v>9940558396</v>
      </c>
      <c r="C113" t="s">
        <v>35</v>
      </c>
      <c r="D113" t="s">
        <v>73</v>
      </c>
      <c r="E113" t="s">
        <v>150</v>
      </c>
      <c r="F113" t="s">
        <v>26</v>
      </c>
      <c r="G113" s="2">
        <v>32.396145539999999</v>
      </c>
      <c r="H113" s="2">
        <v>31.793182739999999</v>
      </c>
      <c r="I113" s="2">
        <v>33.479402880000002</v>
      </c>
      <c r="J113" s="2">
        <v>25.250767079999999</v>
      </c>
      <c r="K113" s="2">
        <v>25.46189382</v>
      </c>
      <c r="L113" s="2">
        <v>35.597716439999999</v>
      </c>
      <c r="M113" s="2">
        <v>24.449501999999999</v>
      </c>
      <c r="N113" s="2">
        <v>17.609868540000001</v>
      </c>
      <c r="O113" s="2">
        <v>21.965921340000001</v>
      </c>
      <c r="P113" s="2">
        <v>22.636731480000002</v>
      </c>
      <c r="Q113" s="2">
        <v>20.905765980000002</v>
      </c>
      <c r="R113" s="2">
        <v>17.755077780000001</v>
      </c>
      <c r="S113" s="2">
        <f t="shared" si="28"/>
        <v>97.668731159999993</v>
      </c>
      <c r="T113" s="2">
        <f t="shared" si="29"/>
        <v>86.310377340000002</v>
      </c>
      <c r="U113" s="2">
        <f t="shared" si="18"/>
        <v>64.025291879999997</v>
      </c>
      <c r="V113" s="2">
        <f t="shared" si="19"/>
        <v>61.297575240000008</v>
      </c>
      <c r="W113" s="2">
        <f t="shared" si="20"/>
        <v>38.660843760000006</v>
      </c>
      <c r="X113" s="2">
        <f t="shared" si="21"/>
        <v>309.30197562000001</v>
      </c>
      <c r="Y113" s="2">
        <v>11.979066660000001</v>
      </c>
      <c r="Z113" s="2">
        <v>12.213979800000001</v>
      </c>
      <c r="AA113" s="2">
        <v>12.737213280000001</v>
      </c>
      <c r="AB113" s="2">
        <v>9.3619904399999996</v>
      </c>
      <c r="AC113" s="2">
        <v>9.7817082000000006</v>
      </c>
      <c r="AD113" s="2">
        <v>14.045857979999999</v>
      </c>
      <c r="AE113" s="2">
        <v>9.9079332000000004</v>
      </c>
      <c r="AF113" s="2">
        <v>6.7447010399999998</v>
      </c>
      <c r="AG113" s="2">
        <v>6.1231018199999996</v>
      </c>
      <c r="AH113" s="2">
        <v>6.37639332</v>
      </c>
      <c r="AI113" s="2">
        <v>7.8888044400000004</v>
      </c>
      <c r="AJ113" s="2">
        <v>6.2774329199999999</v>
      </c>
      <c r="AK113" s="2">
        <f t="shared" si="22"/>
        <v>36.930259740000004</v>
      </c>
      <c r="AL113" s="2">
        <f t="shared" si="23"/>
        <v>33.189556619999998</v>
      </c>
      <c r="AM113" s="2">
        <f t="shared" si="24"/>
        <v>22.77573606</v>
      </c>
      <c r="AN113" s="2">
        <f t="shared" si="25"/>
        <v>20.542630679999998</v>
      </c>
      <c r="AO113" s="2">
        <f t="shared" si="26"/>
        <v>14.16623736</v>
      </c>
      <c r="AP113" s="2">
        <f t="shared" si="27"/>
        <v>113.4381831</v>
      </c>
    </row>
    <row r="114" spans="1:42" hidden="1" x14ac:dyDescent="0.55000000000000004">
      <c r="A114" t="s">
        <v>92</v>
      </c>
      <c r="B114" s="4">
        <v>9940488298</v>
      </c>
      <c r="C114" t="s">
        <v>38</v>
      </c>
      <c r="D114" t="s">
        <v>76</v>
      </c>
      <c r="E114" t="s">
        <v>150</v>
      </c>
      <c r="F114" t="s">
        <v>131</v>
      </c>
      <c r="G114" s="2">
        <v>3.0047272450000002</v>
      </c>
      <c r="H114" s="2">
        <v>2.1514779599999998</v>
      </c>
      <c r="I114" s="2">
        <v>1.9359904999999999</v>
      </c>
      <c r="J114" s="2">
        <v>1.4379567799999999</v>
      </c>
      <c r="K114" s="2">
        <v>1.467296615</v>
      </c>
      <c r="L114" s="2">
        <v>1.4676597849999999</v>
      </c>
      <c r="M114" s="2">
        <v>1.468090345</v>
      </c>
      <c r="N114" s="2">
        <v>1.4703556149999999</v>
      </c>
      <c r="O114" s="2">
        <v>1.47383471</v>
      </c>
      <c r="P114" s="2">
        <v>1.4824823650000001</v>
      </c>
      <c r="Q114" s="2">
        <v>1.48622136</v>
      </c>
      <c r="R114" s="2">
        <v>1.4930662750000001</v>
      </c>
      <c r="S114" s="2">
        <f t="shared" si="28"/>
        <v>7.092195705</v>
      </c>
      <c r="T114" s="2">
        <f t="shared" si="29"/>
        <v>4.3729131799999994</v>
      </c>
      <c r="U114" s="2">
        <f t="shared" si="18"/>
        <v>4.4122806700000003</v>
      </c>
      <c r="V114" s="2">
        <f t="shared" si="19"/>
        <v>4.4617700000000005</v>
      </c>
      <c r="W114" s="2">
        <f t="shared" si="20"/>
        <v>2.9792876350000004</v>
      </c>
      <c r="X114" s="2">
        <f t="shared" si="21"/>
        <v>20.339159555000002</v>
      </c>
      <c r="Y114" s="2">
        <v>-0.28783798500000002</v>
      </c>
      <c r="Z114" s="2">
        <v>-0.46582992499999998</v>
      </c>
      <c r="AA114" s="2">
        <v>0.294212205</v>
      </c>
      <c r="AB114" s="2">
        <v>0.52356142000000006</v>
      </c>
      <c r="AC114" s="2">
        <v>0.54239152000000002</v>
      </c>
      <c r="AD114" s="2">
        <v>0.53304098499999997</v>
      </c>
      <c r="AE114" s="2">
        <v>0.52324126000000004</v>
      </c>
      <c r="AF114" s="2">
        <v>0.49988613999999998</v>
      </c>
      <c r="AG114" s="2">
        <v>0.48718645999999999</v>
      </c>
      <c r="AH114" s="2">
        <v>0.41229558500000002</v>
      </c>
      <c r="AI114" s="2">
        <v>0.40973752499999999</v>
      </c>
      <c r="AJ114" s="2">
        <v>0.39680934000000001</v>
      </c>
      <c r="AK114" s="2">
        <f t="shared" si="22"/>
        <v>-0.45945570499999999</v>
      </c>
      <c r="AL114" s="2">
        <f t="shared" si="23"/>
        <v>1.598993925</v>
      </c>
      <c r="AM114" s="2">
        <f t="shared" si="24"/>
        <v>1.5103138599999999</v>
      </c>
      <c r="AN114" s="2">
        <f t="shared" si="25"/>
        <v>1.2188424499999999</v>
      </c>
      <c r="AO114" s="2">
        <f t="shared" si="26"/>
        <v>0.80654686500000006</v>
      </c>
      <c r="AP114" s="2">
        <f t="shared" si="27"/>
        <v>3.8686945299999995</v>
      </c>
    </row>
    <row r="115" spans="1:42" x14ac:dyDescent="0.55000000000000004">
      <c r="A115" t="s">
        <v>92</v>
      </c>
      <c r="B115" s="4">
        <v>9940488298</v>
      </c>
      <c r="C115" t="s">
        <v>38</v>
      </c>
      <c r="D115" t="s">
        <v>76</v>
      </c>
      <c r="E115" t="s">
        <v>150</v>
      </c>
      <c r="F115" t="s">
        <v>26</v>
      </c>
      <c r="G115" s="2">
        <v>10.059304255000001</v>
      </c>
      <c r="H115" s="2">
        <v>7.2027740400000004</v>
      </c>
      <c r="I115" s="2">
        <v>6.4813594999999999</v>
      </c>
      <c r="J115" s="2">
        <v>4.8140292200000001</v>
      </c>
      <c r="K115" s="2">
        <v>4.9122538850000002</v>
      </c>
      <c r="L115" s="2">
        <v>4.9134697149999997</v>
      </c>
      <c r="M115" s="2">
        <v>4.9149111550000004</v>
      </c>
      <c r="N115" s="2">
        <v>4.9224948849999999</v>
      </c>
      <c r="O115" s="2">
        <v>4.9341422899999996</v>
      </c>
      <c r="P115" s="2">
        <v>4.9630931350000003</v>
      </c>
      <c r="Q115" s="2">
        <v>4.9756106400000002</v>
      </c>
      <c r="R115" s="2">
        <v>4.998526225</v>
      </c>
      <c r="S115" s="2">
        <f t="shared" si="28"/>
        <v>23.743437795000002</v>
      </c>
      <c r="T115" s="2">
        <f t="shared" si="29"/>
        <v>14.63975282</v>
      </c>
      <c r="U115" s="2">
        <f t="shared" si="18"/>
        <v>14.771548330000002</v>
      </c>
      <c r="V115" s="2">
        <f t="shared" si="19"/>
        <v>14.93723</v>
      </c>
      <c r="W115" s="2">
        <f t="shared" si="20"/>
        <v>9.9741368650000002</v>
      </c>
      <c r="X115" s="2">
        <f t="shared" si="21"/>
        <v>68.091968945000005</v>
      </c>
      <c r="Y115" s="2">
        <v>-0.96363151499999999</v>
      </c>
      <c r="Z115" s="2">
        <v>-1.5595175750000001</v>
      </c>
      <c r="AA115" s="2">
        <v>0.98497129500000002</v>
      </c>
      <c r="AB115" s="2">
        <v>1.7527925799999999</v>
      </c>
      <c r="AC115" s="2">
        <v>1.8158324800000001</v>
      </c>
      <c r="AD115" s="2">
        <v>1.7845285150000001</v>
      </c>
      <c r="AE115" s="2">
        <v>1.7517207400000001</v>
      </c>
      <c r="AF115" s="2">
        <v>1.67353186</v>
      </c>
      <c r="AG115" s="2">
        <v>1.6310155399999999</v>
      </c>
      <c r="AH115" s="2">
        <v>1.380293915</v>
      </c>
      <c r="AI115" s="2">
        <v>1.371729975</v>
      </c>
      <c r="AJ115" s="2">
        <v>1.3284486600000001</v>
      </c>
      <c r="AK115" s="2">
        <f t="shared" si="22"/>
        <v>-1.538177795</v>
      </c>
      <c r="AL115" s="2">
        <f t="shared" si="23"/>
        <v>5.3531535750000003</v>
      </c>
      <c r="AM115" s="2">
        <f t="shared" si="24"/>
        <v>5.0562681400000002</v>
      </c>
      <c r="AN115" s="2">
        <f t="shared" si="25"/>
        <v>4.0804725500000005</v>
      </c>
      <c r="AO115" s="2">
        <f t="shared" si="26"/>
        <v>2.7001786350000003</v>
      </c>
      <c r="AP115" s="2">
        <f t="shared" si="27"/>
        <v>12.951716470000001</v>
      </c>
    </row>
    <row r="116" spans="1:42" hidden="1" x14ac:dyDescent="0.55000000000000004">
      <c r="A116" t="s">
        <v>92</v>
      </c>
      <c r="B116" s="4">
        <v>9940481651</v>
      </c>
      <c r="C116" t="s">
        <v>94</v>
      </c>
      <c r="D116" t="s">
        <v>74</v>
      </c>
      <c r="E116" t="s">
        <v>150</v>
      </c>
      <c r="F116" t="s">
        <v>131</v>
      </c>
      <c r="G116" s="2">
        <v>6.485544</v>
      </c>
      <c r="H116" s="2">
        <v>6.485544</v>
      </c>
      <c r="I116" s="2">
        <v>6.485544</v>
      </c>
      <c r="J116" s="2">
        <v>6.485544</v>
      </c>
      <c r="K116" s="2">
        <v>6.485544</v>
      </c>
      <c r="L116" s="2">
        <v>6.485544</v>
      </c>
      <c r="M116" s="2">
        <v>6.485544</v>
      </c>
      <c r="N116" s="2">
        <v>6.485544</v>
      </c>
      <c r="O116" s="2">
        <v>6.485544</v>
      </c>
      <c r="P116" s="2">
        <v>6.485544</v>
      </c>
      <c r="Q116" s="2">
        <v>6.485544</v>
      </c>
      <c r="R116" s="2">
        <v>6.485544</v>
      </c>
      <c r="S116" s="2">
        <f t="shared" si="28"/>
        <v>19.456631999999999</v>
      </c>
      <c r="T116" s="2">
        <f t="shared" si="29"/>
        <v>19.456631999999999</v>
      </c>
      <c r="U116" s="2">
        <f t="shared" si="18"/>
        <v>19.456631999999999</v>
      </c>
      <c r="V116" s="2">
        <f t="shared" si="19"/>
        <v>19.456631999999999</v>
      </c>
      <c r="W116" s="2">
        <f t="shared" si="20"/>
        <v>12.971088</v>
      </c>
      <c r="X116" s="2">
        <f t="shared" si="21"/>
        <v>77.826527999999996</v>
      </c>
      <c r="Y116" s="2">
        <v>5.1351779999999998</v>
      </c>
      <c r="Z116" s="2">
        <v>5.0677320000000003</v>
      </c>
      <c r="AA116" s="2">
        <v>5.0002820000000003</v>
      </c>
      <c r="AB116" s="2">
        <v>4.9328320000000003</v>
      </c>
      <c r="AC116" s="2">
        <v>4.865386</v>
      </c>
      <c r="AD116" s="2">
        <v>4.797936</v>
      </c>
      <c r="AE116" s="2">
        <v>4.730486</v>
      </c>
      <c r="AF116" s="2">
        <v>4.6630380000000002</v>
      </c>
      <c r="AG116" s="2">
        <v>4.5955899999999996</v>
      </c>
      <c r="AH116" s="2">
        <v>4.5281419999999999</v>
      </c>
      <c r="AI116" s="2">
        <v>4.4606919999999999</v>
      </c>
      <c r="AJ116" s="2">
        <v>4.3886320000000003</v>
      </c>
      <c r="AK116" s="2">
        <f t="shared" si="22"/>
        <v>15.203192</v>
      </c>
      <c r="AL116" s="2">
        <f t="shared" si="23"/>
        <v>14.596154</v>
      </c>
      <c r="AM116" s="2">
        <f t="shared" si="24"/>
        <v>13.989113999999999</v>
      </c>
      <c r="AN116" s="2">
        <f t="shared" si="25"/>
        <v>13.377466000000002</v>
      </c>
      <c r="AO116" s="2">
        <f t="shared" si="26"/>
        <v>8.8493239999999993</v>
      </c>
      <c r="AP116" s="2">
        <f t="shared" si="27"/>
        <v>57.165925999999999</v>
      </c>
    </row>
    <row r="117" spans="1:42" hidden="1" x14ac:dyDescent="0.55000000000000004">
      <c r="A117" t="s">
        <v>92</v>
      </c>
      <c r="B117" s="4">
        <v>9940481651</v>
      </c>
      <c r="C117" t="s">
        <v>94</v>
      </c>
      <c r="D117" t="s">
        <v>74</v>
      </c>
      <c r="E117" t="s">
        <v>150</v>
      </c>
      <c r="F117" t="s">
        <v>133</v>
      </c>
      <c r="G117" s="2">
        <v>396.34259364000002</v>
      </c>
      <c r="H117" s="2">
        <v>123.60214062</v>
      </c>
      <c r="I117" s="2">
        <v>93.7217232</v>
      </c>
      <c r="J117" s="2">
        <v>91.432289339999997</v>
      </c>
      <c r="K117" s="2">
        <v>78.987968640000005</v>
      </c>
      <c r="L117" s="2">
        <v>66.9267459</v>
      </c>
      <c r="M117" s="2">
        <v>66.299265899999995</v>
      </c>
      <c r="N117" s="2">
        <v>57.581153280000002</v>
      </c>
      <c r="O117" s="2">
        <v>55.710296460000002</v>
      </c>
      <c r="P117" s="2">
        <v>51.113027700000004</v>
      </c>
      <c r="Q117" s="2">
        <v>51.12628668</v>
      </c>
      <c r="R117" s="2">
        <v>46.377220680000001</v>
      </c>
      <c r="S117" s="2">
        <f t="shared" si="28"/>
        <v>613.66645746000006</v>
      </c>
      <c r="T117" s="2">
        <f t="shared" si="29"/>
        <v>237.34700387999999</v>
      </c>
      <c r="U117" s="2">
        <f t="shared" si="18"/>
        <v>179.59071563999998</v>
      </c>
      <c r="V117" s="2">
        <f t="shared" si="19"/>
        <v>148.61653505999999</v>
      </c>
      <c r="W117" s="2">
        <f t="shared" si="20"/>
        <v>97.50350736</v>
      </c>
      <c r="X117" s="2">
        <f t="shared" si="21"/>
        <v>1179.2207120399999</v>
      </c>
      <c r="Y117" s="2">
        <v>285.23081789999998</v>
      </c>
      <c r="Z117" s="2">
        <v>22.092652260000001</v>
      </c>
      <c r="AA117" s="2">
        <v>10.44669654</v>
      </c>
      <c r="AB117" s="2">
        <v>15.607501559999999</v>
      </c>
      <c r="AC117" s="2">
        <v>12.7512378</v>
      </c>
      <c r="AD117" s="2">
        <v>6.4169280000000004</v>
      </c>
      <c r="AE117" s="2">
        <v>5.7226302000000002</v>
      </c>
      <c r="AF117" s="2">
        <v>2.5383960000000001</v>
      </c>
      <c r="AG117" s="2">
        <v>2.1311665199999998</v>
      </c>
      <c r="AH117" s="2">
        <v>-1.41482124</v>
      </c>
      <c r="AI117" s="2">
        <v>-9.2441159999999994E-2</v>
      </c>
      <c r="AJ117" s="2">
        <v>-22.974537600000001</v>
      </c>
      <c r="AK117" s="2">
        <f t="shared" si="22"/>
        <v>317.7701667</v>
      </c>
      <c r="AL117" s="2">
        <f t="shared" si="23"/>
        <v>34.77566736</v>
      </c>
      <c r="AM117" s="2">
        <f t="shared" si="24"/>
        <v>10.392192720000001</v>
      </c>
      <c r="AN117" s="2">
        <f t="shared" si="25"/>
        <v>-24.4818</v>
      </c>
      <c r="AO117" s="2">
        <f t="shared" si="26"/>
        <v>-23.066978760000001</v>
      </c>
      <c r="AP117" s="2">
        <f t="shared" si="27"/>
        <v>338.45622678000001</v>
      </c>
    </row>
    <row r="118" spans="1:42" hidden="1" x14ac:dyDescent="0.55000000000000004">
      <c r="A118" t="s">
        <v>92</v>
      </c>
      <c r="B118" s="4">
        <v>9940481651</v>
      </c>
      <c r="C118" t="s">
        <v>94</v>
      </c>
      <c r="D118" t="s">
        <v>74</v>
      </c>
      <c r="E118" t="s">
        <v>150</v>
      </c>
      <c r="F118" t="s">
        <v>134</v>
      </c>
      <c r="G118" s="2">
        <v>232.77263436000001</v>
      </c>
      <c r="H118" s="2">
        <v>72.591733379999994</v>
      </c>
      <c r="I118" s="2">
        <v>55.0429168</v>
      </c>
      <c r="J118" s="2">
        <v>53.698328660000001</v>
      </c>
      <c r="K118" s="2">
        <v>46.389759359999999</v>
      </c>
      <c r="L118" s="2">
        <v>39.306184100000003</v>
      </c>
      <c r="M118" s="2">
        <v>38.937664099999999</v>
      </c>
      <c r="N118" s="2">
        <v>33.81750272</v>
      </c>
      <c r="O118" s="2">
        <v>32.71874554</v>
      </c>
      <c r="P118" s="2">
        <v>30.018762299999999</v>
      </c>
      <c r="Q118" s="2">
        <v>30.026549320000001</v>
      </c>
      <c r="R118" s="2">
        <v>27.23741532</v>
      </c>
      <c r="S118" s="2">
        <f t="shared" si="28"/>
        <v>360.40728454000003</v>
      </c>
      <c r="T118" s="2">
        <f t="shared" si="29"/>
        <v>139.39427212000001</v>
      </c>
      <c r="U118" s="2">
        <f t="shared" si="18"/>
        <v>105.47391236</v>
      </c>
      <c r="V118" s="2">
        <f t="shared" si="19"/>
        <v>87.282726940000003</v>
      </c>
      <c r="W118" s="2">
        <f t="shared" si="20"/>
        <v>57.263964639999998</v>
      </c>
      <c r="X118" s="2">
        <f t="shared" si="21"/>
        <v>692.55819596000003</v>
      </c>
      <c r="Y118" s="2">
        <v>167.5165121</v>
      </c>
      <c r="Z118" s="2">
        <v>12.975049739999999</v>
      </c>
      <c r="AA118" s="2">
        <v>6.1353614600000004</v>
      </c>
      <c r="AB118" s="2">
        <v>9.1663104400000002</v>
      </c>
      <c r="AC118" s="2">
        <v>7.4888222000000004</v>
      </c>
      <c r="AD118" s="2">
        <v>3.768672</v>
      </c>
      <c r="AE118" s="2">
        <v>3.3609097999999999</v>
      </c>
      <c r="AF118" s="2">
        <v>1.490804</v>
      </c>
      <c r="AG118" s="2">
        <v>1.2516374800000001</v>
      </c>
      <c r="AH118" s="2">
        <v>-0.83092675999999999</v>
      </c>
      <c r="AI118" s="2">
        <v>-5.429084E-2</v>
      </c>
      <c r="AJ118" s="2">
        <v>-13.492982400000001</v>
      </c>
      <c r="AK118" s="2">
        <f t="shared" si="22"/>
        <v>186.62692330000002</v>
      </c>
      <c r="AL118" s="2">
        <f t="shared" si="23"/>
        <v>20.42380464</v>
      </c>
      <c r="AM118" s="2">
        <f t="shared" si="24"/>
        <v>6.10335128</v>
      </c>
      <c r="AN118" s="2">
        <f t="shared" si="25"/>
        <v>-14.378200000000001</v>
      </c>
      <c r="AO118" s="2">
        <f t="shared" si="26"/>
        <v>-13.547273240000001</v>
      </c>
      <c r="AP118" s="2">
        <f t="shared" si="27"/>
        <v>198.77587922000001</v>
      </c>
    </row>
    <row r="119" spans="1:42" hidden="1" x14ac:dyDescent="0.55000000000000004">
      <c r="A119" t="s">
        <v>92</v>
      </c>
      <c r="B119" s="4">
        <v>9940533180</v>
      </c>
      <c r="C119" t="s">
        <v>39</v>
      </c>
      <c r="D119" t="s">
        <v>78</v>
      </c>
      <c r="E119" t="s">
        <v>153</v>
      </c>
      <c r="F119" t="s">
        <v>131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f t="shared" si="28"/>
        <v>0</v>
      </c>
      <c r="T119" s="2">
        <f t="shared" si="29"/>
        <v>0</v>
      </c>
      <c r="U119" s="2">
        <f t="shared" si="18"/>
        <v>0</v>
      </c>
      <c r="V119" s="2">
        <f t="shared" si="19"/>
        <v>0</v>
      </c>
      <c r="W119" s="2">
        <f t="shared" si="20"/>
        <v>0</v>
      </c>
      <c r="X119" s="2">
        <f t="shared" si="21"/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f t="shared" si="22"/>
        <v>0</v>
      </c>
      <c r="AL119" s="2">
        <f t="shared" si="23"/>
        <v>0</v>
      </c>
      <c r="AM119" s="2">
        <f t="shared" si="24"/>
        <v>0</v>
      </c>
      <c r="AN119" s="2">
        <f t="shared" si="25"/>
        <v>0</v>
      </c>
      <c r="AO119" s="2">
        <f t="shared" si="26"/>
        <v>0</v>
      </c>
      <c r="AP119" s="2">
        <f t="shared" si="27"/>
        <v>0</v>
      </c>
    </row>
    <row r="120" spans="1:42" hidden="1" x14ac:dyDescent="0.55000000000000004">
      <c r="A120" t="s">
        <v>92</v>
      </c>
      <c r="B120" s="4">
        <v>9940533180</v>
      </c>
      <c r="C120" t="s">
        <v>39</v>
      </c>
      <c r="D120" t="s">
        <v>78</v>
      </c>
      <c r="E120" t="s">
        <v>153</v>
      </c>
      <c r="F120" t="s">
        <v>132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f t="shared" si="28"/>
        <v>0</v>
      </c>
      <c r="T120" s="2">
        <f t="shared" si="29"/>
        <v>0</v>
      </c>
      <c r="U120" s="2">
        <f t="shared" si="18"/>
        <v>0</v>
      </c>
      <c r="V120" s="2">
        <f t="shared" si="19"/>
        <v>0</v>
      </c>
      <c r="W120" s="2">
        <f t="shared" si="20"/>
        <v>0</v>
      </c>
      <c r="X120" s="2">
        <f t="shared" si="21"/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f t="shared" si="22"/>
        <v>0</v>
      </c>
      <c r="AL120" s="2">
        <f t="shared" si="23"/>
        <v>0</v>
      </c>
      <c r="AM120" s="2">
        <f t="shared" si="24"/>
        <v>0</v>
      </c>
      <c r="AN120" s="2">
        <f t="shared" si="25"/>
        <v>0</v>
      </c>
      <c r="AO120" s="2">
        <f t="shared" si="26"/>
        <v>0</v>
      </c>
      <c r="AP120" s="2">
        <f t="shared" si="27"/>
        <v>0</v>
      </c>
    </row>
    <row r="121" spans="1:42" hidden="1" x14ac:dyDescent="0.55000000000000004">
      <c r="A121" t="s">
        <v>92</v>
      </c>
      <c r="B121" s="4">
        <v>9940533180</v>
      </c>
      <c r="C121" t="s">
        <v>39</v>
      </c>
      <c r="D121" t="s">
        <v>78</v>
      </c>
      <c r="E121" t="s">
        <v>153</v>
      </c>
      <c r="F121" t="s">
        <v>26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f t="shared" si="28"/>
        <v>0</v>
      </c>
      <c r="T121" s="2">
        <f t="shared" si="29"/>
        <v>0</v>
      </c>
      <c r="U121" s="2">
        <f t="shared" si="18"/>
        <v>0</v>
      </c>
      <c r="V121" s="2">
        <f t="shared" si="19"/>
        <v>0</v>
      </c>
      <c r="W121" s="2">
        <f t="shared" si="20"/>
        <v>0</v>
      </c>
      <c r="X121" s="2">
        <f t="shared" si="21"/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f t="shared" si="22"/>
        <v>0</v>
      </c>
      <c r="AL121" s="2">
        <f t="shared" si="23"/>
        <v>0</v>
      </c>
      <c r="AM121" s="2">
        <f t="shared" si="24"/>
        <v>0</v>
      </c>
      <c r="AN121" s="2">
        <f t="shared" si="25"/>
        <v>0</v>
      </c>
      <c r="AO121" s="2">
        <f t="shared" si="26"/>
        <v>0</v>
      </c>
      <c r="AP121" s="2">
        <f t="shared" si="27"/>
        <v>0</v>
      </c>
    </row>
    <row r="122" spans="1:42" hidden="1" x14ac:dyDescent="0.55000000000000004">
      <c r="A122" t="s">
        <v>92</v>
      </c>
      <c r="B122" s="4">
        <v>9940533180</v>
      </c>
      <c r="C122" t="s">
        <v>39</v>
      </c>
      <c r="D122" t="s">
        <v>78</v>
      </c>
      <c r="E122" t="s">
        <v>153</v>
      </c>
      <c r="F122" t="s">
        <v>135</v>
      </c>
      <c r="G122" s="2">
        <v>10.666841</v>
      </c>
      <c r="H122" s="2">
        <v>10.5264556</v>
      </c>
      <c r="I122" s="2">
        <v>9.4669679999999996</v>
      </c>
      <c r="J122" s="2">
        <v>10.666841</v>
      </c>
      <c r="K122" s="2">
        <v>10.6160918</v>
      </c>
      <c r="L122" s="2">
        <v>8.6807105999999994</v>
      </c>
      <c r="M122" s="2">
        <v>9.8805835999999996</v>
      </c>
      <c r="N122" s="2">
        <v>9.7401982</v>
      </c>
      <c r="O122" s="2">
        <v>8.6807105999999994</v>
      </c>
      <c r="P122" s="2">
        <v>9.8805835999999996</v>
      </c>
      <c r="Q122" s="2">
        <v>9.8805835999999996</v>
      </c>
      <c r="R122" s="2">
        <v>9.8805835999999996</v>
      </c>
      <c r="S122" s="2">
        <f t="shared" si="28"/>
        <v>30.660264599999998</v>
      </c>
      <c r="T122" s="2">
        <f t="shared" si="29"/>
        <v>29.963643399999995</v>
      </c>
      <c r="U122" s="2">
        <f t="shared" si="18"/>
        <v>28.301492400000001</v>
      </c>
      <c r="V122" s="2">
        <f t="shared" si="19"/>
        <v>29.641750799999997</v>
      </c>
      <c r="W122" s="2">
        <f t="shared" si="20"/>
        <v>19.761167199999999</v>
      </c>
      <c r="X122" s="2">
        <f t="shared" si="21"/>
        <v>118.5671512</v>
      </c>
      <c r="Y122" s="2">
        <v>1.5441284</v>
      </c>
      <c r="Z122" s="2">
        <v>1.7213324999999999</v>
      </c>
      <c r="AA122" s="2">
        <v>0.82144810000000001</v>
      </c>
      <c r="AB122" s="2">
        <v>1.9601786000000001</v>
      </c>
      <c r="AC122" s="2">
        <v>2.0473246999999999</v>
      </c>
      <c r="AD122" s="2">
        <v>0.28242469999999997</v>
      </c>
      <c r="AE122" s="2">
        <v>1.5662358999999999</v>
      </c>
      <c r="AF122" s="2">
        <v>1.484588</v>
      </c>
      <c r="AG122" s="2">
        <v>0.53695510000000002</v>
      </c>
      <c r="AH122" s="2">
        <v>2.6801838</v>
      </c>
      <c r="AI122" s="2">
        <v>2.7689727</v>
      </c>
      <c r="AJ122" s="2">
        <v>2.7711261</v>
      </c>
      <c r="AK122" s="2">
        <f t="shared" si="22"/>
        <v>4.0869090000000003</v>
      </c>
      <c r="AL122" s="2">
        <f t="shared" si="23"/>
        <v>4.2899279999999997</v>
      </c>
      <c r="AM122" s="2">
        <f t="shared" si="24"/>
        <v>3.5877790000000003</v>
      </c>
      <c r="AN122" s="2">
        <f t="shared" si="25"/>
        <v>8.2202826000000009</v>
      </c>
      <c r="AO122" s="2">
        <f t="shared" si="26"/>
        <v>5.5400988</v>
      </c>
      <c r="AP122" s="2">
        <f t="shared" si="27"/>
        <v>20.1848986</v>
      </c>
    </row>
    <row r="123" spans="1:42" hidden="1" x14ac:dyDescent="0.55000000000000004">
      <c r="A123" t="s">
        <v>92</v>
      </c>
      <c r="B123" s="4">
        <v>9940543402</v>
      </c>
      <c r="C123" t="s">
        <v>95</v>
      </c>
      <c r="D123" t="s">
        <v>72</v>
      </c>
      <c r="E123" t="s">
        <v>152</v>
      </c>
      <c r="F123" t="s">
        <v>134</v>
      </c>
      <c r="G123" s="2">
        <v>25.8304635</v>
      </c>
      <c r="H123" s="2">
        <v>25.8387855</v>
      </c>
      <c r="I123" s="2">
        <v>25.8387855</v>
      </c>
      <c r="J123" s="2">
        <v>25.8387855</v>
      </c>
      <c r="K123" s="2">
        <v>25.396574999999999</v>
      </c>
      <c r="L123" s="2">
        <v>21.833226</v>
      </c>
      <c r="M123" s="2">
        <v>26.2688205</v>
      </c>
      <c r="N123" s="2">
        <v>25.396574999999999</v>
      </c>
      <c r="O123" s="2">
        <v>25.396574999999999</v>
      </c>
      <c r="P123" s="2">
        <v>25.396574999999999</v>
      </c>
      <c r="Q123" s="2">
        <v>25.396574999999999</v>
      </c>
      <c r="R123" s="2">
        <v>25.396574999999999</v>
      </c>
      <c r="S123" s="2">
        <f t="shared" si="28"/>
        <v>77.508034500000008</v>
      </c>
      <c r="T123" s="2">
        <f t="shared" si="29"/>
        <v>73.068586499999995</v>
      </c>
      <c r="U123" s="2">
        <f t="shared" si="18"/>
        <v>77.061970500000001</v>
      </c>
      <c r="V123" s="2">
        <f t="shared" si="19"/>
        <v>76.189724999999996</v>
      </c>
      <c r="W123" s="2">
        <f t="shared" si="20"/>
        <v>50.793149999999997</v>
      </c>
      <c r="X123" s="2">
        <f t="shared" si="21"/>
        <v>303.82831649999997</v>
      </c>
      <c r="Y123" s="2">
        <v>4.8440595000000002</v>
      </c>
      <c r="Z123" s="2">
        <v>5.1564734999999997</v>
      </c>
      <c r="AA123" s="2">
        <v>8.1571049999999996</v>
      </c>
      <c r="AB123" s="2">
        <v>9.6403455000000005</v>
      </c>
      <c r="AC123" s="2">
        <v>7.1272064999999998</v>
      </c>
      <c r="AD123" s="2">
        <v>52.122301499999999</v>
      </c>
      <c r="AE123" s="2">
        <v>8.1378315000000008</v>
      </c>
      <c r="AF123" s="2">
        <v>7.3837964999999999</v>
      </c>
      <c r="AG123" s="2">
        <v>6.8020785000000004</v>
      </c>
      <c r="AH123" s="2">
        <v>4.9914494999999999</v>
      </c>
      <c r="AI123" s="2">
        <v>4.6688070000000002</v>
      </c>
      <c r="AJ123" s="2">
        <v>5.9313345000000002</v>
      </c>
      <c r="AK123" s="2">
        <f t="shared" si="22"/>
        <v>18.157637999999999</v>
      </c>
      <c r="AL123" s="2">
        <f t="shared" si="23"/>
        <v>68.889853500000001</v>
      </c>
      <c r="AM123" s="2">
        <f t="shared" si="24"/>
        <v>22.3237065</v>
      </c>
      <c r="AN123" s="2">
        <f t="shared" si="25"/>
        <v>15.591590999999999</v>
      </c>
      <c r="AO123" s="2">
        <f t="shared" si="26"/>
        <v>10.600141499999999</v>
      </c>
      <c r="AP123" s="2">
        <f t="shared" si="27"/>
        <v>124.962789</v>
      </c>
    </row>
    <row r="124" spans="1:42" hidden="1" x14ac:dyDescent="0.55000000000000004">
      <c r="A124" t="s">
        <v>92</v>
      </c>
      <c r="B124" s="4">
        <v>9940389320</v>
      </c>
      <c r="C124" t="s">
        <v>97</v>
      </c>
      <c r="D124" t="s">
        <v>84</v>
      </c>
      <c r="E124" t="s">
        <v>153</v>
      </c>
      <c r="F124" t="s">
        <v>131</v>
      </c>
      <c r="G124" s="2">
        <v>0.78845949999999998</v>
      </c>
      <c r="H124" s="2">
        <v>0.7884565</v>
      </c>
      <c r="I124" s="2">
        <v>0.78845949999999998</v>
      </c>
      <c r="J124" s="2">
        <v>0.78845949999999998</v>
      </c>
      <c r="K124" s="2">
        <v>0.78845949999999998</v>
      </c>
      <c r="L124" s="2">
        <v>0.78845949999999998</v>
      </c>
      <c r="M124" s="2">
        <v>0.78845949999999998</v>
      </c>
      <c r="N124" s="2">
        <v>0.78845949999999998</v>
      </c>
      <c r="O124" s="2">
        <v>0</v>
      </c>
      <c r="P124" s="2">
        <v>0</v>
      </c>
      <c r="Q124" s="2">
        <v>0</v>
      </c>
      <c r="R124" s="2">
        <v>0</v>
      </c>
      <c r="S124" s="2">
        <f t="shared" si="28"/>
        <v>2.3653754999999999</v>
      </c>
      <c r="T124" s="2">
        <f t="shared" si="29"/>
        <v>2.3653784999999998</v>
      </c>
      <c r="U124" s="2">
        <f t="shared" si="18"/>
        <v>1.576919</v>
      </c>
      <c r="V124" s="2">
        <f t="shared" si="19"/>
        <v>0</v>
      </c>
      <c r="W124" s="2">
        <f t="shared" si="20"/>
        <v>0</v>
      </c>
      <c r="X124" s="2">
        <f t="shared" si="21"/>
        <v>6.3076729999999994</v>
      </c>
      <c r="Y124" s="2">
        <v>8.6805499999999994E-2</v>
      </c>
      <c r="Z124" s="2">
        <v>0.24826300000000001</v>
      </c>
      <c r="AA124" s="2">
        <v>0.13084000000000001</v>
      </c>
      <c r="AB124" s="2">
        <v>0.2616945</v>
      </c>
      <c r="AC124" s="2">
        <v>8.8222499999999995E-2</v>
      </c>
      <c r="AD124" s="2">
        <v>0.16752400000000001</v>
      </c>
      <c r="AE124" s="2">
        <v>0.2468255</v>
      </c>
      <c r="AF124" s="2">
        <v>0.23997950000000001</v>
      </c>
      <c r="AG124" s="2">
        <v>-3.5620000000000001E-3</v>
      </c>
      <c r="AH124" s="2">
        <v>5.4449499999999998E-2</v>
      </c>
      <c r="AI124" s="2">
        <v>6.3634999999999997E-2</v>
      </c>
      <c r="AJ124" s="2">
        <v>6.3634999999999997E-2</v>
      </c>
      <c r="AK124" s="2">
        <f t="shared" si="22"/>
        <v>0.4659085</v>
      </c>
      <c r="AL124" s="2">
        <f t="shared" si="23"/>
        <v>0.51744100000000004</v>
      </c>
      <c r="AM124" s="2">
        <f t="shared" si="24"/>
        <v>0.48324300000000003</v>
      </c>
      <c r="AN124" s="2">
        <f t="shared" si="25"/>
        <v>0.18171949999999998</v>
      </c>
      <c r="AO124" s="2">
        <f t="shared" si="26"/>
        <v>0.12726999999999999</v>
      </c>
      <c r="AP124" s="2">
        <f t="shared" si="27"/>
        <v>1.6483120000000002</v>
      </c>
    </row>
    <row r="125" spans="1:42" hidden="1" x14ac:dyDescent="0.55000000000000004">
      <c r="A125" t="s">
        <v>92</v>
      </c>
      <c r="B125" s="4">
        <v>9940389320</v>
      </c>
      <c r="C125" t="s">
        <v>97</v>
      </c>
      <c r="D125" t="s">
        <v>84</v>
      </c>
      <c r="E125" t="s">
        <v>153</v>
      </c>
      <c r="F125" t="s">
        <v>133</v>
      </c>
      <c r="G125" s="2">
        <v>5.5910543500000003</v>
      </c>
      <c r="H125" s="2">
        <v>5.5910543500000003</v>
      </c>
      <c r="I125" s="2">
        <v>5.5910543500000003</v>
      </c>
      <c r="J125" s="2">
        <v>5.5910543500000003</v>
      </c>
      <c r="K125" s="2">
        <v>5.5910543500000003</v>
      </c>
      <c r="L125" s="2">
        <v>5.5910543500000003</v>
      </c>
      <c r="M125" s="2">
        <v>5.5910543500000003</v>
      </c>
      <c r="N125" s="2">
        <v>5.5910543500000003</v>
      </c>
      <c r="O125" s="2">
        <v>0</v>
      </c>
      <c r="P125" s="2">
        <v>0</v>
      </c>
      <c r="Q125" s="2">
        <v>0</v>
      </c>
      <c r="R125" s="2">
        <v>0</v>
      </c>
      <c r="S125" s="2">
        <f t="shared" si="28"/>
        <v>16.773163050000001</v>
      </c>
      <c r="T125" s="2">
        <f t="shared" si="29"/>
        <v>16.773163050000001</v>
      </c>
      <c r="U125" s="2">
        <f t="shared" si="18"/>
        <v>11.182108700000001</v>
      </c>
      <c r="V125" s="2">
        <f t="shared" si="19"/>
        <v>0</v>
      </c>
      <c r="W125" s="2">
        <f t="shared" si="20"/>
        <v>0</v>
      </c>
      <c r="X125" s="2">
        <f t="shared" si="21"/>
        <v>44.728434800000002</v>
      </c>
      <c r="Y125" s="2">
        <v>0.81622309999999998</v>
      </c>
      <c r="Z125" s="2">
        <v>1.5082007500000001</v>
      </c>
      <c r="AA125" s="2">
        <v>0.97495912500000004</v>
      </c>
      <c r="AB125" s="2">
        <v>1.581925625</v>
      </c>
      <c r="AC125" s="2">
        <v>1.0291123499999999</v>
      </c>
      <c r="AD125" s="2">
        <v>1.34071735</v>
      </c>
      <c r="AE125" s="2">
        <v>1.7523318750000001</v>
      </c>
      <c r="AF125" s="2">
        <v>2.0521913999999999</v>
      </c>
      <c r="AG125" s="2">
        <v>-0.15254382499999999</v>
      </c>
      <c r="AH125" s="2">
        <v>-8.7408125000000003E-2</v>
      </c>
      <c r="AI125" s="2">
        <v>-2.227225E-2</v>
      </c>
      <c r="AJ125" s="2">
        <v>-2.227225E-2</v>
      </c>
      <c r="AK125" s="2">
        <f t="shared" si="22"/>
        <v>3.2993829750000003</v>
      </c>
      <c r="AL125" s="2">
        <f t="shared" si="23"/>
        <v>3.9517553249999997</v>
      </c>
      <c r="AM125" s="2">
        <f t="shared" si="24"/>
        <v>3.6519794500000002</v>
      </c>
      <c r="AN125" s="2">
        <f t="shared" si="25"/>
        <v>-0.13195262499999999</v>
      </c>
      <c r="AO125" s="2">
        <f t="shared" si="26"/>
        <v>-4.4544500000000001E-2</v>
      </c>
      <c r="AP125" s="2">
        <f t="shared" si="27"/>
        <v>10.771165125</v>
      </c>
    </row>
    <row r="126" spans="1:42" hidden="1" x14ac:dyDescent="0.55000000000000004">
      <c r="A126" t="s">
        <v>92</v>
      </c>
      <c r="B126" s="4">
        <v>9940389320</v>
      </c>
      <c r="C126" t="s">
        <v>97</v>
      </c>
      <c r="D126" t="s">
        <v>84</v>
      </c>
      <c r="E126" t="s">
        <v>153</v>
      </c>
      <c r="F126" t="s">
        <v>135</v>
      </c>
      <c r="G126" s="2">
        <v>10.38338665</v>
      </c>
      <c r="H126" s="2">
        <v>10.38338665</v>
      </c>
      <c r="I126" s="2">
        <v>10.38338665</v>
      </c>
      <c r="J126" s="2">
        <v>10.38338665</v>
      </c>
      <c r="K126" s="2">
        <v>10.38338665</v>
      </c>
      <c r="L126" s="2">
        <v>10.38338665</v>
      </c>
      <c r="M126" s="2">
        <v>10.38338665</v>
      </c>
      <c r="N126" s="2">
        <v>10.38338665</v>
      </c>
      <c r="O126" s="2">
        <v>0</v>
      </c>
      <c r="P126" s="2">
        <v>0</v>
      </c>
      <c r="Q126" s="2">
        <v>0</v>
      </c>
      <c r="R126" s="2">
        <v>0</v>
      </c>
      <c r="S126" s="2">
        <f t="shared" si="28"/>
        <v>31.150159950000003</v>
      </c>
      <c r="T126" s="2">
        <f t="shared" si="29"/>
        <v>31.150159950000003</v>
      </c>
      <c r="U126" s="2">
        <f t="shared" si="18"/>
        <v>20.766773300000001</v>
      </c>
      <c r="V126" s="2">
        <f t="shared" si="19"/>
        <v>0</v>
      </c>
      <c r="W126" s="2">
        <f t="shared" si="20"/>
        <v>0</v>
      </c>
      <c r="X126" s="2">
        <f t="shared" si="21"/>
        <v>83.067093200000002</v>
      </c>
      <c r="Y126" s="2">
        <v>1.5158429</v>
      </c>
      <c r="Z126" s="2">
        <v>2.8009442500000001</v>
      </c>
      <c r="AA126" s="2">
        <v>1.8106383749999999</v>
      </c>
      <c r="AB126" s="2">
        <v>2.9378618749999998</v>
      </c>
      <c r="AC126" s="2">
        <v>1.9112086500000001</v>
      </c>
      <c r="AD126" s="2">
        <v>2.48990365</v>
      </c>
      <c r="AE126" s="2">
        <v>3.2543306250000001</v>
      </c>
      <c r="AF126" s="2">
        <v>3.8112126000000002</v>
      </c>
      <c r="AG126" s="2">
        <v>-0.28329567500000002</v>
      </c>
      <c r="AH126" s="2">
        <v>-0.162329375</v>
      </c>
      <c r="AI126" s="2">
        <v>-4.1362749999999997E-2</v>
      </c>
      <c r="AJ126" s="2">
        <v>-4.1362749999999997E-2</v>
      </c>
      <c r="AK126" s="2">
        <f t="shared" si="22"/>
        <v>6.1274255249999996</v>
      </c>
      <c r="AL126" s="2">
        <f t="shared" si="23"/>
        <v>7.3389741750000006</v>
      </c>
      <c r="AM126" s="2">
        <f t="shared" si="24"/>
        <v>6.782247550000001</v>
      </c>
      <c r="AN126" s="2">
        <f t="shared" si="25"/>
        <v>-0.24505487500000001</v>
      </c>
      <c r="AO126" s="2">
        <f t="shared" si="26"/>
        <v>-8.2725499999999993E-2</v>
      </c>
      <c r="AP126" s="2">
        <f t="shared" si="27"/>
        <v>20.003592375</v>
      </c>
    </row>
    <row r="127" spans="1:42" hidden="1" x14ac:dyDescent="0.55000000000000004">
      <c r="A127" t="s">
        <v>92</v>
      </c>
      <c r="B127" s="4">
        <v>9940473365</v>
      </c>
      <c r="C127" t="s">
        <v>40</v>
      </c>
      <c r="D127" t="s">
        <v>79</v>
      </c>
      <c r="E127" t="s">
        <v>153</v>
      </c>
      <c r="F127" t="s">
        <v>131</v>
      </c>
      <c r="G127" s="2">
        <v>16.287499608000001</v>
      </c>
      <c r="H127" s="2">
        <v>16.886121855999999</v>
      </c>
      <c r="I127" s="2">
        <v>17.452312012</v>
      </c>
      <c r="J127" s="2">
        <v>18.535544260000002</v>
      </c>
      <c r="K127" s="2">
        <v>17.251851508000001</v>
      </c>
      <c r="L127" s="2">
        <v>17.445533756</v>
      </c>
      <c r="M127" s="2">
        <v>17.652926004000001</v>
      </c>
      <c r="N127" s="2">
        <v>17.738695752000002</v>
      </c>
      <c r="O127" s="2">
        <v>17.834553</v>
      </c>
      <c r="P127" s="2">
        <v>19.217195247999999</v>
      </c>
      <c r="Q127" s="2">
        <v>20.192322495999999</v>
      </c>
      <c r="R127" s="2">
        <v>21.308794744</v>
      </c>
      <c r="S127" s="2">
        <f t="shared" si="28"/>
        <v>50.625933476</v>
      </c>
      <c r="T127" s="2">
        <f t="shared" si="29"/>
        <v>53.232929523999999</v>
      </c>
      <c r="U127" s="2">
        <f t="shared" si="18"/>
        <v>53.226174756000006</v>
      </c>
      <c r="V127" s="2">
        <f t="shared" si="19"/>
        <v>60.718312487999995</v>
      </c>
      <c r="W127" s="2">
        <f t="shared" si="20"/>
        <v>41.501117239999999</v>
      </c>
      <c r="X127" s="2">
        <f t="shared" si="21"/>
        <v>217.803350244</v>
      </c>
      <c r="Y127" s="2">
        <v>-19.134852691999999</v>
      </c>
      <c r="Z127" s="2">
        <v>-22.440254044</v>
      </c>
      <c r="AA127" s="2">
        <v>-19.178687188000001</v>
      </c>
      <c r="AB127" s="2">
        <v>-18.34925294</v>
      </c>
      <c r="AC127" s="2">
        <v>-7.7731162920000001</v>
      </c>
      <c r="AD127" s="2">
        <v>-7.5458072439999997</v>
      </c>
      <c r="AE127" s="2">
        <v>6.2449321040000001</v>
      </c>
      <c r="AF127" s="2">
        <v>6.1181938520000001</v>
      </c>
      <c r="AG127" s="2">
        <v>6.5922934</v>
      </c>
      <c r="AH127" s="2">
        <v>7.8268878480000001</v>
      </c>
      <c r="AI127" s="2">
        <v>8.9603221959999999</v>
      </c>
      <c r="AJ127" s="2">
        <v>10.102449344</v>
      </c>
      <c r="AK127" s="2">
        <f t="shared" si="22"/>
        <v>-60.753793923999993</v>
      </c>
      <c r="AL127" s="2">
        <f t="shared" si="23"/>
        <v>-33.668176475999999</v>
      </c>
      <c r="AM127" s="2">
        <f t="shared" si="24"/>
        <v>18.955419356</v>
      </c>
      <c r="AN127" s="2">
        <f t="shared" si="25"/>
        <v>26.889659387999998</v>
      </c>
      <c r="AO127" s="2">
        <f t="shared" si="26"/>
        <v>19.06277154</v>
      </c>
      <c r="AP127" s="2">
        <f t="shared" si="27"/>
        <v>-48.576891656000001</v>
      </c>
    </row>
    <row r="128" spans="1:42" hidden="1" x14ac:dyDescent="0.55000000000000004">
      <c r="A128" t="s">
        <v>92</v>
      </c>
      <c r="B128" s="4">
        <v>9940473365</v>
      </c>
      <c r="C128" t="s">
        <v>40</v>
      </c>
      <c r="D128" t="s">
        <v>79</v>
      </c>
      <c r="E128" t="s">
        <v>153</v>
      </c>
      <c r="F128" t="s">
        <v>132</v>
      </c>
      <c r="G128" s="2">
        <v>17.980833738000001</v>
      </c>
      <c r="H128" s="2">
        <v>18.561441766000002</v>
      </c>
      <c r="I128" s="2">
        <v>19.109617957000001</v>
      </c>
      <c r="J128" s="2">
        <v>20.174835985000001</v>
      </c>
      <c r="K128" s="2">
        <v>18.873129013</v>
      </c>
      <c r="L128" s="2">
        <v>19.048797041</v>
      </c>
      <c r="M128" s="2">
        <v>19.238175069</v>
      </c>
      <c r="N128" s="2">
        <v>19.305930597</v>
      </c>
      <c r="O128" s="2">
        <v>19.383773625</v>
      </c>
      <c r="P128" s="2">
        <v>20.748401652999998</v>
      </c>
      <c r="Q128" s="2">
        <v>21.705514681</v>
      </c>
      <c r="R128" s="2">
        <v>22.803972709</v>
      </c>
      <c r="S128" s="2">
        <f t="shared" si="28"/>
        <v>55.651893461</v>
      </c>
      <c r="T128" s="2">
        <f t="shared" si="29"/>
        <v>58.096762038999998</v>
      </c>
      <c r="U128" s="2">
        <f t="shared" si="18"/>
        <v>57.927879290999996</v>
      </c>
      <c r="V128" s="2">
        <f t="shared" si="19"/>
        <v>65.257889043000006</v>
      </c>
      <c r="W128" s="2">
        <f t="shared" si="20"/>
        <v>44.509487390000004</v>
      </c>
      <c r="X128" s="2">
        <f t="shared" si="21"/>
        <v>236.934423834</v>
      </c>
      <c r="Y128" s="2">
        <v>-18.845890312000002</v>
      </c>
      <c r="Z128" s="2">
        <v>-22.162720633999999</v>
      </c>
      <c r="AA128" s="2">
        <v>-18.912405743000001</v>
      </c>
      <c r="AB128" s="2">
        <v>-18.094046965</v>
      </c>
      <c r="AC128" s="2">
        <v>-7.5288092869999996</v>
      </c>
      <c r="AD128" s="2">
        <v>-7.3122227090000003</v>
      </c>
      <c r="AE128" s="2">
        <v>6.4679709189999999</v>
      </c>
      <c r="AF128" s="2">
        <v>6.3308634469999996</v>
      </c>
      <c r="AG128" s="2">
        <v>6.7947705249999997</v>
      </c>
      <c r="AH128" s="2">
        <v>8.0193490030000003</v>
      </c>
      <c r="AI128" s="2">
        <v>9.1429438810000008</v>
      </c>
      <c r="AJ128" s="2">
        <v>10.275408308999999</v>
      </c>
      <c r="AK128" s="2">
        <f t="shared" si="22"/>
        <v>-59.921016689000005</v>
      </c>
      <c r="AL128" s="2">
        <f t="shared" si="23"/>
        <v>-32.935078961000002</v>
      </c>
      <c r="AM128" s="2">
        <f t="shared" si="24"/>
        <v>19.593604890999998</v>
      </c>
      <c r="AN128" s="2">
        <f t="shared" si="25"/>
        <v>27.437701193000002</v>
      </c>
      <c r="AO128" s="2">
        <f t="shared" si="26"/>
        <v>19.41835219</v>
      </c>
      <c r="AP128" s="2">
        <f t="shared" si="27"/>
        <v>-45.824789566000014</v>
      </c>
    </row>
    <row r="129" spans="1:42" hidden="1" x14ac:dyDescent="0.55000000000000004">
      <c r="A129" t="s">
        <v>92</v>
      </c>
      <c r="B129" s="4">
        <v>9940473365</v>
      </c>
      <c r="C129" t="s">
        <v>40</v>
      </c>
      <c r="D129" t="s">
        <v>79</v>
      </c>
      <c r="E129" t="s">
        <v>153</v>
      </c>
      <c r="F129" t="s">
        <v>26</v>
      </c>
      <c r="G129" s="2">
        <v>34.996049253999999</v>
      </c>
      <c r="H129" s="2">
        <v>35.092259577999997</v>
      </c>
      <c r="I129" s="2">
        <v>35.168788931000002</v>
      </c>
      <c r="J129" s="2">
        <v>35.559134254999996</v>
      </c>
      <c r="K129" s="2">
        <v>34.512854578999999</v>
      </c>
      <c r="L129" s="2">
        <v>34.363279902999999</v>
      </c>
      <c r="M129" s="2">
        <v>34.222030226999998</v>
      </c>
      <c r="N129" s="2">
        <v>34.006955550999997</v>
      </c>
      <c r="O129" s="2">
        <v>33.798005875000001</v>
      </c>
      <c r="P129" s="2">
        <v>34.370081198999998</v>
      </c>
      <c r="Q129" s="2">
        <v>34.694811522999998</v>
      </c>
      <c r="R129" s="2">
        <v>35.105331847000002</v>
      </c>
      <c r="S129" s="2">
        <f t="shared" si="28"/>
        <v>105.25709776299999</v>
      </c>
      <c r="T129" s="2">
        <f t="shared" si="29"/>
        <v>104.435268737</v>
      </c>
      <c r="U129" s="2">
        <f t="shared" si="18"/>
        <v>102.026991653</v>
      </c>
      <c r="V129" s="2">
        <f t="shared" si="19"/>
        <v>104.170224569</v>
      </c>
      <c r="W129" s="2">
        <f t="shared" si="20"/>
        <v>69.800143370000001</v>
      </c>
      <c r="X129" s="2">
        <f t="shared" si="21"/>
        <v>415.889582722</v>
      </c>
      <c r="Y129" s="2">
        <v>-12.577519396</v>
      </c>
      <c r="Z129" s="2">
        <v>-12.253592122000001</v>
      </c>
      <c r="AA129" s="2">
        <v>-11.947228169000001</v>
      </c>
      <c r="AB129" s="2">
        <v>-11.324030595</v>
      </c>
      <c r="AC129" s="2">
        <v>-12.138309320999999</v>
      </c>
      <c r="AD129" s="2">
        <v>-12.036429347</v>
      </c>
      <c r="AE129" s="2">
        <v>-11.933831723000001</v>
      </c>
      <c r="AF129" s="2">
        <v>-11.902365399000001</v>
      </c>
      <c r="AG129" s="2">
        <v>-11.861131425</v>
      </c>
      <c r="AH129" s="2">
        <v>-11.036148751000001</v>
      </c>
      <c r="AI129" s="2">
        <v>-10.464787377</v>
      </c>
      <c r="AJ129" s="2">
        <v>-9.8019733529999993</v>
      </c>
      <c r="AK129" s="2">
        <f t="shared" si="22"/>
        <v>-36.778339686999999</v>
      </c>
      <c r="AL129" s="2">
        <f t="shared" si="23"/>
        <v>-35.498769263</v>
      </c>
      <c r="AM129" s="2">
        <f t="shared" si="24"/>
        <v>-35.697328546999998</v>
      </c>
      <c r="AN129" s="2">
        <f t="shared" si="25"/>
        <v>-31.302909481</v>
      </c>
      <c r="AO129" s="2">
        <f t="shared" si="26"/>
        <v>-20.266760730000001</v>
      </c>
      <c r="AP129" s="2">
        <f t="shared" si="27"/>
        <v>-139.277346978</v>
      </c>
    </row>
    <row r="130" spans="1:42" hidden="1" x14ac:dyDescent="0.55000000000000004">
      <c r="A130" t="s">
        <v>92</v>
      </c>
      <c r="B130" s="4">
        <v>9940473365</v>
      </c>
      <c r="C130" t="s">
        <v>40</v>
      </c>
      <c r="D130" t="s">
        <v>79</v>
      </c>
      <c r="E130" t="s">
        <v>153</v>
      </c>
      <c r="F130" t="s">
        <v>133</v>
      </c>
      <c r="G130" s="2">
        <v>72.321119999999993</v>
      </c>
      <c r="H130" s="2">
        <v>75.663065000000003</v>
      </c>
      <c r="I130" s="2">
        <v>78.832279999999997</v>
      </c>
      <c r="J130" s="2">
        <v>84.755399999999995</v>
      </c>
      <c r="K130" s="2">
        <v>78.071600000000004</v>
      </c>
      <c r="L130" s="2">
        <v>79.256725000000003</v>
      </c>
      <c r="M130" s="2">
        <v>80.514870000000002</v>
      </c>
      <c r="N130" s="2">
        <v>81.125230000000002</v>
      </c>
      <c r="O130" s="2">
        <v>81.78931</v>
      </c>
      <c r="P130" s="2">
        <v>89.307169999999999</v>
      </c>
      <c r="Q130" s="2">
        <v>94.654489999999996</v>
      </c>
      <c r="R130" s="2">
        <v>100.75465</v>
      </c>
      <c r="S130" s="2">
        <f t="shared" si="28"/>
        <v>226.81646499999999</v>
      </c>
      <c r="T130" s="2">
        <f t="shared" si="29"/>
        <v>242.08372500000002</v>
      </c>
      <c r="U130" s="2">
        <f t="shared" si="18"/>
        <v>243.42941000000002</v>
      </c>
      <c r="V130" s="2">
        <f t="shared" si="19"/>
        <v>284.71631000000002</v>
      </c>
      <c r="W130" s="2">
        <f t="shared" si="20"/>
        <v>195.40913999999998</v>
      </c>
      <c r="X130" s="2">
        <f t="shared" si="21"/>
        <v>997.04591000000005</v>
      </c>
      <c r="Y130" s="2">
        <v>-69.076390000000004</v>
      </c>
      <c r="Z130" s="2">
        <v>-40.804034999999999</v>
      </c>
      <c r="AA130" s="2">
        <v>-30.972435000000001</v>
      </c>
      <c r="AB130" s="2">
        <v>-22.362155000000001</v>
      </c>
      <c r="AC130" s="2">
        <v>-40.231625000000001</v>
      </c>
      <c r="AD130" s="2">
        <v>-36.029060000000001</v>
      </c>
      <c r="AE130" s="2">
        <v>-47.489150000000002</v>
      </c>
      <c r="AF130" s="2">
        <v>-47.045765000000003</v>
      </c>
      <c r="AG130" s="2">
        <v>-30.31888</v>
      </c>
      <c r="AH130" s="2">
        <v>-27.455065000000001</v>
      </c>
      <c r="AI130" s="2">
        <v>-21.420895000000002</v>
      </c>
      <c r="AJ130" s="2">
        <v>-38.220615000000002</v>
      </c>
      <c r="AK130" s="2">
        <f t="shared" si="22"/>
        <v>-140.85285999999999</v>
      </c>
      <c r="AL130" s="2">
        <f t="shared" si="23"/>
        <v>-98.622839999999997</v>
      </c>
      <c r="AM130" s="2">
        <f t="shared" si="24"/>
        <v>-124.85379500000002</v>
      </c>
      <c r="AN130" s="2">
        <f t="shared" si="25"/>
        <v>-87.096575000000001</v>
      </c>
      <c r="AO130" s="2">
        <f t="shared" si="26"/>
        <v>-59.641510000000004</v>
      </c>
      <c r="AP130" s="2">
        <f t="shared" si="27"/>
        <v>-451.42606999999998</v>
      </c>
    </row>
    <row r="131" spans="1:42" hidden="1" x14ac:dyDescent="0.55000000000000004">
      <c r="A131" t="s">
        <v>92</v>
      </c>
      <c r="B131" s="4">
        <v>9940473365</v>
      </c>
      <c r="C131" t="s">
        <v>40</v>
      </c>
      <c r="D131" t="s">
        <v>79</v>
      </c>
      <c r="E131" t="s">
        <v>153</v>
      </c>
      <c r="F131" t="s">
        <v>134</v>
      </c>
      <c r="G131" s="2">
        <v>42.5122</v>
      </c>
      <c r="H131" s="2">
        <v>44.476685000000003</v>
      </c>
      <c r="I131" s="2">
        <v>46.33963</v>
      </c>
      <c r="J131" s="2">
        <v>49.821390000000001</v>
      </c>
      <c r="K131" s="2">
        <v>45.892479999999999</v>
      </c>
      <c r="L131" s="2">
        <v>46.589125000000003</v>
      </c>
      <c r="M131" s="2">
        <v>47.328699999999998</v>
      </c>
      <c r="N131" s="2">
        <v>47.687480000000001</v>
      </c>
      <c r="O131" s="2">
        <v>48.077845000000003</v>
      </c>
      <c r="P131" s="2">
        <v>52.497034999999997</v>
      </c>
      <c r="Q131" s="2">
        <v>55.640324999999997</v>
      </c>
      <c r="R131" s="2">
        <v>59.226154999999999</v>
      </c>
      <c r="S131" s="2">
        <f t="shared" si="28"/>
        <v>133.32851500000001</v>
      </c>
      <c r="T131" s="2">
        <f t="shared" si="29"/>
        <v>142.30299500000001</v>
      </c>
      <c r="U131" s="2">
        <f t="shared" si="18"/>
        <v>143.09402499999999</v>
      </c>
      <c r="V131" s="2">
        <f t="shared" si="19"/>
        <v>167.36351500000001</v>
      </c>
      <c r="W131" s="2">
        <f t="shared" si="20"/>
        <v>114.86648</v>
      </c>
      <c r="X131" s="2">
        <f t="shared" si="21"/>
        <v>586.08905000000004</v>
      </c>
      <c r="Y131" s="2">
        <v>-16.213584999999998</v>
      </c>
      <c r="Z131" s="2">
        <v>-33.705415000000002</v>
      </c>
      <c r="AA131" s="2">
        <v>-20.159025</v>
      </c>
      <c r="AB131" s="2">
        <v>-11.392620000000001</v>
      </c>
      <c r="AC131" s="2">
        <v>-12.88317</v>
      </c>
      <c r="AD131" s="2">
        <v>-19.390260000000001</v>
      </c>
      <c r="AE131" s="2">
        <v>-11.22627</v>
      </c>
      <c r="AF131" s="2">
        <v>-14.698650000000001</v>
      </c>
      <c r="AG131" s="2">
        <v>-10.017765000000001</v>
      </c>
      <c r="AH131" s="2">
        <v>-7.8420800000000002</v>
      </c>
      <c r="AI131" s="2">
        <v>-2.4352550000000002</v>
      </c>
      <c r="AJ131" s="2">
        <v>-7.3176449999999997</v>
      </c>
      <c r="AK131" s="2">
        <f t="shared" si="22"/>
        <v>-70.078024999999997</v>
      </c>
      <c r="AL131" s="2">
        <f t="shared" si="23"/>
        <v>-43.666049999999998</v>
      </c>
      <c r="AM131" s="2">
        <f t="shared" si="24"/>
        <v>-35.942684999999997</v>
      </c>
      <c r="AN131" s="2">
        <f t="shared" si="25"/>
        <v>-17.59498</v>
      </c>
      <c r="AO131" s="2">
        <f t="shared" si="26"/>
        <v>-9.7529000000000003</v>
      </c>
      <c r="AP131" s="2">
        <f t="shared" si="27"/>
        <v>-167.28173999999999</v>
      </c>
    </row>
    <row r="132" spans="1:42" hidden="1" x14ac:dyDescent="0.55000000000000004">
      <c r="A132" t="s">
        <v>92</v>
      </c>
      <c r="B132" s="4">
        <v>9940473365</v>
      </c>
      <c r="C132" t="s">
        <v>40</v>
      </c>
      <c r="D132" t="s">
        <v>79</v>
      </c>
      <c r="E132" t="s">
        <v>153</v>
      </c>
      <c r="F132" t="s">
        <v>135</v>
      </c>
      <c r="G132" s="2">
        <v>150.87197</v>
      </c>
      <c r="H132" s="2">
        <v>153.95786000000001</v>
      </c>
      <c r="I132" s="2">
        <v>156.88426000000001</v>
      </c>
      <c r="J132" s="2">
        <v>162.353565</v>
      </c>
      <c r="K132" s="2">
        <v>134.91421</v>
      </c>
      <c r="L132" s="2">
        <v>136.00853499999999</v>
      </c>
      <c r="M132" s="2">
        <v>137.17028500000001</v>
      </c>
      <c r="N132" s="2">
        <v>137.73387500000001</v>
      </c>
      <c r="O132" s="2">
        <v>138.34708000000001</v>
      </c>
      <c r="P132" s="2">
        <v>145.28894</v>
      </c>
      <c r="Q132" s="2">
        <v>150.22656000000001</v>
      </c>
      <c r="R132" s="2">
        <v>155.85934</v>
      </c>
      <c r="S132" s="2">
        <f t="shared" si="28"/>
        <v>461.71409000000006</v>
      </c>
      <c r="T132" s="2">
        <f t="shared" si="29"/>
        <v>433.27631000000002</v>
      </c>
      <c r="U132" s="2">
        <f t="shared" ref="U132:U195" si="30">M132+N132+O132</f>
        <v>413.25124000000005</v>
      </c>
      <c r="V132" s="2">
        <f t="shared" ref="V132:V195" si="31">P132+Q132+R132</f>
        <v>451.37483999999995</v>
      </c>
      <c r="W132" s="2">
        <f t="shared" ref="W132:W195" si="32">Q132+R132</f>
        <v>306.08590000000004</v>
      </c>
      <c r="X132" s="2">
        <f t="shared" ref="X132:X195" si="33">S132+T132+U132+V132</f>
        <v>1759.6164800000001</v>
      </c>
      <c r="Y132" s="2">
        <v>-40.062607900000003</v>
      </c>
      <c r="Z132" s="2">
        <v>-66.886805300000006</v>
      </c>
      <c r="AA132" s="2">
        <v>-31.387412600000001</v>
      </c>
      <c r="AB132" s="2">
        <v>-23.303550000000001</v>
      </c>
      <c r="AC132" s="2">
        <v>-53.703272400000003</v>
      </c>
      <c r="AD132" s="2">
        <v>-46.429464799999998</v>
      </c>
      <c r="AE132" s="2">
        <v>-37.6171772</v>
      </c>
      <c r="AF132" s="2">
        <v>-59.606714500000002</v>
      </c>
      <c r="AG132" s="2">
        <v>-53.4630619</v>
      </c>
      <c r="AH132" s="2">
        <v>-52.509514299999999</v>
      </c>
      <c r="AI132" s="2">
        <v>-70.766686699999994</v>
      </c>
      <c r="AJ132" s="2">
        <v>-40.869739099999997</v>
      </c>
      <c r="AK132" s="2">
        <f t="shared" ref="AK132:AK195" si="34">Y132+Z132+AA132</f>
        <v>-138.33682580000001</v>
      </c>
      <c r="AL132" s="2">
        <f t="shared" ref="AL132:AL195" si="35">AB132+AC132+AD132</f>
        <v>-123.43628720000001</v>
      </c>
      <c r="AM132" s="2">
        <f t="shared" ref="AM132:AM195" si="36">AE132+AF132+AG132</f>
        <v>-150.68695359999998</v>
      </c>
      <c r="AN132" s="2">
        <f t="shared" ref="AN132:AN195" si="37">AH132+AI132+AJ132</f>
        <v>-164.14594009999999</v>
      </c>
      <c r="AO132" s="2">
        <f t="shared" ref="AO132:AO195" si="38">AI132+AJ132</f>
        <v>-111.63642579999998</v>
      </c>
      <c r="AP132" s="2">
        <f t="shared" ref="AP132:AP195" si="39">AK132+AL132+AM132+AN132</f>
        <v>-576.60600669999997</v>
      </c>
    </row>
    <row r="133" spans="1:42" hidden="1" x14ac:dyDescent="0.55000000000000004">
      <c r="A133" t="s">
        <v>92</v>
      </c>
      <c r="B133" s="4">
        <v>9940490800</v>
      </c>
      <c r="C133" t="s">
        <v>42</v>
      </c>
      <c r="D133" t="s">
        <v>81</v>
      </c>
      <c r="E133" t="s">
        <v>154</v>
      </c>
      <c r="F133" t="s">
        <v>131</v>
      </c>
      <c r="G133" s="2">
        <v>14.6259093</v>
      </c>
      <c r="H133" s="2">
        <v>13.349635599999999</v>
      </c>
      <c r="I133" s="2">
        <v>12.5921512</v>
      </c>
      <c r="J133" s="2">
        <v>12.045326449999999</v>
      </c>
      <c r="K133" s="2">
        <v>6.0027355499999997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f t="shared" si="28"/>
        <v>40.567696099999999</v>
      </c>
      <c r="T133" s="2">
        <f t="shared" si="29"/>
        <v>18.048061999999998</v>
      </c>
      <c r="U133" s="2">
        <f t="shared" si="30"/>
        <v>0</v>
      </c>
      <c r="V133" s="2">
        <f t="shared" si="31"/>
        <v>0</v>
      </c>
      <c r="W133" s="2">
        <f t="shared" si="32"/>
        <v>0</v>
      </c>
      <c r="X133" s="2">
        <f t="shared" si="33"/>
        <v>58.615758099999994</v>
      </c>
      <c r="Y133" s="2">
        <v>5.44297845</v>
      </c>
      <c r="Z133" s="2">
        <v>4.1782947500000001</v>
      </c>
      <c r="AA133" s="2">
        <v>4.5723699499999997</v>
      </c>
      <c r="AB133" s="2">
        <v>4.2676688499999997</v>
      </c>
      <c r="AC133" s="2">
        <v>-1.4264668</v>
      </c>
      <c r="AD133" s="2">
        <v>-5.8687266500000002</v>
      </c>
      <c r="AE133" s="2">
        <v>-0.44407085000000002</v>
      </c>
      <c r="AF133" s="2">
        <v>-0.35845874999999999</v>
      </c>
      <c r="AG133" s="2">
        <v>-3.1283499999999999E-2</v>
      </c>
      <c r="AH133" s="2">
        <v>-3.0533950000000001E-2</v>
      </c>
      <c r="AI133" s="2">
        <v>-2.8377449999999999E-2</v>
      </c>
      <c r="AJ133" s="2">
        <v>0</v>
      </c>
      <c r="AK133" s="2">
        <f t="shared" si="34"/>
        <v>14.19364315</v>
      </c>
      <c r="AL133" s="2">
        <f t="shared" si="35"/>
        <v>-3.0275246000000005</v>
      </c>
      <c r="AM133" s="2">
        <f t="shared" si="36"/>
        <v>-0.83381309999999997</v>
      </c>
      <c r="AN133" s="2">
        <f t="shared" si="37"/>
        <v>-5.8911400000000003E-2</v>
      </c>
      <c r="AO133" s="2">
        <f t="shared" si="38"/>
        <v>-2.8377449999999999E-2</v>
      </c>
      <c r="AP133" s="2">
        <f t="shared" si="39"/>
        <v>10.27339405</v>
      </c>
    </row>
    <row r="134" spans="1:42" hidden="1" x14ac:dyDescent="0.55000000000000004">
      <c r="A134" t="s">
        <v>92</v>
      </c>
      <c r="B134" s="4">
        <v>9940490800</v>
      </c>
      <c r="C134" t="s">
        <v>42</v>
      </c>
      <c r="D134" t="s">
        <v>81</v>
      </c>
      <c r="E134" t="s">
        <v>154</v>
      </c>
      <c r="F134" t="s">
        <v>132</v>
      </c>
      <c r="G134" s="2">
        <v>3.0791388</v>
      </c>
      <c r="H134" s="2">
        <v>2.8104496000000001</v>
      </c>
      <c r="I134" s="2">
        <v>2.6509792000000001</v>
      </c>
      <c r="J134" s="2">
        <v>2.5358581999999998</v>
      </c>
      <c r="K134" s="2">
        <v>1.2637338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f t="shared" si="28"/>
        <v>8.5405675999999993</v>
      </c>
      <c r="T134" s="2">
        <f t="shared" si="29"/>
        <v>3.7995919999999996</v>
      </c>
      <c r="U134" s="2">
        <f t="shared" si="30"/>
        <v>0</v>
      </c>
      <c r="V134" s="2">
        <f t="shared" si="31"/>
        <v>0</v>
      </c>
      <c r="W134" s="2">
        <f t="shared" si="32"/>
        <v>0</v>
      </c>
      <c r="X134" s="2">
        <f t="shared" si="33"/>
        <v>12.3401596</v>
      </c>
      <c r="Y134" s="2">
        <v>1.1458902</v>
      </c>
      <c r="Z134" s="2">
        <v>0.87964100000000001</v>
      </c>
      <c r="AA134" s="2">
        <v>0.96260420000000002</v>
      </c>
      <c r="AB134" s="2">
        <v>0.89845660000000005</v>
      </c>
      <c r="AC134" s="2">
        <v>-0.30030879999999999</v>
      </c>
      <c r="AD134" s="2">
        <v>-1.2355214000000001</v>
      </c>
      <c r="AE134" s="2">
        <v>-9.3488600000000005E-2</v>
      </c>
      <c r="AF134" s="2">
        <v>-7.5465000000000004E-2</v>
      </c>
      <c r="AG134" s="2">
        <v>-6.5859999999999998E-3</v>
      </c>
      <c r="AH134" s="2">
        <v>-6.4282000000000002E-3</v>
      </c>
      <c r="AI134" s="2">
        <v>-5.9741999999999998E-3</v>
      </c>
      <c r="AJ134" s="2">
        <v>0</v>
      </c>
      <c r="AK134" s="2">
        <f t="shared" si="34"/>
        <v>2.9881354</v>
      </c>
      <c r="AL134" s="2">
        <f t="shared" si="35"/>
        <v>-0.6373736000000001</v>
      </c>
      <c r="AM134" s="2">
        <f t="shared" si="36"/>
        <v>-0.17553960000000002</v>
      </c>
      <c r="AN134" s="2">
        <f t="shared" si="37"/>
        <v>-1.2402400000000001E-2</v>
      </c>
      <c r="AO134" s="2">
        <f t="shared" si="38"/>
        <v>-5.9741999999999998E-3</v>
      </c>
      <c r="AP134" s="2">
        <f t="shared" si="39"/>
        <v>2.1628197999999998</v>
      </c>
    </row>
    <row r="135" spans="1:42" hidden="1" x14ac:dyDescent="0.55000000000000004">
      <c r="A135" t="s">
        <v>92</v>
      </c>
      <c r="B135" s="4">
        <v>9940490800</v>
      </c>
      <c r="C135" t="s">
        <v>42</v>
      </c>
      <c r="D135" t="s">
        <v>81</v>
      </c>
      <c r="E135" t="s">
        <v>154</v>
      </c>
      <c r="F135" t="s">
        <v>26</v>
      </c>
      <c r="G135" s="2">
        <v>59.273421900000002</v>
      </c>
      <c r="H135" s="2">
        <v>54.101154800000003</v>
      </c>
      <c r="I135" s="2">
        <v>51.031349599999999</v>
      </c>
      <c r="J135" s="2">
        <v>48.815270349999999</v>
      </c>
      <c r="K135" s="2">
        <v>24.326875650000002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f t="shared" si="28"/>
        <v>164.4059263</v>
      </c>
      <c r="T135" s="2">
        <f t="shared" si="29"/>
        <v>73.142145999999997</v>
      </c>
      <c r="U135" s="2">
        <f t="shared" si="30"/>
        <v>0</v>
      </c>
      <c r="V135" s="2">
        <f t="shared" si="31"/>
        <v>0</v>
      </c>
      <c r="W135" s="2">
        <f t="shared" si="32"/>
        <v>0</v>
      </c>
      <c r="X135" s="2">
        <f t="shared" si="33"/>
        <v>237.5480723</v>
      </c>
      <c r="Y135" s="2">
        <v>22.058386349999999</v>
      </c>
      <c r="Z135" s="2">
        <v>16.933089249999998</v>
      </c>
      <c r="AA135" s="2">
        <v>18.530130849999999</v>
      </c>
      <c r="AB135" s="2">
        <v>17.29528955</v>
      </c>
      <c r="AC135" s="2">
        <v>-5.7809444000000001</v>
      </c>
      <c r="AD135" s="2">
        <v>-23.78378695</v>
      </c>
      <c r="AE135" s="2">
        <v>-1.79965555</v>
      </c>
      <c r="AF135" s="2">
        <v>-1.4527012500000001</v>
      </c>
      <c r="AG135" s="2">
        <v>-0.12678049999999999</v>
      </c>
      <c r="AH135" s="2">
        <v>-0.12374285</v>
      </c>
      <c r="AI135" s="2">
        <v>-0.11500335</v>
      </c>
      <c r="AJ135" s="2">
        <v>0</v>
      </c>
      <c r="AK135" s="2">
        <f t="shared" si="34"/>
        <v>57.52160645</v>
      </c>
      <c r="AL135" s="2">
        <f t="shared" si="35"/>
        <v>-12.269441799999999</v>
      </c>
      <c r="AM135" s="2">
        <f t="shared" si="36"/>
        <v>-3.3791373000000005</v>
      </c>
      <c r="AN135" s="2">
        <f t="shared" si="37"/>
        <v>-0.23874620000000002</v>
      </c>
      <c r="AO135" s="2">
        <f t="shared" si="38"/>
        <v>-0.11500335</v>
      </c>
      <c r="AP135" s="2">
        <f t="shared" si="39"/>
        <v>41.634281149999993</v>
      </c>
    </row>
    <row r="136" spans="1:42" hidden="1" x14ac:dyDescent="0.55000000000000004">
      <c r="A136" t="s">
        <v>92</v>
      </c>
      <c r="B136" s="4">
        <v>9940566312</v>
      </c>
      <c r="C136" t="s">
        <v>98</v>
      </c>
      <c r="D136" t="s">
        <v>136</v>
      </c>
      <c r="E136" t="s">
        <v>151</v>
      </c>
      <c r="F136" t="s">
        <v>131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f t="shared" si="28"/>
        <v>0</v>
      </c>
      <c r="T136" s="2">
        <f t="shared" si="29"/>
        <v>0</v>
      </c>
      <c r="U136" s="2">
        <f t="shared" si="30"/>
        <v>0</v>
      </c>
      <c r="V136" s="2">
        <f t="shared" si="31"/>
        <v>0</v>
      </c>
      <c r="W136" s="2">
        <f t="shared" si="32"/>
        <v>0</v>
      </c>
      <c r="X136" s="2">
        <f t="shared" si="33"/>
        <v>0</v>
      </c>
      <c r="Y136" s="2">
        <v>-0.1685856</v>
      </c>
      <c r="Z136" s="2">
        <v>-0.1685856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f t="shared" si="34"/>
        <v>-0.3371712</v>
      </c>
      <c r="AL136" s="2">
        <f t="shared" si="35"/>
        <v>0</v>
      </c>
      <c r="AM136" s="2">
        <f t="shared" si="36"/>
        <v>0</v>
      </c>
      <c r="AN136" s="2">
        <f t="shared" si="37"/>
        <v>0</v>
      </c>
      <c r="AO136" s="2">
        <f t="shared" si="38"/>
        <v>0</v>
      </c>
      <c r="AP136" s="2">
        <f t="shared" si="39"/>
        <v>-0.3371712</v>
      </c>
    </row>
    <row r="137" spans="1:42" hidden="1" x14ac:dyDescent="0.55000000000000004">
      <c r="A137" t="s">
        <v>92</v>
      </c>
      <c r="B137" s="4">
        <v>9940566312</v>
      </c>
      <c r="C137" t="s">
        <v>98</v>
      </c>
      <c r="D137" t="s">
        <v>136</v>
      </c>
      <c r="E137" t="s">
        <v>151</v>
      </c>
      <c r="F137" t="s">
        <v>132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f t="shared" si="28"/>
        <v>0</v>
      </c>
      <c r="T137" s="2">
        <f t="shared" si="29"/>
        <v>0</v>
      </c>
      <c r="U137" s="2">
        <f t="shared" si="30"/>
        <v>0</v>
      </c>
      <c r="V137" s="2">
        <f t="shared" si="31"/>
        <v>0</v>
      </c>
      <c r="W137" s="2">
        <f t="shared" si="32"/>
        <v>0</v>
      </c>
      <c r="X137" s="2">
        <f t="shared" si="33"/>
        <v>0</v>
      </c>
      <c r="Y137" s="2">
        <v>-0.16197439999999999</v>
      </c>
      <c r="Z137" s="2">
        <v>-0.16197439999999999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f t="shared" si="34"/>
        <v>-0.32394879999999998</v>
      </c>
      <c r="AL137" s="2">
        <f t="shared" si="35"/>
        <v>0</v>
      </c>
      <c r="AM137" s="2">
        <f t="shared" si="36"/>
        <v>0</v>
      </c>
      <c r="AN137" s="2">
        <f t="shared" si="37"/>
        <v>0</v>
      </c>
      <c r="AO137" s="2">
        <f t="shared" si="38"/>
        <v>0</v>
      </c>
      <c r="AP137" s="2">
        <f t="shared" si="39"/>
        <v>-0.32394879999999998</v>
      </c>
    </row>
    <row r="138" spans="1:42" hidden="1" x14ac:dyDescent="0.55000000000000004">
      <c r="A138" t="s">
        <v>92</v>
      </c>
      <c r="B138" s="4">
        <v>9940280146</v>
      </c>
      <c r="C138" t="s">
        <v>99</v>
      </c>
      <c r="D138" t="s">
        <v>137</v>
      </c>
      <c r="E138" t="s">
        <v>150</v>
      </c>
      <c r="F138" t="s">
        <v>133</v>
      </c>
      <c r="G138" s="2">
        <v>96.589236</v>
      </c>
      <c r="H138" s="2">
        <v>96.589236</v>
      </c>
      <c r="I138" s="2">
        <v>96.589236</v>
      </c>
      <c r="J138" s="2">
        <v>96.589236</v>
      </c>
      <c r="K138" s="2">
        <v>105.2359</v>
      </c>
      <c r="L138" s="2">
        <v>108.972471</v>
      </c>
      <c r="M138" s="2">
        <v>108.972471</v>
      </c>
      <c r="N138" s="2">
        <v>108.972471</v>
      </c>
      <c r="O138" s="2">
        <v>108.972471</v>
      </c>
      <c r="P138" s="2">
        <v>108.972471</v>
      </c>
      <c r="Q138" s="2">
        <v>108.972471</v>
      </c>
      <c r="R138" s="2">
        <v>93.984807000000004</v>
      </c>
      <c r="S138" s="2">
        <f t="shared" si="28"/>
        <v>289.76770799999997</v>
      </c>
      <c r="T138" s="2">
        <f t="shared" si="29"/>
        <v>310.79760699999997</v>
      </c>
      <c r="U138" s="2">
        <f t="shared" si="30"/>
        <v>326.91741300000001</v>
      </c>
      <c r="V138" s="2">
        <f t="shared" si="31"/>
        <v>311.92974900000002</v>
      </c>
      <c r="W138" s="2">
        <f t="shared" si="32"/>
        <v>202.957278</v>
      </c>
      <c r="X138" s="2">
        <f t="shared" si="33"/>
        <v>1239.4124769999999</v>
      </c>
      <c r="Y138" s="2">
        <v>32.365943999999999</v>
      </c>
      <c r="Z138" s="2">
        <v>32.172879000000002</v>
      </c>
      <c r="AA138" s="2">
        <v>32.187733999999999</v>
      </c>
      <c r="AB138" s="2">
        <v>31.722747999999999</v>
      </c>
      <c r="AC138" s="2">
        <v>33.859802000000002</v>
      </c>
      <c r="AD138" s="2">
        <v>35.977749000000003</v>
      </c>
      <c r="AE138" s="2">
        <v>35.400475999999998</v>
      </c>
      <c r="AF138" s="2">
        <v>35.655841000000002</v>
      </c>
      <c r="AG138" s="2">
        <v>35.359726000000002</v>
      </c>
      <c r="AH138" s="2">
        <v>35.804285999999998</v>
      </c>
      <c r="AI138" s="2">
        <v>34.899822</v>
      </c>
      <c r="AJ138" s="2">
        <v>30.511690000000002</v>
      </c>
      <c r="AK138" s="2">
        <f t="shared" si="34"/>
        <v>96.726557000000014</v>
      </c>
      <c r="AL138" s="2">
        <f t="shared" si="35"/>
        <v>101.560299</v>
      </c>
      <c r="AM138" s="2">
        <f t="shared" si="36"/>
        <v>106.416043</v>
      </c>
      <c r="AN138" s="2">
        <f t="shared" si="37"/>
        <v>101.21579799999999</v>
      </c>
      <c r="AO138" s="2">
        <f t="shared" si="38"/>
        <v>65.411512000000002</v>
      </c>
      <c r="AP138" s="2">
        <f t="shared" si="39"/>
        <v>405.91869700000001</v>
      </c>
    </row>
    <row r="139" spans="1:42" x14ac:dyDescent="0.55000000000000004">
      <c r="A139" t="s">
        <v>92</v>
      </c>
      <c r="B139" s="4">
        <v>9940477325</v>
      </c>
      <c r="C139" t="s">
        <v>43</v>
      </c>
      <c r="D139" t="s">
        <v>83</v>
      </c>
      <c r="E139" t="s">
        <v>150</v>
      </c>
      <c r="F139" t="s">
        <v>26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f t="shared" si="28"/>
        <v>0</v>
      </c>
      <c r="T139" s="2">
        <f t="shared" si="29"/>
        <v>0</v>
      </c>
      <c r="U139" s="2">
        <f t="shared" si="30"/>
        <v>0</v>
      </c>
      <c r="V139" s="2">
        <f t="shared" si="31"/>
        <v>0</v>
      </c>
      <c r="W139" s="2">
        <f t="shared" si="32"/>
        <v>0</v>
      </c>
      <c r="X139" s="2">
        <f t="shared" si="33"/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f t="shared" si="34"/>
        <v>0</v>
      </c>
      <c r="AL139" s="2">
        <f t="shared" si="35"/>
        <v>0</v>
      </c>
      <c r="AM139" s="2">
        <f t="shared" si="36"/>
        <v>0</v>
      </c>
      <c r="AN139" s="2">
        <f t="shared" si="37"/>
        <v>0</v>
      </c>
      <c r="AO139" s="2">
        <f t="shared" si="38"/>
        <v>0</v>
      </c>
      <c r="AP139" s="2">
        <f t="shared" si="39"/>
        <v>0</v>
      </c>
    </row>
    <row r="140" spans="1:42" hidden="1" x14ac:dyDescent="0.55000000000000004">
      <c r="A140" t="s">
        <v>92</v>
      </c>
      <c r="B140" s="4">
        <v>9940486464</v>
      </c>
      <c r="C140" t="s">
        <v>44</v>
      </c>
      <c r="D140" t="s">
        <v>81</v>
      </c>
      <c r="E140" t="s">
        <v>155</v>
      </c>
      <c r="F140" t="s">
        <v>131</v>
      </c>
      <c r="G140" s="2">
        <v>5.6999999999999996E-6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f t="shared" si="28"/>
        <v>5.6999999999999996E-6</v>
      </c>
      <c r="T140" s="2">
        <f t="shared" si="29"/>
        <v>0</v>
      </c>
      <c r="U140" s="2">
        <f t="shared" si="30"/>
        <v>0</v>
      </c>
      <c r="V140" s="2">
        <f t="shared" si="31"/>
        <v>0</v>
      </c>
      <c r="W140" s="2">
        <f t="shared" si="32"/>
        <v>0</v>
      </c>
      <c r="X140" s="2">
        <f t="shared" si="33"/>
        <v>5.6999999999999996E-6</v>
      </c>
      <c r="Y140" s="2">
        <v>-2.5066643000000002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f t="shared" si="34"/>
        <v>-2.5066643000000002</v>
      </c>
      <c r="AL140" s="2">
        <f t="shared" si="35"/>
        <v>0</v>
      </c>
      <c r="AM140" s="2">
        <f t="shared" si="36"/>
        <v>0</v>
      </c>
      <c r="AN140" s="2">
        <f t="shared" si="37"/>
        <v>0</v>
      </c>
      <c r="AO140" s="2">
        <f t="shared" si="38"/>
        <v>0</v>
      </c>
      <c r="AP140" s="2">
        <f t="shared" si="39"/>
        <v>-2.5066643000000002</v>
      </c>
    </row>
    <row r="141" spans="1:42" hidden="1" x14ac:dyDescent="0.55000000000000004">
      <c r="A141" t="s">
        <v>92</v>
      </c>
      <c r="B141" s="4">
        <v>9940486464</v>
      </c>
      <c r="C141" t="s">
        <v>44</v>
      </c>
      <c r="D141" t="s">
        <v>81</v>
      </c>
      <c r="E141" t="s">
        <v>155</v>
      </c>
      <c r="F141" t="s">
        <v>26</v>
      </c>
      <c r="G141" s="2">
        <v>2.4300000000000001E-5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f t="shared" si="28"/>
        <v>2.4300000000000001E-5</v>
      </c>
      <c r="T141" s="2">
        <f t="shared" si="29"/>
        <v>0</v>
      </c>
      <c r="U141" s="2">
        <f t="shared" si="30"/>
        <v>0</v>
      </c>
      <c r="V141" s="2">
        <f t="shared" si="31"/>
        <v>0</v>
      </c>
      <c r="W141" s="2">
        <f t="shared" si="32"/>
        <v>0</v>
      </c>
      <c r="X141" s="2">
        <f t="shared" si="33"/>
        <v>2.4300000000000001E-5</v>
      </c>
      <c r="Y141" s="2">
        <v>-10.6863057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f t="shared" si="34"/>
        <v>-10.6863057</v>
      </c>
      <c r="AL141" s="2">
        <f t="shared" si="35"/>
        <v>0</v>
      </c>
      <c r="AM141" s="2">
        <f t="shared" si="36"/>
        <v>0</v>
      </c>
      <c r="AN141" s="2">
        <f t="shared" si="37"/>
        <v>0</v>
      </c>
      <c r="AO141" s="2">
        <f t="shared" si="38"/>
        <v>0</v>
      </c>
      <c r="AP141" s="2">
        <f t="shared" si="39"/>
        <v>-10.6863057</v>
      </c>
    </row>
    <row r="142" spans="1:42" hidden="1" x14ac:dyDescent="0.55000000000000004">
      <c r="A142" t="s">
        <v>92</v>
      </c>
      <c r="B142" s="4">
        <v>9940547100</v>
      </c>
      <c r="C142" t="s">
        <v>45</v>
      </c>
      <c r="D142" t="s">
        <v>82</v>
      </c>
      <c r="E142" t="s">
        <v>154</v>
      </c>
      <c r="F142" t="s">
        <v>131</v>
      </c>
      <c r="G142" s="2">
        <v>15.030798000000001</v>
      </c>
      <c r="H142" s="2">
        <v>15.030798000000001</v>
      </c>
      <c r="I142" s="2">
        <v>15.030798000000001</v>
      </c>
      <c r="J142" s="2">
        <v>15.030798000000001</v>
      </c>
      <c r="K142" s="2">
        <v>15.030798000000001</v>
      </c>
      <c r="L142" s="2">
        <v>15.030798000000001</v>
      </c>
      <c r="M142" s="2">
        <v>15.030798000000001</v>
      </c>
      <c r="N142" s="2">
        <v>15.030798000000001</v>
      </c>
      <c r="O142" s="2">
        <v>15.030798000000001</v>
      </c>
      <c r="P142" s="2">
        <v>15.030798000000001</v>
      </c>
      <c r="Q142" s="2">
        <v>15.030798000000001</v>
      </c>
      <c r="R142" s="2">
        <v>15.030798000000001</v>
      </c>
      <c r="S142" s="2">
        <f t="shared" si="28"/>
        <v>45.092393999999999</v>
      </c>
      <c r="T142" s="2">
        <f t="shared" si="29"/>
        <v>45.092393999999999</v>
      </c>
      <c r="U142" s="2">
        <f t="shared" si="30"/>
        <v>45.092393999999999</v>
      </c>
      <c r="V142" s="2">
        <f t="shared" si="31"/>
        <v>45.092393999999999</v>
      </c>
      <c r="W142" s="2">
        <f t="shared" si="32"/>
        <v>30.061596000000002</v>
      </c>
      <c r="X142" s="2">
        <f t="shared" si="33"/>
        <v>180.369576</v>
      </c>
      <c r="Y142" s="2">
        <v>9.3674400000000002</v>
      </c>
      <c r="Z142" s="2">
        <v>9.2617799999999999</v>
      </c>
      <c r="AA142" s="2">
        <v>9.1561199999999996</v>
      </c>
      <c r="AB142" s="2">
        <v>9.0504540000000002</v>
      </c>
      <c r="AC142" s="2">
        <v>8.9447939999999999</v>
      </c>
      <c r="AD142" s="2">
        <v>8.8391339999999996</v>
      </c>
      <c r="AE142" s="2">
        <v>8.7334739999999993</v>
      </c>
      <c r="AF142" s="2">
        <v>8.6278079999999999</v>
      </c>
      <c r="AG142" s="2">
        <v>8.5221479999999996</v>
      </c>
      <c r="AH142" s="2">
        <v>8.4164879999999993</v>
      </c>
      <c r="AI142" s="2">
        <v>8.3108219999999999</v>
      </c>
      <c r="AJ142" s="2">
        <v>8.2051619999999996</v>
      </c>
      <c r="AK142" s="2">
        <f t="shared" si="34"/>
        <v>27.785339999999998</v>
      </c>
      <c r="AL142" s="2">
        <f t="shared" si="35"/>
        <v>26.834381999999998</v>
      </c>
      <c r="AM142" s="2">
        <f t="shared" si="36"/>
        <v>25.883429999999997</v>
      </c>
      <c r="AN142" s="2">
        <f t="shared" si="37"/>
        <v>24.932471999999997</v>
      </c>
      <c r="AO142" s="2">
        <f t="shared" si="38"/>
        <v>16.515984</v>
      </c>
      <c r="AP142" s="2">
        <f t="shared" si="39"/>
        <v>105.43562399999999</v>
      </c>
    </row>
    <row r="143" spans="1:42" hidden="1" x14ac:dyDescent="0.55000000000000004">
      <c r="A143" t="s">
        <v>92</v>
      </c>
      <c r="B143" s="4">
        <v>9940547100</v>
      </c>
      <c r="C143" t="s">
        <v>45</v>
      </c>
      <c r="D143" t="s">
        <v>82</v>
      </c>
      <c r="E143" t="s">
        <v>154</v>
      </c>
      <c r="F143" t="s">
        <v>26</v>
      </c>
      <c r="G143" s="2">
        <v>2.5221179999999999</v>
      </c>
      <c r="H143" s="2">
        <v>2.5221179999999999</v>
      </c>
      <c r="I143" s="2">
        <v>2.5221179999999999</v>
      </c>
      <c r="J143" s="2">
        <v>2.5221179999999999</v>
      </c>
      <c r="K143" s="2">
        <v>2.5221179999999999</v>
      </c>
      <c r="L143" s="2">
        <v>2.5221179999999999</v>
      </c>
      <c r="M143" s="2">
        <v>2.5221179999999999</v>
      </c>
      <c r="N143" s="2">
        <v>2.5221179999999999</v>
      </c>
      <c r="O143" s="2">
        <v>2.5221179999999999</v>
      </c>
      <c r="P143" s="2">
        <v>2.5221179999999999</v>
      </c>
      <c r="Q143" s="2">
        <v>2.5221179999999999</v>
      </c>
      <c r="R143" s="2">
        <v>2.5221179999999999</v>
      </c>
      <c r="S143" s="2">
        <f t="shared" si="28"/>
        <v>7.5663539999999996</v>
      </c>
      <c r="T143" s="2">
        <f t="shared" si="29"/>
        <v>7.5663539999999996</v>
      </c>
      <c r="U143" s="2">
        <f t="shared" si="30"/>
        <v>7.5663539999999996</v>
      </c>
      <c r="V143" s="2">
        <f t="shared" si="31"/>
        <v>7.5663539999999996</v>
      </c>
      <c r="W143" s="2">
        <f t="shared" si="32"/>
        <v>5.0442359999999997</v>
      </c>
      <c r="X143" s="2">
        <f t="shared" si="33"/>
        <v>30.265415999999998</v>
      </c>
      <c r="Y143" s="2">
        <v>2.3085659999999999</v>
      </c>
      <c r="Z143" s="2">
        <v>2.2871220000000001</v>
      </c>
      <c r="AA143" s="2">
        <v>2.2656779999999999</v>
      </c>
      <c r="AB143" s="2">
        <v>2.2442340000000001</v>
      </c>
      <c r="AC143" s="2">
        <v>2.2227899999999998</v>
      </c>
      <c r="AD143" s="2">
        <v>2.2013579999999999</v>
      </c>
      <c r="AE143" s="2">
        <v>2.1799140000000001</v>
      </c>
      <c r="AF143" s="2">
        <v>2.1584699999999999</v>
      </c>
      <c r="AG143" s="2">
        <v>2.1370260000000001</v>
      </c>
      <c r="AH143" s="2">
        <v>2.1155819999999999</v>
      </c>
      <c r="AI143" s="2">
        <v>2.094144</v>
      </c>
      <c r="AJ143" s="2">
        <v>2.0727000000000002</v>
      </c>
      <c r="AK143" s="2">
        <f t="shared" si="34"/>
        <v>6.8613660000000003</v>
      </c>
      <c r="AL143" s="2">
        <f t="shared" si="35"/>
        <v>6.6683820000000003</v>
      </c>
      <c r="AM143" s="2">
        <f t="shared" si="36"/>
        <v>6.4754100000000001</v>
      </c>
      <c r="AN143" s="2">
        <f t="shared" si="37"/>
        <v>6.2824260000000001</v>
      </c>
      <c r="AO143" s="2">
        <f t="shared" si="38"/>
        <v>4.1668440000000002</v>
      </c>
      <c r="AP143" s="2">
        <f t="shared" si="39"/>
        <v>26.287584000000003</v>
      </c>
    </row>
    <row r="144" spans="1:42" hidden="1" x14ac:dyDescent="0.55000000000000004">
      <c r="A144" t="s">
        <v>92</v>
      </c>
      <c r="B144" s="4">
        <v>9940547100</v>
      </c>
      <c r="C144" t="s">
        <v>45</v>
      </c>
      <c r="D144" t="s">
        <v>82</v>
      </c>
      <c r="E144" t="s">
        <v>154</v>
      </c>
      <c r="F144" t="s">
        <v>135</v>
      </c>
      <c r="G144" s="2">
        <v>368.15821799999998</v>
      </c>
      <c r="H144" s="2">
        <v>368.15821799999998</v>
      </c>
      <c r="I144" s="2">
        <v>370.70995799999997</v>
      </c>
      <c r="J144" s="2">
        <v>344.29663199999999</v>
      </c>
      <c r="K144" s="2">
        <v>316.736268</v>
      </c>
      <c r="L144" s="2">
        <v>322.893756</v>
      </c>
      <c r="M144" s="2">
        <v>314.01200399999999</v>
      </c>
      <c r="N144" s="2">
        <v>313.96054800000002</v>
      </c>
      <c r="O144" s="2">
        <v>314.88409200000001</v>
      </c>
      <c r="P144" s="2">
        <v>308.05140599999999</v>
      </c>
      <c r="Q144" s="2">
        <v>302.82409799999999</v>
      </c>
      <c r="R144" s="2">
        <v>308.619078</v>
      </c>
      <c r="S144" s="2">
        <f t="shared" si="28"/>
        <v>1107.026394</v>
      </c>
      <c r="T144" s="2">
        <f t="shared" si="29"/>
        <v>983.92665599999987</v>
      </c>
      <c r="U144" s="2">
        <f t="shared" si="30"/>
        <v>942.85664399999996</v>
      </c>
      <c r="V144" s="2">
        <f t="shared" si="31"/>
        <v>919.49458200000004</v>
      </c>
      <c r="W144" s="2">
        <f t="shared" si="32"/>
        <v>611.44317599999999</v>
      </c>
      <c r="X144" s="2">
        <f t="shared" si="33"/>
        <v>3953.3042759999998</v>
      </c>
      <c r="Y144" s="2">
        <v>136.05499800000001</v>
      </c>
      <c r="Z144" s="2">
        <v>113.954328</v>
      </c>
      <c r="AA144" s="2">
        <v>121.539396</v>
      </c>
      <c r="AB144" s="2">
        <v>101.11091399999999</v>
      </c>
      <c r="AC144" s="2">
        <v>80.626050000000006</v>
      </c>
      <c r="AD144" s="2">
        <v>91.496958000000006</v>
      </c>
      <c r="AE144" s="2">
        <v>81.870701999999994</v>
      </c>
      <c r="AF144" s="2">
        <v>83.137770000000003</v>
      </c>
      <c r="AG144" s="2">
        <v>84.280985999999999</v>
      </c>
      <c r="AH144" s="2">
        <v>105.05250599999999</v>
      </c>
      <c r="AI144" s="2">
        <v>105.42388200000001</v>
      </c>
      <c r="AJ144" s="2">
        <v>111.385446</v>
      </c>
      <c r="AK144" s="2">
        <f t="shared" si="34"/>
        <v>371.548722</v>
      </c>
      <c r="AL144" s="2">
        <f t="shared" si="35"/>
        <v>273.23392200000001</v>
      </c>
      <c r="AM144" s="2">
        <f t="shared" si="36"/>
        <v>249.28945799999997</v>
      </c>
      <c r="AN144" s="2">
        <f t="shared" si="37"/>
        <v>321.86183399999999</v>
      </c>
      <c r="AO144" s="2">
        <f t="shared" si="38"/>
        <v>216.80932799999999</v>
      </c>
      <c r="AP144" s="2">
        <f t="shared" si="39"/>
        <v>1215.9339359999999</v>
      </c>
    </row>
    <row r="145" spans="1:42" hidden="1" x14ac:dyDescent="0.55000000000000004">
      <c r="A145" t="s">
        <v>92</v>
      </c>
      <c r="B145" s="4">
        <v>9940565208</v>
      </c>
      <c r="C145" t="s">
        <v>46</v>
      </c>
      <c r="D145" t="s">
        <v>86</v>
      </c>
      <c r="E145" t="s">
        <v>153</v>
      </c>
      <c r="F145" t="s">
        <v>26</v>
      </c>
      <c r="G145" s="2">
        <v>187.14467999999999</v>
      </c>
      <c r="H145" s="2">
        <v>189.06827999999999</v>
      </c>
      <c r="I145" s="2">
        <v>176.99521999999999</v>
      </c>
      <c r="J145" s="2">
        <v>159.49844999999999</v>
      </c>
      <c r="K145" s="2">
        <v>180.07300000000001</v>
      </c>
      <c r="L145" s="2">
        <v>172.11152999999999</v>
      </c>
      <c r="M145" s="2">
        <v>196.38570999999999</v>
      </c>
      <c r="N145" s="2">
        <v>188.42420000000001</v>
      </c>
      <c r="O145" s="2">
        <v>181.24216999999999</v>
      </c>
      <c r="P145" s="2">
        <v>197.15442999999999</v>
      </c>
      <c r="Q145" s="2">
        <v>197.42204000000001</v>
      </c>
      <c r="R145" s="2">
        <v>195.28117</v>
      </c>
      <c r="S145" s="2">
        <f t="shared" si="28"/>
        <v>553.20817999999997</v>
      </c>
      <c r="T145" s="2">
        <f t="shared" si="29"/>
        <v>511.68298000000004</v>
      </c>
      <c r="U145" s="2">
        <f t="shared" si="30"/>
        <v>566.05207999999993</v>
      </c>
      <c r="V145" s="2">
        <f t="shared" si="31"/>
        <v>589.85763999999995</v>
      </c>
      <c r="W145" s="2">
        <f t="shared" si="32"/>
        <v>392.70321000000001</v>
      </c>
      <c r="X145" s="2">
        <f t="shared" si="33"/>
        <v>2220.8008799999998</v>
      </c>
      <c r="Y145" s="2">
        <v>91.286799999999999</v>
      </c>
      <c r="Z145" s="2">
        <v>94.402159999999995</v>
      </c>
      <c r="AA145" s="2">
        <v>83.728880000000004</v>
      </c>
      <c r="AB145" s="2">
        <v>76.276949999999999</v>
      </c>
      <c r="AC145" s="2">
        <v>89.50761</v>
      </c>
      <c r="AD145" s="2">
        <v>80.510059999999996</v>
      </c>
      <c r="AE145" s="2">
        <v>94.939750000000004</v>
      </c>
      <c r="AF145" s="2">
        <v>93.039349999999999</v>
      </c>
      <c r="AG145" s="2">
        <v>84.274039999999999</v>
      </c>
      <c r="AH145" s="2">
        <v>93.895759999999996</v>
      </c>
      <c r="AI145" s="2">
        <v>96.274720000000002</v>
      </c>
      <c r="AJ145" s="2">
        <v>90.467759999999998</v>
      </c>
      <c r="AK145" s="2">
        <f t="shared" si="34"/>
        <v>269.41784000000001</v>
      </c>
      <c r="AL145" s="2">
        <f t="shared" si="35"/>
        <v>246.29462000000001</v>
      </c>
      <c r="AM145" s="2">
        <f t="shared" si="36"/>
        <v>272.25314000000003</v>
      </c>
      <c r="AN145" s="2">
        <f t="shared" si="37"/>
        <v>280.63824</v>
      </c>
      <c r="AO145" s="2">
        <f t="shared" si="38"/>
        <v>186.74248</v>
      </c>
      <c r="AP145" s="2">
        <f t="shared" si="39"/>
        <v>1068.60384</v>
      </c>
    </row>
    <row r="146" spans="1:42" x14ac:dyDescent="0.55000000000000004">
      <c r="A146" t="s">
        <v>92</v>
      </c>
      <c r="B146" s="4">
        <v>9940503547</v>
      </c>
      <c r="C146" t="s">
        <v>47</v>
      </c>
      <c r="D146" t="s">
        <v>85</v>
      </c>
      <c r="E146" t="s">
        <v>150</v>
      </c>
      <c r="F146" t="s">
        <v>26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f t="shared" si="28"/>
        <v>0</v>
      </c>
      <c r="T146" s="2">
        <f t="shared" si="29"/>
        <v>0</v>
      </c>
      <c r="U146" s="2">
        <f t="shared" si="30"/>
        <v>0</v>
      </c>
      <c r="V146" s="2">
        <f t="shared" si="31"/>
        <v>0</v>
      </c>
      <c r="W146" s="2">
        <f t="shared" si="32"/>
        <v>0</v>
      </c>
      <c r="X146" s="2">
        <f t="shared" si="33"/>
        <v>0</v>
      </c>
      <c r="Y146" s="2">
        <v>-0.99895</v>
      </c>
      <c r="Z146" s="2">
        <v>0</v>
      </c>
      <c r="AA146" s="2">
        <v>0</v>
      </c>
      <c r="AB146" s="2">
        <v>8.0805299999999995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f t="shared" si="34"/>
        <v>-0.99895</v>
      </c>
      <c r="AL146" s="2">
        <f t="shared" si="35"/>
        <v>8.0805299999999995</v>
      </c>
      <c r="AM146" s="2">
        <f t="shared" si="36"/>
        <v>0</v>
      </c>
      <c r="AN146" s="2">
        <f t="shared" si="37"/>
        <v>0</v>
      </c>
      <c r="AO146" s="2">
        <f t="shared" si="38"/>
        <v>0</v>
      </c>
      <c r="AP146" s="2">
        <f t="shared" si="39"/>
        <v>7.0815799999999998</v>
      </c>
    </row>
    <row r="147" spans="1:42" hidden="1" x14ac:dyDescent="0.55000000000000004">
      <c r="A147" t="s">
        <v>92</v>
      </c>
      <c r="B147" s="4">
        <v>9940531677</v>
      </c>
      <c r="C147" t="s">
        <v>103</v>
      </c>
      <c r="D147" t="s">
        <v>88</v>
      </c>
      <c r="E147" t="s">
        <v>152</v>
      </c>
      <c r="F147" t="s">
        <v>134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f t="shared" si="28"/>
        <v>0</v>
      </c>
      <c r="T147" s="2">
        <f t="shared" si="29"/>
        <v>0</v>
      </c>
      <c r="U147" s="2">
        <f t="shared" si="30"/>
        <v>0</v>
      </c>
      <c r="V147" s="2">
        <f t="shared" si="31"/>
        <v>0</v>
      </c>
      <c r="W147" s="2">
        <f t="shared" si="32"/>
        <v>0</v>
      </c>
      <c r="X147" s="2">
        <f t="shared" si="33"/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f t="shared" si="34"/>
        <v>0</v>
      </c>
      <c r="AL147" s="2">
        <f t="shared" si="35"/>
        <v>0</v>
      </c>
      <c r="AM147" s="2">
        <f t="shared" si="36"/>
        <v>0</v>
      </c>
      <c r="AN147" s="2">
        <f t="shared" si="37"/>
        <v>0</v>
      </c>
      <c r="AO147" s="2">
        <f t="shared" si="38"/>
        <v>0</v>
      </c>
      <c r="AP147" s="2">
        <f t="shared" si="39"/>
        <v>0</v>
      </c>
    </row>
    <row r="148" spans="1:42" hidden="1" x14ac:dyDescent="0.55000000000000004">
      <c r="A148" t="s">
        <v>92</v>
      </c>
      <c r="B148" s="4">
        <v>9940578543</v>
      </c>
      <c r="C148" t="s">
        <v>104</v>
      </c>
      <c r="D148" t="s">
        <v>148</v>
      </c>
      <c r="E148" t="s">
        <v>155</v>
      </c>
      <c r="F148" t="s">
        <v>131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f t="shared" si="28"/>
        <v>0</v>
      </c>
      <c r="T148" s="2">
        <f t="shared" si="29"/>
        <v>0</v>
      </c>
      <c r="U148" s="2">
        <f t="shared" si="30"/>
        <v>0</v>
      </c>
      <c r="V148" s="2">
        <f t="shared" si="31"/>
        <v>0</v>
      </c>
      <c r="W148" s="2">
        <f t="shared" si="32"/>
        <v>0</v>
      </c>
      <c r="X148" s="2">
        <f t="shared" si="33"/>
        <v>0</v>
      </c>
      <c r="Y148" s="2">
        <v>-1.8128747999999999</v>
      </c>
      <c r="Z148" s="2">
        <v>-0.97357919999999998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f t="shared" si="34"/>
        <v>-2.786454</v>
      </c>
      <c r="AL148" s="2">
        <f t="shared" si="35"/>
        <v>0</v>
      </c>
      <c r="AM148" s="2">
        <f t="shared" si="36"/>
        <v>0</v>
      </c>
      <c r="AN148" s="2">
        <f t="shared" si="37"/>
        <v>0</v>
      </c>
      <c r="AO148" s="2">
        <f t="shared" si="38"/>
        <v>0</v>
      </c>
      <c r="AP148" s="2">
        <f t="shared" si="39"/>
        <v>-2.786454</v>
      </c>
    </row>
    <row r="149" spans="1:42" hidden="1" x14ac:dyDescent="0.55000000000000004">
      <c r="A149" t="s">
        <v>92</v>
      </c>
      <c r="B149" s="4">
        <v>9940425273</v>
      </c>
      <c r="C149" t="s">
        <v>105</v>
      </c>
      <c r="D149" t="s">
        <v>75</v>
      </c>
      <c r="E149" t="s">
        <v>151</v>
      </c>
      <c r="F149" t="s">
        <v>131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f t="shared" si="28"/>
        <v>0</v>
      </c>
      <c r="T149" s="2">
        <f t="shared" si="29"/>
        <v>0</v>
      </c>
      <c r="U149" s="2">
        <f t="shared" si="30"/>
        <v>0</v>
      </c>
      <c r="V149" s="2">
        <f t="shared" si="31"/>
        <v>0</v>
      </c>
      <c r="W149" s="2">
        <f t="shared" si="32"/>
        <v>0</v>
      </c>
      <c r="X149" s="2">
        <f t="shared" si="33"/>
        <v>0</v>
      </c>
      <c r="Y149" s="2">
        <v>-0.44091599999999997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f t="shared" si="34"/>
        <v>-0.44091599999999997</v>
      </c>
      <c r="AL149" s="2">
        <f t="shared" si="35"/>
        <v>0</v>
      </c>
      <c r="AM149" s="2">
        <f t="shared" si="36"/>
        <v>0</v>
      </c>
      <c r="AN149" s="2">
        <f t="shared" si="37"/>
        <v>0</v>
      </c>
      <c r="AO149" s="2">
        <f t="shared" si="38"/>
        <v>0</v>
      </c>
      <c r="AP149" s="2">
        <f t="shared" si="39"/>
        <v>-0.44091599999999997</v>
      </c>
    </row>
    <row r="150" spans="1:42" hidden="1" x14ac:dyDescent="0.55000000000000004">
      <c r="A150" t="s">
        <v>92</v>
      </c>
      <c r="B150" s="4">
        <v>9940364931</v>
      </c>
      <c r="C150" t="s">
        <v>48</v>
      </c>
      <c r="D150" t="s">
        <v>76</v>
      </c>
      <c r="E150" t="s">
        <v>150</v>
      </c>
      <c r="F150" t="s">
        <v>131</v>
      </c>
      <c r="G150" s="2">
        <v>4.2</v>
      </c>
      <c r="H150" s="2">
        <v>4.2</v>
      </c>
      <c r="I150" s="2">
        <v>4.2</v>
      </c>
      <c r="J150" s="2">
        <v>4.1999985999999998</v>
      </c>
      <c r="K150" s="2">
        <v>4.2</v>
      </c>
      <c r="L150" s="2">
        <v>4.2005656</v>
      </c>
      <c r="M150" s="2">
        <v>4.2005543999999997</v>
      </c>
      <c r="N150" s="2">
        <v>4.1988478000000002</v>
      </c>
      <c r="O150" s="2">
        <v>0</v>
      </c>
      <c r="P150" s="2">
        <v>0</v>
      </c>
      <c r="Q150" s="2">
        <v>0</v>
      </c>
      <c r="R150" s="2">
        <v>0</v>
      </c>
      <c r="S150" s="2">
        <f t="shared" si="28"/>
        <v>12.600000000000001</v>
      </c>
      <c r="T150" s="2">
        <f t="shared" si="29"/>
        <v>12.600564200000001</v>
      </c>
      <c r="U150" s="2">
        <f t="shared" si="30"/>
        <v>8.3994022000000008</v>
      </c>
      <c r="V150" s="2">
        <f t="shared" si="31"/>
        <v>0</v>
      </c>
      <c r="W150" s="2">
        <f t="shared" si="32"/>
        <v>0</v>
      </c>
      <c r="X150" s="2">
        <f t="shared" si="33"/>
        <v>33.5999664</v>
      </c>
      <c r="Y150" s="2">
        <v>1.2054</v>
      </c>
      <c r="Z150" s="2">
        <v>1.2054</v>
      </c>
      <c r="AA150" s="2">
        <v>1.2053986000000001</v>
      </c>
      <c r="AB150" s="2">
        <v>1.2054</v>
      </c>
      <c r="AC150" s="2">
        <v>1.2045977999999999</v>
      </c>
      <c r="AD150" s="2">
        <v>7.5592999999999994E-2</v>
      </c>
      <c r="AE150" s="2">
        <v>4.5086453999999998</v>
      </c>
      <c r="AF150" s="2">
        <v>-0.48049120000000001</v>
      </c>
      <c r="AG150" s="2">
        <v>2.5368000000000001E-3</v>
      </c>
      <c r="AH150" s="2">
        <v>5.754E-4</v>
      </c>
      <c r="AI150" s="2">
        <v>0</v>
      </c>
      <c r="AJ150" s="2">
        <v>0</v>
      </c>
      <c r="AK150" s="2">
        <f t="shared" si="34"/>
        <v>3.6161986000000002</v>
      </c>
      <c r="AL150" s="2">
        <f t="shared" si="35"/>
        <v>2.4855908000000002</v>
      </c>
      <c r="AM150" s="2">
        <f t="shared" si="36"/>
        <v>4.0306909999999991</v>
      </c>
      <c r="AN150" s="2">
        <f t="shared" si="37"/>
        <v>5.754E-4</v>
      </c>
      <c r="AO150" s="2">
        <f t="shared" si="38"/>
        <v>0</v>
      </c>
      <c r="AP150" s="2">
        <f t="shared" si="39"/>
        <v>10.133055799999999</v>
      </c>
    </row>
    <row r="151" spans="1:42" x14ac:dyDescent="0.55000000000000004">
      <c r="A151" t="s">
        <v>92</v>
      </c>
      <c r="B151" s="4">
        <v>9940364931</v>
      </c>
      <c r="C151" t="s">
        <v>48</v>
      </c>
      <c r="D151" t="s">
        <v>76</v>
      </c>
      <c r="E151" t="s">
        <v>150</v>
      </c>
      <c r="F151" t="s">
        <v>26</v>
      </c>
      <c r="G151" s="2">
        <v>25.8</v>
      </c>
      <c r="H151" s="2">
        <v>25.8</v>
      </c>
      <c r="I151" s="2">
        <v>25.8</v>
      </c>
      <c r="J151" s="2">
        <v>25.7999914</v>
      </c>
      <c r="K151" s="2">
        <v>25.8</v>
      </c>
      <c r="L151" s="2">
        <v>25.803474399999999</v>
      </c>
      <c r="M151" s="2">
        <v>25.803405600000001</v>
      </c>
      <c r="N151" s="2">
        <v>25.7929222</v>
      </c>
      <c r="O151" s="2">
        <v>0</v>
      </c>
      <c r="P151" s="2">
        <v>0</v>
      </c>
      <c r="Q151" s="2">
        <v>0</v>
      </c>
      <c r="R151" s="2">
        <v>0</v>
      </c>
      <c r="S151" s="2">
        <f t="shared" si="28"/>
        <v>77.400000000000006</v>
      </c>
      <c r="T151" s="2">
        <f t="shared" si="29"/>
        <v>77.403465799999992</v>
      </c>
      <c r="U151" s="2">
        <f t="shared" si="30"/>
        <v>51.596327799999997</v>
      </c>
      <c r="V151" s="2">
        <f t="shared" si="31"/>
        <v>0</v>
      </c>
      <c r="W151" s="2">
        <f t="shared" si="32"/>
        <v>0</v>
      </c>
      <c r="X151" s="2">
        <f t="shared" si="33"/>
        <v>206.39979360000001</v>
      </c>
      <c r="Y151" s="2">
        <v>7.4046000000000003</v>
      </c>
      <c r="Z151" s="2">
        <v>7.4046000000000003</v>
      </c>
      <c r="AA151" s="2">
        <v>7.4045914000000002</v>
      </c>
      <c r="AB151" s="2">
        <v>7.4046000000000003</v>
      </c>
      <c r="AC151" s="2">
        <v>7.3996722000000004</v>
      </c>
      <c r="AD151" s="2">
        <v>0.46435700000000002</v>
      </c>
      <c r="AE151" s="2">
        <v>27.6959646</v>
      </c>
      <c r="AF151" s="2">
        <v>-2.9515888000000001</v>
      </c>
      <c r="AG151" s="2">
        <v>1.55832E-2</v>
      </c>
      <c r="AH151" s="2">
        <v>3.5346000000000002E-3</v>
      </c>
      <c r="AI151" s="2">
        <v>0</v>
      </c>
      <c r="AJ151" s="2">
        <v>0</v>
      </c>
      <c r="AK151" s="2">
        <f t="shared" si="34"/>
        <v>22.213791400000002</v>
      </c>
      <c r="AL151" s="2">
        <f t="shared" si="35"/>
        <v>15.268629199999999</v>
      </c>
      <c r="AM151" s="2">
        <f t="shared" si="36"/>
        <v>24.759958999999998</v>
      </c>
      <c r="AN151" s="2">
        <f t="shared" si="37"/>
        <v>3.5346000000000002E-3</v>
      </c>
      <c r="AO151" s="2">
        <f t="shared" si="38"/>
        <v>0</v>
      </c>
      <c r="AP151" s="2">
        <f t="shared" si="39"/>
        <v>62.245914199999994</v>
      </c>
    </row>
    <row r="152" spans="1:42" hidden="1" x14ac:dyDescent="0.55000000000000004">
      <c r="A152" t="s">
        <v>92</v>
      </c>
      <c r="B152" s="4">
        <v>9940258710</v>
      </c>
      <c r="C152" t="s">
        <v>106</v>
      </c>
      <c r="D152" t="s">
        <v>82</v>
      </c>
      <c r="E152" t="s">
        <v>154</v>
      </c>
      <c r="F152" t="s">
        <v>133</v>
      </c>
      <c r="G152" s="2">
        <v>100.60938299999999</v>
      </c>
      <c r="H152" s="2">
        <v>28.6694748</v>
      </c>
      <c r="I152" s="2">
        <v>29.277519300000002</v>
      </c>
      <c r="J152" s="2">
        <v>29.3068566</v>
      </c>
      <c r="K152" s="2">
        <v>31.038904200000001</v>
      </c>
      <c r="L152" s="2">
        <v>31.038904200000001</v>
      </c>
      <c r="M152" s="2">
        <v>31.038904200000001</v>
      </c>
      <c r="N152" s="2">
        <v>31.038904200000001</v>
      </c>
      <c r="O152" s="2">
        <v>31.038904200000001</v>
      </c>
      <c r="P152" s="2">
        <v>31.038904200000001</v>
      </c>
      <c r="Q152" s="2">
        <v>17.9378289</v>
      </c>
      <c r="R152" s="2">
        <v>0</v>
      </c>
      <c r="S152" s="2">
        <f t="shared" si="28"/>
        <v>158.55637709999999</v>
      </c>
      <c r="T152" s="2">
        <f t="shared" si="29"/>
        <v>91.384664999999998</v>
      </c>
      <c r="U152" s="2">
        <f t="shared" si="30"/>
        <v>93.1167126</v>
      </c>
      <c r="V152" s="2">
        <f t="shared" si="31"/>
        <v>48.976733100000004</v>
      </c>
      <c r="W152" s="2">
        <f t="shared" si="32"/>
        <v>17.9378289</v>
      </c>
      <c r="X152" s="2">
        <f t="shared" si="33"/>
        <v>392.03448780000002</v>
      </c>
      <c r="Y152" s="2">
        <v>78.201921900000002</v>
      </c>
      <c r="Z152" s="2">
        <v>6.4628484000000004</v>
      </c>
      <c r="AA152" s="2">
        <v>5.6974992000000002</v>
      </c>
      <c r="AB152" s="2">
        <v>5.1344048999999998</v>
      </c>
      <c r="AC152" s="2">
        <v>18.308264699999999</v>
      </c>
      <c r="AD152" s="2">
        <v>16.0883781</v>
      </c>
      <c r="AE152" s="2">
        <v>15.507922799999999</v>
      </c>
      <c r="AF152" s="2">
        <v>15.2333388</v>
      </c>
      <c r="AG152" s="2">
        <v>18.637686299999999</v>
      </c>
      <c r="AH152" s="2">
        <v>19.8434928</v>
      </c>
      <c r="AI152" s="2">
        <v>11.6136009</v>
      </c>
      <c r="AJ152" s="2">
        <v>-0.67255350000000003</v>
      </c>
      <c r="AK152" s="2">
        <f t="shared" si="34"/>
        <v>90.362269499999996</v>
      </c>
      <c r="AL152" s="2">
        <f t="shared" si="35"/>
        <v>39.531047700000002</v>
      </c>
      <c r="AM152" s="2">
        <f t="shared" si="36"/>
        <v>49.3789479</v>
      </c>
      <c r="AN152" s="2">
        <f t="shared" si="37"/>
        <v>30.784540200000002</v>
      </c>
      <c r="AO152" s="2">
        <f t="shared" si="38"/>
        <v>10.9410474</v>
      </c>
      <c r="AP152" s="2">
        <f t="shared" si="39"/>
        <v>210.05680530000004</v>
      </c>
    </row>
    <row r="153" spans="1:42" hidden="1" x14ac:dyDescent="0.55000000000000004">
      <c r="A153" t="s">
        <v>92</v>
      </c>
      <c r="B153" s="4">
        <v>9940334193</v>
      </c>
      <c r="C153" t="s">
        <v>107</v>
      </c>
      <c r="D153" t="s">
        <v>85</v>
      </c>
      <c r="E153" t="s">
        <v>152</v>
      </c>
      <c r="F153" t="s">
        <v>133</v>
      </c>
      <c r="G153" s="2">
        <v>4.9605382000000002</v>
      </c>
      <c r="H153" s="2">
        <v>4.9698228999999996</v>
      </c>
      <c r="I153" s="2">
        <v>4.6611690000000001</v>
      </c>
      <c r="J153" s="2">
        <v>4.6673134000000003</v>
      </c>
      <c r="K153" s="2">
        <v>4.5353776000000003</v>
      </c>
      <c r="L153" s="2">
        <v>4.4435821999999998</v>
      </c>
      <c r="M153" s="2">
        <v>4.5181351000000003</v>
      </c>
      <c r="N153" s="2">
        <v>4.5289058000000004</v>
      </c>
      <c r="O153" s="2">
        <v>4.5060988999999996</v>
      </c>
      <c r="P153" s="2">
        <v>4.5788183</v>
      </c>
      <c r="Q153" s="2">
        <v>4.5870610000000003</v>
      </c>
      <c r="R153" s="2">
        <v>4.5590733999999999</v>
      </c>
      <c r="S153" s="2">
        <f t="shared" si="28"/>
        <v>14.5915301</v>
      </c>
      <c r="T153" s="2">
        <f t="shared" si="29"/>
        <v>13.646273200000001</v>
      </c>
      <c r="U153" s="2">
        <f t="shared" si="30"/>
        <v>13.5531398</v>
      </c>
      <c r="V153" s="2">
        <f t="shared" si="31"/>
        <v>13.724952699999999</v>
      </c>
      <c r="W153" s="2">
        <f t="shared" si="32"/>
        <v>9.1461344000000011</v>
      </c>
      <c r="X153" s="2">
        <f t="shared" si="33"/>
        <v>55.51589580000001</v>
      </c>
      <c r="Y153" s="2">
        <v>1.5296178</v>
      </c>
      <c r="Z153" s="2">
        <v>1.5555139</v>
      </c>
      <c r="AA153" s="2">
        <v>1.5821327999999999</v>
      </c>
      <c r="AB153" s="2">
        <v>1.5684174</v>
      </c>
      <c r="AC153" s="2">
        <v>1.5185103</v>
      </c>
      <c r="AD153" s="2">
        <v>1.4697271999999999</v>
      </c>
      <c r="AE153" s="2">
        <v>1.5262798</v>
      </c>
      <c r="AF153" s="2">
        <v>1.5221136</v>
      </c>
      <c r="AG153" s="2">
        <v>1.4876997999999999</v>
      </c>
      <c r="AH153" s="2">
        <v>1.5223779</v>
      </c>
      <c r="AI153" s="2">
        <v>1.5636117</v>
      </c>
      <c r="AJ153" s="2">
        <v>1.545866</v>
      </c>
      <c r="AK153" s="2">
        <f t="shared" si="34"/>
        <v>4.6672644999999999</v>
      </c>
      <c r="AL153" s="2">
        <f t="shared" si="35"/>
        <v>4.5566548999999998</v>
      </c>
      <c r="AM153" s="2">
        <f t="shared" si="36"/>
        <v>4.5360931999999998</v>
      </c>
      <c r="AN153" s="2">
        <f t="shared" si="37"/>
        <v>4.6318555999999997</v>
      </c>
      <c r="AO153" s="2">
        <f t="shared" si="38"/>
        <v>3.1094777000000002</v>
      </c>
      <c r="AP153" s="2">
        <f t="shared" si="39"/>
        <v>18.391868199999998</v>
      </c>
    </row>
    <row r="154" spans="1:42" hidden="1" x14ac:dyDescent="0.55000000000000004">
      <c r="A154" t="s">
        <v>92</v>
      </c>
      <c r="B154" s="4">
        <v>9940334193</v>
      </c>
      <c r="C154" t="s">
        <v>107</v>
      </c>
      <c r="D154" t="s">
        <v>85</v>
      </c>
      <c r="E154" t="s">
        <v>152</v>
      </c>
      <c r="F154" t="s">
        <v>134</v>
      </c>
      <c r="G154" s="2">
        <v>3.7562909000000002</v>
      </c>
      <c r="H154" s="2">
        <v>3.7604142</v>
      </c>
      <c r="I154" s="2">
        <v>3.5367142999999999</v>
      </c>
      <c r="J154" s="2">
        <v>3.886212</v>
      </c>
      <c r="K154" s="2">
        <v>3.7997662000000001</v>
      </c>
      <c r="L154" s="2">
        <v>3.5625863</v>
      </c>
      <c r="M154" s="2">
        <v>3.8004877000000001</v>
      </c>
      <c r="N154" s="2">
        <v>3.7775861000000002</v>
      </c>
      <c r="O154" s="2">
        <v>3.6084236999999999</v>
      </c>
      <c r="P154" s="2">
        <v>3.7803870000000002</v>
      </c>
      <c r="Q154" s="2">
        <v>3.9374996000000002</v>
      </c>
      <c r="R154" s="2">
        <v>3.6125869000000002</v>
      </c>
      <c r="S154" s="2">
        <f t="shared" si="28"/>
        <v>11.053419399999999</v>
      </c>
      <c r="T154" s="2">
        <f t="shared" si="29"/>
        <v>11.248564500000001</v>
      </c>
      <c r="U154" s="2">
        <f t="shared" si="30"/>
        <v>11.1864975</v>
      </c>
      <c r="V154" s="2">
        <f t="shared" si="31"/>
        <v>11.3304735</v>
      </c>
      <c r="W154" s="2">
        <f t="shared" si="32"/>
        <v>7.5500865000000008</v>
      </c>
      <c r="X154" s="2">
        <f t="shared" si="33"/>
        <v>44.818954899999994</v>
      </c>
      <c r="Y154" s="2">
        <v>0.94901599999999997</v>
      </c>
      <c r="Z154" s="2">
        <v>0.96715899999999999</v>
      </c>
      <c r="AA154" s="2">
        <v>0.97112039999999999</v>
      </c>
      <c r="AB154" s="2">
        <v>1.1031500999999999</v>
      </c>
      <c r="AC154" s="2">
        <v>1.0655577000000001</v>
      </c>
      <c r="AD154" s="2">
        <v>0.9728791</v>
      </c>
      <c r="AE154" s="2">
        <v>1.0450035</v>
      </c>
      <c r="AF154" s="2">
        <v>1.0362216</v>
      </c>
      <c r="AG154" s="2">
        <v>0.94944419999999996</v>
      </c>
      <c r="AH154" s="2">
        <v>0.9935621</v>
      </c>
      <c r="AI154" s="2">
        <v>1.0476202999999999</v>
      </c>
      <c r="AJ154" s="2">
        <v>0.88348660000000001</v>
      </c>
      <c r="AK154" s="2">
        <f t="shared" si="34"/>
        <v>2.8872954000000002</v>
      </c>
      <c r="AL154" s="2">
        <f t="shared" si="35"/>
        <v>3.1415869000000001</v>
      </c>
      <c r="AM154" s="2">
        <f t="shared" si="36"/>
        <v>3.0306693</v>
      </c>
      <c r="AN154" s="2">
        <f t="shared" si="37"/>
        <v>2.9246689999999997</v>
      </c>
      <c r="AO154" s="2">
        <f t="shared" si="38"/>
        <v>1.9311069000000001</v>
      </c>
      <c r="AP154" s="2">
        <f t="shared" si="39"/>
        <v>11.9842206</v>
      </c>
    </row>
    <row r="155" spans="1:42" x14ac:dyDescent="0.55000000000000004">
      <c r="A155" t="s">
        <v>92</v>
      </c>
      <c r="B155" s="4">
        <v>9940534372</v>
      </c>
      <c r="C155" t="s">
        <v>50</v>
      </c>
      <c r="D155" t="s">
        <v>82</v>
      </c>
      <c r="E155" t="s">
        <v>150</v>
      </c>
      <c r="F155" t="s">
        <v>26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f t="shared" si="28"/>
        <v>0</v>
      </c>
      <c r="T155" s="2">
        <f t="shared" si="29"/>
        <v>0</v>
      </c>
      <c r="U155" s="2">
        <f t="shared" si="30"/>
        <v>0</v>
      </c>
      <c r="V155" s="2">
        <f t="shared" si="31"/>
        <v>0</v>
      </c>
      <c r="W155" s="2">
        <f t="shared" si="32"/>
        <v>0</v>
      </c>
      <c r="X155" s="2">
        <f t="shared" si="33"/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f t="shared" si="34"/>
        <v>0</v>
      </c>
      <c r="AL155" s="2">
        <f t="shared" si="35"/>
        <v>0</v>
      </c>
      <c r="AM155" s="2">
        <f t="shared" si="36"/>
        <v>0</v>
      </c>
      <c r="AN155" s="2">
        <f t="shared" si="37"/>
        <v>0</v>
      </c>
      <c r="AO155" s="2">
        <f t="shared" si="38"/>
        <v>0</v>
      </c>
      <c r="AP155" s="2">
        <f t="shared" si="39"/>
        <v>0</v>
      </c>
    </row>
    <row r="156" spans="1:42" hidden="1" x14ac:dyDescent="0.55000000000000004">
      <c r="A156" t="s">
        <v>92</v>
      </c>
      <c r="B156" s="4">
        <v>9940250928</v>
      </c>
      <c r="C156" t="s">
        <v>51</v>
      </c>
      <c r="D156" t="s">
        <v>80</v>
      </c>
      <c r="E156" t="s">
        <v>151</v>
      </c>
      <c r="F156" t="s">
        <v>131</v>
      </c>
      <c r="G156" s="2">
        <v>6.9761199999999995E-2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f t="shared" si="28"/>
        <v>6.9761199999999995E-2</v>
      </c>
      <c r="T156" s="2">
        <f t="shared" si="29"/>
        <v>0</v>
      </c>
      <c r="U156" s="2">
        <f t="shared" si="30"/>
        <v>0</v>
      </c>
      <c r="V156" s="2">
        <f t="shared" si="31"/>
        <v>0</v>
      </c>
      <c r="W156" s="2">
        <f t="shared" si="32"/>
        <v>0</v>
      </c>
      <c r="X156" s="2">
        <f t="shared" si="33"/>
        <v>6.9761199999999995E-2</v>
      </c>
      <c r="Y156" s="2">
        <v>7.0339200000000004E-2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f t="shared" si="34"/>
        <v>7.0339200000000004E-2</v>
      </c>
      <c r="AL156" s="2">
        <f t="shared" si="35"/>
        <v>0</v>
      </c>
      <c r="AM156" s="2">
        <f t="shared" si="36"/>
        <v>0</v>
      </c>
      <c r="AN156" s="2">
        <f t="shared" si="37"/>
        <v>0</v>
      </c>
      <c r="AO156" s="2">
        <f t="shared" si="38"/>
        <v>0</v>
      </c>
      <c r="AP156" s="2">
        <f t="shared" si="39"/>
        <v>7.0339200000000004E-2</v>
      </c>
    </row>
    <row r="157" spans="1:42" hidden="1" x14ac:dyDescent="0.55000000000000004">
      <c r="A157" t="s">
        <v>92</v>
      </c>
      <c r="B157" s="4">
        <v>9940250928</v>
      </c>
      <c r="C157" t="s">
        <v>51</v>
      </c>
      <c r="D157" t="s">
        <v>80</v>
      </c>
      <c r="E157" t="s">
        <v>151</v>
      </c>
      <c r="F157" t="s">
        <v>26</v>
      </c>
      <c r="G157" s="2">
        <v>0.1208708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f t="shared" si="28"/>
        <v>0.1208708</v>
      </c>
      <c r="T157" s="2">
        <f t="shared" si="29"/>
        <v>0</v>
      </c>
      <c r="U157" s="2">
        <f t="shared" si="30"/>
        <v>0</v>
      </c>
      <c r="V157" s="2">
        <f t="shared" si="31"/>
        <v>0</v>
      </c>
      <c r="W157" s="2">
        <f t="shared" si="32"/>
        <v>0</v>
      </c>
      <c r="X157" s="2">
        <f t="shared" si="33"/>
        <v>0.1208708</v>
      </c>
      <c r="Y157" s="2">
        <v>0.1168468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f t="shared" si="34"/>
        <v>0.1168468</v>
      </c>
      <c r="AL157" s="2">
        <f t="shared" si="35"/>
        <v>0</v>
      </c>
      <c r="AM157" s="2">
        <f t="shared" si="36"/>
        <v>0</v>
      </c>
      <c r="AN157" s="2">
        <f t="shared" si="37"/>
        <v>0</v>
      </c>
      <c r="AO157" s="2">
        <f t="shared" si="38"/>
        <v>0</v>
      </c>
      <c r="AP157" s="2">
        <f t="shared" si="39"/>
        <v>0.1168468</v>
      </c>
    </row>
    <row r="158" spans="1:42" hidden="1" x14ac:dyDescent="0.55000000000000004">
      <c r="A158" t="s">
        <v>92</v>
      </c>
      <c r="B158" s="4">
        <v>9940250928</v>
      </c>
      <c r="C158" t="s">
        <v>51</v>
      </c>
      <c r="D158" t="s">
        <v>80</v>
      </c>
      <c r="E158" t="s">
        <v>151</v>
      </c>
      <c r="F158" t="s">
        <v>133</v>
      </c>
      <c r="G158" s="2">
        <v>0.13532640000000001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f t="shared" si="28"/>
        <v>0.13532640000000001</v>
      </c>
      <c r="T158" s="2">
        <f t="shared" si="29"/>
        <v>0</v>
      </c>
      <c r="U158" s="2">
        <f t="shared" si="30"/>
        <v>0</v>
      </c>
      <c r="V158" s="2">
        <f t="shared" si="31"/>
        <v>0</v>
      </c>
      <c r="W158" s="2">
        <f t="shared" si="32"/>
        <v>0</v>
      </c>
      <c r="X158" s="2">
        <f t="shared" si="33"/>
        <v>0.13532640000000001</v>
      </c>
      <c r="Y158" s="2">
        <v>0.1364852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f t="shared" si="34"/>
        <v>0.1364852</v>
      </c>
      <c r="AL158" s="2">
        <f t="shared" si="35"/>
        <v>0</v>
      </c>
      <c r="AM158" s="2">
        <f t="shared" si="36"/>
        <v>0</v>
      </c>
      <c r="AN158" s="2">
        <f t="shared" si="37"/>
        <v>0</v>
      </c>
      <c r="AO158" s="2">
        <f t="shared" si="38"/>
        <v>0</v>
      </c>
      <c r="AP158" s="2">
        <f t="shared" si="39"/>
        <v>0.1364852</v>
      </c>
    </row>
    <row r="159" spans="1:42" hidden="1" x14ac:dyDescent="0.55000000000000004">
      <c r="A159" t="s">
        <v>92</v>
      </c>
      <c r="B159" s="4">
        <v>9940537104</v>
      </c>
      <c r="C159" t="s">
        <v>52</v>
      </c>
      <c r="D159" t="s">
        <v>84</v>
      </c>
      <c r="E159" t="s">
        <v>150</v>
      </c>
      <c r="F159" t="s">
        <v>131</v>
      </c>
      <c r="G159" s="2">
        <v>63.72</v>
      </c>
      <c r="H159" s="2">
        <v>63.72</v>
      </c>
      <c r="I159" s="2">
        <v>63.228081600000003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f t="shared" si="28"/>
        <v>190.66808159999999</v>
      </c>
      <c r="T159" s="2">
        <f t="shared" si="29"/>
        <v>0</v>
      </c>
      <c r="U159" s="2">
        <f t="shared" si="30"/>
        <v>0</v>
      </c>
      <c r="V159" s="2">
        <f t="shared" si="31"/>
        <v>0</v>
      </c>
      <c r="W159" s="2">
        <f t="shared" si="32"/>
        <v>0</v>
      </c>
      <c r="X159" s="2">
        <f t="shared" si="33"/>
        <v>190.66808159999999</v>
      </c>
      <c r="Y159" s="2">
        <v>13.1442265</v>
      </c>
      <c r="Z159" s="2">
        <v>12.7360527</v>
      </c>
      <c r="AA159" s="2">
        <v>11.756062699999999</v>
      </c>
      <c r="AB159" s="2">
        <v>-48.018855100000003</v>
      </c>
      <c r="AC159" s="2">
        <v>-0.92406390000000005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f t="shared" si="34"/>
        <v>37.636341899999998</v>
      </c>
      <c r="AL159" s="2">
        <f t="shared" si="35"/>
        <v>-48.942919000000003</v>
      </c>
      <c r="AM159" s="2">
        <f t="shared" si="36"/>
        <v>0</v>
      </c>
      <c r="AN159" s="2">
        <f t="shared" si="37"/>
        <v>0</v>
      </c>
      <c r="AO159" s="2">
        <f t="shared" si="38"/>
        <v>0</v>
      </c>
      <c r="AP159" s="2">
        <f t="shared" si="39"/>
        <v>-11.306577100000005</v>
      </c>
    </row>
    <row r="160" spans="1:42" x14ac:dyDescent="0.55000000000000004">
      <c r="A160" t="s">
        <v>92</v>
      </c>
      <c r="B160" s="4">
        <v>9940537104</v>
      </c>
      <c r="C160" t="s">
        <v>52</v>
      </c>
      <c r="D160" t="s">
        <v>84</v>
      </c>
      <c r="E160" t="s">
        <v>150</v>
      </c>
      <c r="F160" t="s">
        <v>26</v>
      </c>
      <c r="G160" s="2">
        <v>44.28</v>
      </c>
      <c r="H160" s="2">
        <v>44.28</v>
      </c>
      <c r="I160" s="2">
        <v>43.938158399999999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f t="shared" si="28"/>
        <v>132.49815839999999</v>
      </c>
      <c r="T160" s="2">
        <f t="shared" si="29"/>
        <v>0</v>
      </c>
      <c r="U160" s="2">
        <f t="shared" si="30"/>
        <v>0</v>
      </c>
      <c r="V160" s="2">
        <f t="shared" si="31"/>
        <v>0</v>
      </c>
      <c r="W160" s="2">
        <f t="shared" si="32"/>
        <v>0</v>
      </c>
      <c r="X160" s="2">
        <f t="shared" si="33"/>
        <v>132.49815839999999</v>
      </c>
      <c r="Y160" s="2">
        <v>9.1341234999999994</v>
      </c>
      <c r="Z160" s="2">
        <v>8.8504772999999997</v>
      </c>
      <c r="AA160" s="2">
        <v>8.1694673000000009</v>
      </c>
      <c r="AB160" s="2">
        <v>-33.369034900000003</v>
      </c>
      <c r="AC160" s="2">
        <v>-0.64214610000000005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f t="shared" si="34"/>
        <v>26.1540681</v>
      </c>
      <c r="AL160" s="2">
        <f t="shared" si="35"/>
        <v>-34.011181000000001</v>
      </c>
      <c r="AM160" s="2">
        <f t="shared" si="36"/>
        <v>0</v>
      </c>
      <c r="AN160" s="2">
        <f t="shared" si="37"/>
        <v>0</v>
      </c>
      <c r="AO160" s="2">
        <f t="shared" si="38"/>
        <v>0</v>
      </c>
      <c r="AP160" s="2">
        <f t="shared" si="39"/>
        <v>-7.8571129000000006</v>
      </c>
    </row>
    <row r="161" spans="1:42" hidden="1" x14ac:dyDescent="0.55000000000000004">
      <c r="A161" t="s">
        <v>92</v>
      </c>
      <c r="B161" s="4">
        <v>9940277877</v>
      </c>
      <c r="C161" t="s">
        <v>113</v>
      </c>
      <c r="D161" t="s">
        <v>76</v>
      </c>
      <c r="E161" t="s">
        <v>150</v>
      </c>
      <c r="F161" t="s">
        <v>133</v>
      </c>
      <c r="G161" s="2">
        <v>30.583982500000001</v>
      </c>
      <c r="H161" s="2">
        <v>29.886107500000001</v>
      </c>
      <c r="I161" s="2">
        <v>29.836365000000001</v>
      </c>
      <c r="J161" s="2">
        <v>29.425135000000001</v>
      </c>
      <c r="K161" s="2">
        <v>27.389119999999998</v>
      </c>
      <c r="L161" s="2">
        <v>23.7456</v>
      </c>
      <c r="M161" s="2">
        <v>27.08325</v>
      </c>
      <c r="N161" s="2">
        <v>27.08325</v>
      </c>
      <c r="O161" s="2">
        <v>27.08325</v>
      </c>
      <c r="P161" s="2">
        <v>27.08325</v>
      </c>
      <c r="Q161" s="2">
        <v>27.08325</v>
      </c>
      <c r="R161" s="2">
        <v>27.08325</v>
      </c>
      <c r="S161" s="2">
        <f t="shared" si="28"/>
        <v>90.306455</v>
      </c>
      <c r="T161" s="2">
        <f t="shared" si="29"/>
        <v>80.559854999999999</v>
      </c>
      <c r="U161" s="2">
        <f t="shared" si="30"/>
        <v>81.249750000000006</v>
      </c>
      <c r="V161" s="2">
        <f t="shared" si="31"/>
        <v>81.249750000000006</v>
      </c>
      <c r="W161" s="2">
        <f t="shared" si="32"/>
        <v>54.166499999999999</v>
      </c>
      <c r="X161" s="2">
        <f t="shared" si="33"/>
        <v>333.36581000000001</v>
      </c>
      <c r="Y161" s="2">
        <v>8.3179625000000001</v>
      </c>
      <c r="Z161" s="2">
        <v>9.3797774999999994</v>
      </c>
      <c r="AA161" s="2">
        <v>9.3708749999999998</v>
      </c>
      <c r="AB161" s="2">
        <v>8.7738525000000003</v>
      </c>
      <c r="AC161" s="2">
        <v>7.0763775000000004</v>
      </c>
      <c r="AD161" s="2">
        <v>4.4445724999999996</v>
      </c>
      <c r="AE161" s="2">
        <v>7.5012024999999998</v>
      </c>
      <c r="AF161" s="2">
        <v>7.5541824999999996</v>
      </c>
      <c r="AG161" s="2">
        <v>7.5950775000000004</v>
      </c>
      <c r="AH161" s="2">
        <v>7.5981750000000003</v>
      </c>
      <c r="AI161" s="2">
        <v>7.5832499999999996</v>
      </c>
      <c r="AJ161" s="2">
        <v>7.5832499999999996</v>
      </c>
      <c r="AK161" s="2">
        <f t="shared" si="34"/>
        <v>27.068615000000001</v>
      </c>
      <c r="AL161" s="2">
        <f t="shared" si="35"/>
        <v>20.294802499999999</v>
      </c>
      <c r="AM161" s="2">
        <f t="shared" si="36"/>
        <v>22.6504625</v>
      </c>
      <c r="AN161" s="2">
        <f t="shared" si="37"/>
        <v>22.764675</v>
      </c>
      <c r="AO161" s="2">
        <f t="shared" si="38"/>
        <v>15.166499999999999</v>
      </c>
      <c r="AP161" s="2">
        <f t="shared" si="39"/>
        <v>92.778554999999997</v>
      </c>
    </row>
    <row r="162" spans="1:42" hidden="1" x14ac:dyDescent="0.55000000000000004">
      <c r="A162" t="s">
        <v>92</v>
      </c>
      <c r="B162" s="4">
        <v>9940519950</v>
      </c>
      <c r="C162" t="s">
        <v>115</v>
      </c>
      <c r="D162" t="s">
        <v>141</v>
      </c>
      <c r="E162" t="s">
        <v>152</v>
      </c>
      <c r="F162" t="s">
        <v>134</v>
      </c>
      <c r="G162" s="2">
        <v>98.479600000000005</v>
      </c>
      <c r="H162" s="2">
        <v>98.479600000000005</v>
      </c>
      <c r="I162" s="2">
        <v>98.479600000000005</v>
      </c>
      <c r="J162" s="2">
        <v>98.479600000000005</v>
      </c>
      <c r="K162" s="2">
        <v>98.479600000000005</v>
      </c>
      <c r="L162" s="2">
        <v>98.479600000000005</v>
      </c>
      <c r="M162" s="2">
        <v>98.479600000000005</v>
      </c>
      <c r="N162" s="2">
        <v>93.931120000000007</v>
      </c>
      <c r="O162" s="2">
        <v>93.931120000000007</v>
      </c>
      <c r="P162" s="2">
        <v>93.931120000000007</v>
      </c>
      <c r="Q162" s="2">
        <v>93.931120000000007</v>
      </c>
      <c r="R162" s="2">
        <v>93.931120000000007</v>
      </c>
      <c r="S162" s="2">
        <f t="shared" si="28"/>
        <v>295.43880000000001</v>
      </c>
      <c r="T162" s="2">
        <f t="shared" si="29"/>
        <v>295.43880000000001</v>
      </c>
      <c r="U162" s="2">
        <f t="shared" si="30"/>
        <v>286.34184000000005</v>
      </c>
      <c r="V162" s="2">
        <f t="shared" si="31"/>
        <v>281.79336000000001</v>
      </c>
      <c r="W162" s="2">
        <f t="shared" si="32"/>
        <v>187.86224000000001</v>
      </c>
      <c r="X162" s="2">
        <f t="shared" si="33"/>
        <v>1159.0128</v>
      </c>
      <c r="Y162" s="2">
        <v>25.05218</v>
      </c>
      <c r="Z162" s="2">
        <v>19.545190000000002</v>
      </c>
      <c r="AA162" s="2">
        <v>20.168800000000001</v>
      </c>
      <c r="AB162" s="2">
        <v>31.582840000000001</v>
      </c>
      <c r="AC162" s="2">
        <v>22.755590000000002</v>
      </c>
      <c r="AD162" s="2">
        <v>29.356300000000001</v>
      </c>
      <c r="AE162" s="2">
        <v>26.369610000000002</v>
      </c>
      <c r="AF162" s="2">
        <v>25.54823</v>
      </c>
      <c r="AG162" s="2">
        <v>19.859570000000001</v>
      </c>
      <c r="AH162" s="2">
        <v>19.042010000000001</v>
      </c>
      <c r="AI162" s="2">
        <v>18.94069</v>
      </c>
      <c r="AJ162" s="2">
        <v>19.712319999999998</v>
      </c>
      <c r="AK162" s="2">
        <f t="shared" si="34"/>
        <v>64.766170000000002</v>
      </c>
      <c r="AL162" s="2">
        <f t="shared" si="35"/>
        <v>83.694730000000007</v>
      </c>
      <c r="AM162" s="2">
        <f t="shared" si="36"/>
        <v>71.777410000000003</v>
      </c>
      <c r="AN162" s="2">
        <f t="shared" si="37"/>
        <v>57.69502</v>
      </c>
      <c r="AO162" s="2">
        <f t="shared" si="38"/>
        <v>38.653009999999995</v>
      </c>
      <c r="AP162" s="2">
        <f t="shared" si="39"/>
        <v>277.93333000000001</v>
      </c>
    </row>
    <row r="163" spans="1:42" hidden="1" x14ac:dyDescent="0.55000000000000004">
      <c r="A163" t="s">
        <v>92</v>
      </c>
      <c r="B163" s="4">
        <v>9940564448</v>
      </c>
      <c r="C163" t="s">
        <v>116</v>
      </c>
      <c r="D163" t="s">
        <v>79</v>
      </c>
      <c r="E163" t="s">
        <v>153</v>
      </c>
      <c r="F163" t="s">
        <v>131</v>
      </c>
      <c r="G163" s="2">
        <v>6.3467700000000002</v>
      </c>
      <c r="H163" s="2">
        <v>6.3467700000000002</v>
      </c>
      <c r="I163" s="2">
        <v>6.1388800000000003</v>
      </c>
      <c r="J163" s="2">
        <v>6.1388800000000003</v>
      </c>
      <c r="K163" s="2">
        <v>6.1388800000000003</v>
      </c>
      <c r="L163" s="2">
        <v>6.1388800000000003</v>
      </c>
      <c r="M163" s="2">
        <v>6.1388800000000003</v>
      </c>
      <c r="N163" s="2">
        <v>7.3092100000000002</v>
      </c>
      <c r="O163" s="2">
        <v>6.1388800000000003</v>
      </c>
      <c r="P163" s="2">
        <v>6.1388800000000003</v>
      </c>
      <c r="Q163" s="2">
        <v>6.1388800000000003</v>
      </c>
      <c r="R163" s="2">
        <v>6.1388800000000003</v>
      </c>
      <c r="S163" s="2">
        <f t="shared" si="28"/>
        <v>18.832419999999999</v>
      </c>
      <c r="T163" s="2">
        <f t="shared" si="29"/>
        <v>18.416640000000001</v>
      </c>
      <c r="U163" s="2">
        <f t="shared" si="30"/>
        <v>19.586970000000001</v>
      </c>
      <c r="V163" s="2">
        <f t="shared" si="31"/>
        <v>18.416640000000001</v>
      </c>
      <c r="W163" s="2">
        <f t="shared" si="32"/>
        <v>12.277760000000001</v>
      </c>
      <c r="X163" s="2">
        <f t="shared" si="33"/>
        <v>75.252669999999995</v>
      </c>
      <c r="Y163" s="2">
        <v>2.9428700000000001</v>
      </c>
      <c r="Z163" s="2">
        <v>4.18926</v>
      </c>
      <c r="AA163" s="2">
        <v>3.9813700000000001</v>
      </c>
      <c r="AB163" s="2">
        <v>3.9828100000000002</v>
      </c>
      <c r="AC163" s="2">
        <v>3.9530400000000001</v>
      </c>
      <c r="AD163" s="2">
        <v>3.9530400000000001</v>
      </c>
      <c r="AE163" s="2">
        <v>3.9530400000000001</v>
      </c>
      <c r="AF163" s="2">
        <v>5.1240600000000001</v>
      </c>
      <c r="AG163" s="2">
        <v>3.9769299999999999</v>
      </c>
      <c r="AH163" s="2">
        <v>3.97628</v>
      </c>
      <c r="AI163" s="2">
        <v>3.9556200000000001</v>
      </c>
      <c r="AJ163" s="2">
        <v>3.9556200000000001</v>
      </c>
      <c r="AK163" s="2">
        <f t="shared" si="34"/>
        <v>11.1135</v>
      </c>
      <c r="AL163" s="2">
        <f t="shared" si="35"/>
        <v>11.88889</v>
      </c>
      <c r="AM163" s="2">
        <f t="shared" si="36"/>
        <v>13.054029999999999</v>
      </c>
      <c r="AN163" s="2">
        <f t="shared" si="37"/>
        <v>11.88752</v>
      </c>
      <c r="AO163" s="2">
        <f t="shared" si="38"/>
        <v>7.9112400000000003</v>
      </c>
      <c r="AP163" s="2">
        <f t="shared" si="39"/>
        <v>47.943939999999998</v>
      </c>
    </row>
    <row r="164" spans="1:42" hidden="1" x14ac:dyDescent="0.55000000000000004">
      <c r="A164" t="s">
        <v>92</v>
      </c>
      <c r="B164" s="4">
        <v>9940564448</v>
      </c>
      <c r="C164" t="s">
        <v>116</v>
      </c>
      <c r="D164" t="s">
        <v>79</v>
      </c>
      <c r="E164" t="s">
        <v>153</v>
      </c>
      <c r="F164" t="s">
        <v>135</v>
      </c>
      <c r="G164" s="2">
        <v>83.324449999999999</v>
      </c>
      <c r="H164" s="2">
        <v>83.324449999999999</v>
      </c>
      <c r="I164" s="2">
        <v>77.187809999999999</v>
      </c>
      <c r="J164" s="2">
        <v>72.637280000000004</v>
      </c>
      <c r="K164" s="2">
        <v>72.637280000000004</v>
      </c>
      <c r="L164" s="2">
        <v>72.637280000000004</v>
      </c>
      <c r="M164" s="2">
        <v>72.637280000000004</v>
      </c>
      <c r="N164" s="2">
        <v>107.18429</v>
      </c>
      <c r="O164" s="2">
        <v>98.255049999999997</v>
      </c>
      <c r="P164" s="2">
        <v>72.637280000000004</v>
      </c>
      <c r="Q164" s="2">
        <v>72.637280000000004</v>
      </c>
      <c r="R164" s="2">
        <v>72.637280000000004</v>
      </c>
      <c r="S164" s="2">
        <f t="shared" si="28"/>
        <v>243.83670999999998</v>
      </c>
      <c r="T164" s="2">
        <f t="shared" si="29"/>
        <v>217.91184000000001</v>
      </c>
      <c r="U164" s="2">
        <f t="shared" si="30"/>
        <v>278.07661999999999</v>
      </c>
      <c r="V164" s="2">
        <f t="shared" si="31"/>
        <v>217.91184000000001</v>
      </c>
      <c r="W164" s="2">
        <f t="shared" si="32"/>
        <v>145.27456000000001</v>
      </c>
      <c r="X164" s="2">
        <f t="shared" si="33"/>
        <v>957.73701000000005</v>
      </c>
      <c r="Y164" s="2">
        <v>21.225460000000002</v>
      </c>
      <c r="Z164" s="2">
        <v>24.922280000000001</v>
      </c>
      <c r="AA164" s="2">
        <v>18.938040000000001</v>
      </c>
      <c r="AB164" s="2">
        <v>14.058120000000001</v>
      </c>
      <c r="AC164" s="2">
        <v>13.87975</v>
      </c>
      <c r="AD164" s="2">
        <v>13.986079999999999</v>
      </c>
      <c r="AE164" s="2">
        <v>13.590310000000001</v>
      </c>
      <c r="AF164" s="2">
        <v>49.160159999999998</v>
      </c>
      <c r="AG164" s="2">
        <v>43.149619999999999</v>
      </c>
      <c r="AH164" s="2">
        <v>18.122</v>
      </c>
      <c r="AI164" s="2">
        <v>18.049040000000002</v>
      </c>
      <c r="AJ164" s="2">
        <v>18.387350000000001</v>
      </c>
      <c r="AK164" s="2">
        <f t="shared" si="34"/>
        <v>65.08578</v>
      </c>
      <c r="AL164" s="2">
        <f t="shared" si="35"/>
        <v>41.923949999999998</v>
      </c>
      <c r="AM164" s="2">
        <f t="shared" si="36"/>
        <v>105.90009000000001</v>
      </c>
      <c r="AN164" s="2">
        <f t="shared" si="37"/>
        <v>54.558390000000003</v>
      </c>
      <c r="AO164" s="2">
        <f t="shared" si="38"/>
        <v>36.436390000000003</v>
      </c>
      <c r="AP164" s="2">
        <f t="shared" si="39"/>
        <v>267.46821</v>
      </c>
    </row>
    <row r="165" spans="1:42" hidden="1" x14ac:dyDescent="0.55000000000000004">
      <c r="A165" t="s">
        <v>92</v>
      </c>
      <c r="B165" s="4">
        <v>9940565303</v>
      </c>
      <c r="C165" t="s">
        <v>117</v>
      </c>
      <c r="D165" t="s">
        <v>142</v>
      </c>
      <c r="E165" t="s">
        <v>154</v>
      </c>
      <c r="F165" t="s">
        <v>131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f t="shared" si="28"/>
        <v>0</v>
      </c>
      <c r="T165" s="2">
        <f t="shared" si="29"/>
        <v>0</v>
      </c>
      <c r="U165" s="2">
        <f t="shared" si="30"/>
        <v>0</v>
      </c>
      <c r="V165" s="2">
        <f t="shared" si="31"/>
        <v>0</v>
      </c>
      <c r="W165" s="2">
        <f t="shared" si="32"/>
        <v>0</v>
      </c>
      <c r="X165" s="2">
        <f t="shared" si="33"/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f t="shared" si="34"/>
        <v>0</v>
      </c>
      <c r="AL165" s="2">
        <f t="shared" si="35"/>
        <v>0</v>
      </c>
      <c r="AM165" s="2">
        <f t="shared" si="36"/>
        <v>0</v>
      </c>
      <c r="AN165" s="2">
        <f t="shared" si="37"/>
        <v>0</v>
      </c>
      <c r="AO165" s="2">
        <f t="shared" si="38"/>
        <v>0</v>
      </c>
      <c r="AP165" s="2">
        <f t="shared" si="39"/>
        <v>0</v>
      </c>
    </row>
    <row r="166" spans="1:42" hidden="1" x14ac:dyDescent="0.55000000000000004">
      <c r="A166" t="s">
        <v>92</v>
      </c>
      <c r="B166" s="4">
        <v>9940447844</v>
      </c>
      <c r="C166" t="s">
        <v>119</v>
      </c>
      <c r="D166" t="s">
        <v>144</v>
      </c>
      <c r="E166" t="s">
        <v>153</v>
      </c>
      <c r="F166" t="s">
        <v>131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f t="shared" si="28"/>
        <v>0</v>
      </c>
      <c r="T166" s="2">
        <f t="shared" si="29"/>
        <v>0</v>
      </c>
      <c r="U166" s="2">
        <f t="shared" si="30"/>
        <v>0</v>
      </c>
      <c r="V166" s="2">
        <f t="shared" si="31"/>
        <v>0</v>
      </c>
      <c r="W166" s="2">
        <f t="shared" si="32"/>
        <v>0</v>
      </c>
      <c r="X166" s="2">
        <f t="shared" si="33"/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f t="shared" si="34"/>
        <v>0</v>
      </c>
      <c r="AL166" s="2">
        <f t="shared" si="35"/>
        <v>0</v>
      </c>
      <c r="AM166" s="2">
        <f t="shared" si="36"/>
        <v>0</v>
      </c>
      <c r="AN166" s="2">
        <f t="shared" si="37"/>
        <v>0</v>
      </c>
      <c r="AO166" s="2">
        <f t="shared" si="38"/>
        <v>0</v>
      </c>
      <c r="AP166" s="2">
        <f t="shared" si="39"/>
        <v>0</v>
      </c>
    </row>
    <row r="167" spans="1:42" hidden="1" x14ac:dyDescent="0.55000000000000004">
      <c r="A167" t="s">
        <v>92</v>
      </c>
      <c r="B167" s="4">
        <v>9940530688</v>
      </c>
      <c r="C167" t="s">
        <v>120</v>
      </c>
      <c r="D167" t="s">
        <v>89</v>
      </c>
      <c r="E167" t="s">
        <v>151</v>
      </c>
      <c r="F167" t="s">
        <v>131</v>
      </c>
      <c r="G167" s="2">
        <v>14.4901</v>
      </c>
      <c r="H167" s="2">
        <v>14.4901</v>
      </c>
      <c r="I167" s="2">
        <v>14.4901</v>
      </c>
      <c r="J167" s="2">
        <v>14.4901</v>
      </c>
      <c r="K167" s="2">
        <v>14.4901</v>
      </c>
      <c r="L167" s="2">
        <v>14.4901</v>
      </c>
      <c r="M167" s="2">
        <v>14.489940000000001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f t="shared" si="28"/>
        <v>43.470300000000002</v>
      </c>
      <c r="T167" s="2">
        <f t="shared" si="29"/>
        <v>43.470300000000002</v>
      </c>
      <c r="U167" s="2">
        <f t="shared" si="30"/>
        <v>14.489940000000001</v>
      </c>
      <c r="V167" s="2">
        <f t="shared" si="31"/>
        <v>0</v>
      </c>
      <c r="W167" s="2">
        <f t="shared" si="32"/>
        <v>0</v>
      </c>
      <c r="X167" s="2">
        <f t="shared" si="33"/>
        <v>101.43054000000001</v>
      </c>
      <c r="Y167" s="2">
        <v>6.1210000000000004</v>
      </c>
      <c r="Z167" s="2">
        <v>5.9760900000000001</v>
      </c>
      <c r="AA167" s="2">
        <v>5.8311900000000003</v>
      </c>
      <c r="AB167" s="2">
        <v>5.6862899999999996</v>
      </c>
      <c r="AC167" s="2">
        <v>5.5413899999999998</v>
      </c>
      <c r="AD167" s="2">
        <v>5.39649</v>
      </c>
      <c r="AE167" s="2">
        <v>5.25143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f t="shared" si="34"/>
        <v>17.928280000000001</v>
      </c>
      <c r="AL167" s="2">
        <f t="shared" si="35"/>
        <v>16.624169999999999</v>
      </c>
      <c r="AM167" s="2">
        <f t="shared" si="36"/>
        <v>5.25143</v>
      </c>
      <c r="AN167" s="2">
        <f t="shared" si="37"/>
        <v>0</v>
      </c>
      <c r="AO167" s="2">
        <f t="shared" si="38"/>
        <v>0</v>
      </c>
      <c r="AP167" s="2">
        <f t="shared" si="39"/>
        <v>39.803879999999999</v>
      </c>
    </row>
    <row r="168" spans="1:42" hidden="1" x14ac:dyDescent="0.55000000000000004">
      <c r="A168" t="s">
        <v>92</v>
      </c>
      <c r="B168" s="4">
        <v>9940532944</v>
      </c>
      <c r="C168" t="s">
        <v>121</v>
      </c>
      <c r="D168" t="s">
        <v>145</v>
      </c>
      <c r="E168" t="s">
        <v>153</v>
      </c>
      <c r="F168" t="s">
        <v>131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f t="shared" ref="S168:S197" si="40">G168+H168+I168</f>
        <v>0</v>
      </c>
      <c r="T168" s="2">
        <f t="shared" ref="T168:T197" si="41">J168+K168+L168</f>
        <v>0</v>
      </c>
      <c r="U168" s="2">
        <f t="shared" si="30"/>
        <v>0</v>
      </c>
      <c r="V168" s="2">
        <f t="shared" si="31"/>
        <v>0</v>
      </c>
      <c r="W168" s="2">
        <f t="shared" si="32"/>
        <v>0</v>
      </c>
      <c r="X168" s="2">
        <f t="shared" si="33"/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f t="shared" si="34"/>
        <v>0</v>
      </c>
      <c r="AL168" s="2">
        <f t="shared" si="35"/>
        <v>0</v>
      </c>
      <c r="AM168" s="2">
        <f t="shared" si="36"/>
        <v>0</v>
      </c>
      <c r="AN168" s="2">
        <f t="shared" si="37"/>
        <v>0</v>
      </c>
      <c r="AO168" s="2">
        <f t="shared" si="38"/>
        <v>0</v>
      </c>
      <c r="AP168" s="2">
        <f t="shared" si="39"/>
        <v>0</v>
      </c>
    </row>
    <row r="169" spans="1:42" hidden="1" x14ac:dyDescent="0.55000000000000004">
      <c r="A169" t="s">
        <v>92</v>
      </c>
      <c r="B169" s="4">
        <v>9940532944</v>
      </c>
      <c r="C169" t="s">
        <v>121</v>
      </c>
      <c r="D169" t="s">
        <v>145</v>
      </c>
      <c r="E169" t="s">
        <v>153</v>
      </c>
      <c r="F169" t="s">
        <v>132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f t="shared" si="40"/>
        <v>0</v>
      </c>
      <c r="T169" s="2">
        <f t="shared" si="41"/>
        <v>0</v>
      </c>
      <c r="U169" s="2">
        <f t="shared" si="30"/>
        <v>0</v>
      </c>
      <c r="V169" s="2">
        <f t="shared" si="31"/>
        <v>0</v>
      </c>
      <c r="W169" s="2">
        <f t="shared" si="32"/>
        <v>0</v>
      </c>
      <c r="X169" s="2">
        <f t="shared" si="33"/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f t="shared" si="34"/>
        <v>0</v>
      </c>
      <c r="AL169" s="2">
        <f t="shared" si="35"/>
        <v>0</v>
      </c>
      <c r="AM169" s="2">
        <f t="shared" si="36"/>
        <v>0</v>
      </c>
      <c r="AN169" s="2">
        <f t="shared" si="37"/>
        <v>0</v>
      </c>
      <c r="AO169" s="2">
        <f t="shared" si="38"/>
        <v>0</v>
      </c>
      <c r="AP169" s="2">
        <f t="shared" si="39"/>
        <v>0</v>
      </c>
    </row>
    <row r="170" spans="1:42" hidden="1" x14ac:dyDescent="0.55000000000000004">
      <c r="A170" t="s">
        <v>92</v>
      </c>
      <c r="B170" s="4">
        <v>9940547078</v>
      </c>
      <c r="C170" t="s">
        <v>53</v>
      </c>
      <c r="D170" t="s">
        <v>80</v>
      </c>
      <c r="E170" t="s">
        <v>150</v>
      </c>
      <c r="F170" t="s">
        <v>131</v>
      </c>
      <c r="G170" s="2">
        <v>28.883835000000001</v>
      </c>
      <c r="H170" s="2">
        <v>28.883835000000001</v>
      </c>
      <c r="I170" s="2">
        <v>28.883835000000001</v>
      </c>
      <c r="J170" s="2">
        <v>28.883835000000001</v>
      </c>
      <c r="K170" s="2">
        <v>28.883835000000001</v>
      </c>
      <c r="L170" s="2">
        <v>28.883835000000001</v>
      </c>
      <c r="M170" s="2">
        <v>28.883835000000001</v>
      </c>
      <c r="N170" s="2">
        <v>28.883835000000001</v>
      </c>
      <c r="O170" s="2">
        <v>28.883835000000001</v>
      </c>
      <c r="P170" s="2">
        <v>28.883835000000001</v>
      </c>
      <c r="Q170" s="2">
        <v>28.883835000000001</v>
      </c>
      <c r="R170" s="2">
        <v>28.883835000000001</v>
      </c>
      <c r="S170" s="2">
        <f t="shared" si="40"/>
        <v>86.651505</v>
      </c>
      <c r="T170" s="2">
        <f t="shared" si="41"/>
        <v>86.651505</v>
      </c>
      <c r="U170" s="2">
        <f t="shared" si="30"/>
        <v>86.651505</v>
      </c>
      <c r="V170" s="2">
        <f t="shared" si="31"/>
        <v>86.651505</v>
      </c>
      <c r="W170" s="2">
        <f t="shared" si="32"/>
        <v>57.767670000000003</v>
      </c>
      <c r="X170" s="2">
        <f t="shared" si="33"/>
        <v>346.60602</v>
      </c>
      <c r="Y170" s="2">
        <v>11.81349</v>
      </c>
      <c r="Z170" s="2">
        <v>11.81349</v>
      </c>
      <c r="AA170" s="2">
        <v>11.81349</v>
      </c>
      <c r="AB170" s="2">
        <v>11.81349</v>
      </c>
      <c r="AC170" s="2">
        <v>11.81349</v>
      </c>
      <c r="AD170" s="2">
        <v>11.81349</v>
      </c>
      <c r="AE170" s="2">
        <v>11.81349</v>
      </c>
      <c r="AF170" s="2">
        <v>11.81349</v>
      </c>
      <c r="AG170" s="2">
        <v>11.81349</v>
      </c>
      <c r="AH170" s="2">
        <v>11.81349</v>
      </c>
      <c r="AI170" s="2">
        <v>11.81349</v>
      </c>
      <c r="AJ170" s="2">
        <v>11.81349</v>
      </c>
      <c r="AK170" s="2">
        <f t="shared" si="34"/>
        <v>35.440469999999998</v>
      </c>
      <c r="AL170" s="2">
        <f t="shared" si="35"/>
        <v>35.440469999999998</v>
      </c>
      <c r="AM170" s="2">
        <f t="shared" si="36"/>
        <v>35.440469999999998</v>
      </c>
      <c r="AN170" s="2">
        <f t="shared" si="37"/>
        <v>35.440469999999998</v>
      </c>
      <c r="AO170" s="2">
        <f t="shared" si="38"/>
        <v>23.62698</v>
      </c>
      <c r="AP170" s="2">
        <f t="shared" si="39"/>
        <v>141.76187999999999</v>
      </c>
    </row>
    <row r="171" spans="1:42" hidden="1" x14ac:dyDescent="0.55000000000000004">
      <c r="A171" t="s">
        <v>92</v>
      </c>
      <c r="B171" s="4">
        <v>9940547078</v>
      </c>
      <c r="C171" t="s">
        <v>53</v>
      </c>
      <c r="D171" t="s">
        <v>80</v>
      </c>
      <c r="E171" t="s">
        <v>150</v>
      </c>
      <c r="F171" t="s">
        <v>132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f t="shared" si="40"/>
        <v>0</v>
      </c>
      <c r="T171" s="2">
        <f t="shared" si="41"/>
        <v>0</v>
      </c>
      <c r="U171" s="2">
        <f t="shared" si="30"/>
        <v>0</v>
      </c>
      <c r="V171" s="2">
        <f t="shared" si="31"/>
        <v>0</v>
      </c>
      <c r="W171" s="2">
        <f t="shared" si="32"/>
        <v>0</v>
      </c>
      <c r="X171" s="2">
        <f t="shared" si="33"/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f t="shared" si="34"/>
        <v>0</v>
      </c>
      <c r="AL171" s="2">
        <f t="shared" si="35"/>
        <v>0</v>
      </c>
      <c r="AM171" s="2">
        <f t="shared" si="36"/>
        <v>0</v>
      </c>
      <c r="AN171" s="2">
        <f t="shared" si="37"/>
        <v>0</v>
      </c>
      <c r="AO171" s="2">
        <f t="shared" si="38"/>
        <v>0</v>
      </c>
      <c r="AP171" s="2">
        <f t="shared" si="39"/>
        <v>0</v>
      </c>
    </row>
    <row r="172" spans="1:42" x14ac:dyDescent="0.55000000000000004">
      <c r="A172" t="s">
        <v>92</v>
      </c>
      <c r="B172" s="4">
        <v>9940547078</v>
      </c>
      <c r="C172" t="s">
        <v>53</v>
      </c>
      <c r="D172" t="s">
        <v>80</v>
      </c>
      <c r="E172" t="s">
        <v>150</v>
      </c>
      <c r="F172" t="s">
        <v>26</v>
      </c>
      <c r="G172" s="2">
        <v>170.32416499999999</v>
      </c>
      <c r="H172" s="2">
        <v>170.32416499999999</v>
      </c>
      <c r="I172" s="2">
        <v>170.32416499999999</v>
      </c>
      <c r="J172" s="2">
        <v>170.32416499999999</v>
      </c>
      <c r="K172" s="2">
        <v>170.32416499999999</v>
      </c>
      <c r="L172" s="2">
        <v>170.32416499999999</v>
      </c>
      <c r="M172" s="2">
        <v>170.32416499999999</v>
      </c>
      <c r="N172" s="2">
        <v>170.32416499999999</v>
      </c>
      <c r="O172" s="2">
        <v>170.32416499999999</v>
      </c>
      <c r="P172" s="2">
        <v>170.32416499999999</v>
      </c>
      <c r="Q172" s="2">
        <v>170.32416499999999</v>
      </c>
      <c r="R172" s="2">
        <v>170.32416499999999</v>
      </c>
      <c r="S172" s="2">
        <f t="shared" si="40"/>
        <v>510.97249499999998</v>
      </c>
      <c r="T172" s="2">
        <f t="shared" si="41"/>
        <v>510.97249499999998</v>
      </c>
      <c r="U172" s="2">
        <f t="shared" si="30"/>
        <v>510.97249499999998</v>
      </c>
      <c r="V172" s="2">
        <f t="shared" si="31"/>
        <v>510.97249499999998</v>
      </c>
      <c r="W172" s="2">
        <f t="shared" si="32"/>
        <v>340.64832999999999</v>
      </c>
      <c r="X172" s="2">
        <f t="shared" si="33"/>
        <v>2043.8899799999999</v>
      </c>
      <c r="Y172" s="2">
        <v>61.487025000000003</v>
      </c>
      <c r="Z172" s="2">
        <v>61.487025000000003</v>
      </c>
      <c r="AA172" s="2">
        <v>61.487025000000003</v>
      </c>
      <c r="AB172" s="2">
        <v>61.487025000000003</v>
      </c>
      <c r="AC172" s="2">
        <v>61.487025000000003</v>
      </c>
      <c r="AD172" s="2">
        <v>61.487025000000003</v>
      </c>
      <c r="AE172" s="2">
        <v>61.487025000000003</v>
      </c>
      <c r="AF172" s="2">
        <v>61.487025000000003</v>
      </c>
      <c r="AG172" s="2">
        <v>61.487025000000003</v>
      </c>
      <c r="AH172" s="2">
        <v>61.487025000000003</v>
      </c>
      <c r="AI172" s="2">
        <v>61.487025000000003</v>
      </c>
      <c r="AJ172" s="2">
        <v>61.487025000000003</v>
      </c>
      <c r="AK172" s="2">
        <f t="shared" si="34"/>
        <v>184.46107499999999</v>
      </c>
      <c r="AL172" s="2">
        <f t="shared" si="35"/>
        <v>184.46107499999999</v>
      </c>
      <c r="AM172" s="2">
        <f t="shared" si="36"/>
        <v>184.46107499999999</v>
      </c>
      <c r="AN172" s="2">
        <f t="shared" si="37"/>
        <v>184.46107499999999</v>
      </c>
      <c r="AO172" s="2">
        <f t="shared" si="38"/>
        <v>122.97405000000001</v>
      </c>
      <c r="AP172" s="2">
        <f t="shared" si="39"/>
        <v>737.84429999999998</v>
      </c>
    </row>
    <row r="173" spans="1:42" hidden="1" x14ac:dyDescent="0.55000000000000004">
      <c r="A173" t="s">
        <v>92</v>
      </c>
      <c r="B173" s="4">
        <v>9940547078</v>
      </c>
      <c r="C173" t="s">
        <v>53</v>
      </c>
      <c r="D173" t="s">
        <v>80</v>
      </c>
      <c r="E173" t="s">
        <v>150</v>
      </c>
      <c r="F173" t="s">
        <v>133</v>
      </c>
      <c r="G173" s="2">
        <v>145.21627000000001</v>
      </c>
      <c r="H173" s="2">
        <v>145.21627000000001</v>
      </c>
      <c r="I173" s="2">
        <v>145.21627000000001</v>
      </c>
      <c r="J173" s="2">
        <v>145.21627000000001</v>
      </c>
      <c r="K173" s="2">
        <v>145.21627000000001</v>
      </c>
      <c r="L173" s="2">
        <v>145.21627000000001</v>
      </c>
      <c r="M173" s="2">
        <v>145.21627000000001</v>
      </c>
      <c r="N173" s="2">
        <v>145.21627000000001</v>
      </c>
      <c r="O173" s="2">
        <v>145.21627000000001</v>
      </c>
      <c r="P173" s="2">
        <v>145.21627000000001</v>
      </c>
      <c r="Q173" s="2">
        <v>145.21627000000001</v>
      </c>
      <c r="R173" s="2">
        <v>145.21627000000001</v>
      </c>
      <c r="S173" s="2">
        <f t="shared" si="40"/>
        <v>435.64881000000003</v>
      </c>
      <c r="T173" s="2">
        <f t="shared" si="41"/>
        <v>435.64881000000003</v>
      </c>
      <c r="U173" s="2">
        <f t="shared" si="30"/>
        <v>435.64881000000003</v>
      </c>
      <c r="V173" s="2">
        <f t="shared" si="31"/>
        <v>435.64881000000003</v>
      </c>
      <c r="W173" s="2">
        <f t="shared" si="32"/>
        <v>290.43254000000002</v>
      </c>
      <c r="X173" s="2">
        <f t="shared" si="33"/>
        <v>1742.5952400000001</v>
      </c>
      <c r="Y173" s="2">
        <v>46.178775000000002</v>
      </c>
      <c r="Z173" s="2">
        <v>46.178775000000002</v>
      </c>
      <c r="AA173" s="2">
        <v>46.178775000000002</v>
      </c>
      <c r="AB173" s="2">
        <v>46.178775000000002</v>
      </c>
      <c r="AC173" s="2">
        <v>46.178775000000002</v>
      </c>
      <c r="AD173" s="2">
        <v>46.178775000000002</v>
      </c>
      <c r="AE173" s="2">
        <v>46.178775000000002</v>
      </c>
      <c r="AF173" s="2">
        <v>46.178775000000002</v>
      </c>
      <c r="AG173" s="2">
        <v>46.178775000000002</v>
      </c>
      <c r="AH173" s="2">
        <v>46.178775000000002</v>
      </c>
      <c r="AI173" s="2">
        <v>46.178775000000002</v>
      </c>
      <c r="AJ173" s="2">
        <v>46.178775000000002</v>
      </c>
      <c r="AK173" s="2">
        <f t="shared" si="34"/>
        <v>138.53632500000001</v>
      </c>
      <c r="AL173" s="2">
        <f t="shared" si="35"/>
        <v>138.53632500000001</v>
      </c>
      <c r="AM173" s="2">
        <f t="shared" si="36"/>
        <v>138.53632500000001</v>
      </c>
      <c r="AN173" s="2">
        <f t="shared" si="37"/>
        <v>138.53632500000001</v>
      </c>
      <c r="AO173" s="2">
        <f t="shared" si="38"/>
        <v>92.357550000000003</v>
      </c>
      <c r="AP173" s="2">
        <f t="shared" si="39"/>
        <v>554.14530000000002</v>
      </c>
    </row>
    <row r="174" spans="1:42" hidden="1" x14ac:dyDescent="0.55000000000000004">
      <c r="A174" t="s">
        <v>92</v>
      </c>
      <c r="B174" s="4">
        <v>9940547078</v>
      </c>
      <c r="C174" t="s">
        <v>53</v>
      </c>
      <c r="D174" t="s">
        <v>80</v>
      </c>
      <c r="E174" t="s">
        <v>150</v>
      </c>
      <c r="F174" t="s">
        <v>135</v>
      </c>
      <c r="G174" s="2">
        <v>203.01415</v>
      </c>
      <c r="H174" s="2">
        <v>203.01415</v>
      </c>
      <c r="I174" s="2">
        <v>203.01415</v>
      </c>
      <c r="J174" s="2">
        <v>203.01415</v>
      </c>
      <c r="K174" s="2">
        <v>203.01415</v>
      </c>
      <c r="L174" s="2">
        <v>203.01415</v>
      </c>
      <c r="M174" s="2">
        <v>203.01415</v>
      </c>
      <c r="N174" s="2">
        <v>203.01415</v>
      </c>
      <c r="O174" s="2">
        <v>203.01415</v>
      </c>
      <c r="P174" s="2">
        <v>203.01415</v>
      </c>
      <c r="Q174" s="2">
        <v>203.01415</v>
      </c>
      <c r="R174" s="2">
        <v>203.01415</v>
      </c>
      <c r="S174" s="2">
        <f t="shared" si="40"/>
        <v>609.04245000000003</v>
      </c>
      <c r="T174" s="2">
        <f t="shared" si="41"/>
        <v>609.04245000000003</v>
      </c>
      <c r="U174" s="2">
        <f t="shared" si="30"/>
        <v>609.04245000000003</v>
      </c>
      <c r="V174" s="2">
        <f t="shared" si="31"/>
        <v>609.04245000000003</v>
      </c>
      <c r="W174" s="2">
        <f t="shared" si="32"/>
        <v>406.0283</v>
      </c>
      <c r="X174" s="2">
        <f t="shared" si="33"/>
        <v>2436.1698000000001</v>
      </c>
      <c r="Y174" s="2">
        <v>77.145375000000001</v>
      </c>
      <c r="Z174" s="2">
        <v>77.145375000000001</v>
      </c>
      <c r="AA174" s="2">
        <v>77.145375000000001</v>
      </c>
      <c r="AB174" s="2">
        <v>77.145375000000001</v>
      </c>
      <c r="AC174" s="2">
        <v>77.145375000000001</v>
      </c>
      <c r="AD174" s="2">
        <v>77.145375000000001</v>
      </c>
      <c r="AE174" s="2">
        <v>77.145375000000001</v>
      </c>
      <c r="AF174" s="2">
        <v>77.145375000000001</v>
      </c>
      <c r="AG174" s="2">
        <v>77.145375000000001</v>
      </c>
      <c r="AH174" s="2">
        <v>77.145375000000001</v>
      </c>
      <c r="AI174" s="2">
        <v>77.145375000000001</v>
      </c>
      <c r="AJ174" s="2">
        <v>77.145375000000001</v>
      </c>
      <c r="AK174" s="2">
        <f t="shared" si="34"/>
        <v>231.436125</v>
      </c>
      <c r="AL174" s="2">
        <f t="shared" si="35"/>
        <v>231.436125</v>
      </c>
      <c r="AM174" s="2">
        <f t="shared" si="36"/>
        <v>231.436125</v>
      </c>
      <c r="AN174" s="2">
        <f t="shared" si="37"/>
        <v>231.436125</v>
      </c>
      <c r="AO174" s="2">
        <f t="shared" si="38"/>
        <v>154.29075</v>
      </c>
      <c r="AP174" s="2">
        <f t="shared" si="39"/>
        <v>925.74450000000002</v>
      </c>
    </row>
    <row r="175" spans="1:42" hidden="1" x14ac:dyDescent="0.55000000000000004">
      <c r="A175" t="s">
        <v>92</v>
      </c>
      <c r="B175" s="4">
        <v>9940548855</v>
      </c>
      <c r="C175" t="s">
        <v>54</v>
      </c>
      <c r="D175" t="s">
        <v>72</v>
      </c>
      <c r="E175" t="s">
        <v>151</v>
      </c>
      <c r="F175" t="s">
        <v>131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f t="shared" si="40"/>
        <v>0</v>
      </c>
      <c r="T175" s="2">
        <f t="shared" si="41"/>
        <v>0</v>
      </c>
      <c r="U175" s="2">
        <f t="shared" si="30"/>
        <v>0</v>
      </c>
      <c r="V175" s="2">
        <f t="shared" si="31"/>
        <v>0</v>
      </c>
      <c r="W175" s="2">
        <f t="shared" si="32"/>
        <v>0</v>
      </c>
      <c r="X175" s="2">
        <f t="shared" si="33"/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f t="shared" si="34"/>
        <v>0</v>
      </c>
      <c r="AL175" s="2">
        <f t="shared" si="35"/>
        <v>0</v>
      </c>
      <c r="AM175" s="2">
        <f t="shared" si="36"/>
        <v>0</v>
      </c>
      <c r="AN175" s="2">
        <f t="shared" si="37"/>
        <v>0</v>
      </c>
      <c r="AO175" s="2">
        <f t="shared" si="38"/>
        <v>0</v>
      </c>
      <c r="AP175" s="2">
        <f t="shared" si="39"/>
        <v>0</v>
      </c>
    </row>
    <row r="176" spans="1:42" hidden="1" x14ac:dyDescent="0.55000000000000004">
      <c r="A176" t="s">
        <v>92</v>
      </c>
      <c r="B176" s="4">
        <v>9940548855</v>
      </c>
      <c r="C176" t="s">
        <v>54</v>
      </c>
      <c r="D176" t="s">
        <v>72</v>
      </c>
      <c r="E176" t="s">
        <v>151</v>
      </c>
      <c r="F176" t="s">
        <v>26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f t="shared" si="40"/>
        <v>0</v>
      </c>
      <c r="T176" s="2">
        <f t="shared" si="41"/>
        <v>0</v>
      </c>
      <c r="U176" s="2">
        <f t="shared" si="30"/>
        <v>0</v>
      </c>
      <c r="V176" s="2">
        <f t="shared" si="31"/>
        <v>0</v>
      </c>
      <c r="W176" s="2">
        <f t="shared" si="32"/>
        <v>0</v>
      </c>
      <c r="X176" s="2">
        <f t="shared" si="33"/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f t="shared" si="34"/>
        <v>0</v>
      </c>
      <c r="AL176" s="2">
        <f t="shared" si="35"/>
        <v>0</v>
      </c>
      <c r="AM176" s="2">
        <f t="shared" si="36"/>
        <v>0</v>
      </c>
      <c r="AN176" s="2">
        <f t="shared" si="37"/>
        <v>0</v>
      </c>
      <c r="AO176" s="2">
        <f t="shared" si="38"/>
        <v>0</v>
      </c>
      <c r="AP176" s="2">
        <f t="shared" si="39"/>
        <v>0</v>
      </c>
    </row>
    <row r="177" spans="1:42" hidden="1" x14ac:dyDescent="0.55000000000000004">
      <c r="A177" t="s">
        <v>92</v>
      </c>
      <c r="B177" s="4">
        <v>9940447770</v>
      </c>
      <c r="C177" t="s">
        <v>123</v>
      </c>
      <c r="D177" t="s">
        <v>143</v>
      </c>
      <c r="E177" t="s">
        <v>153</v>
      </c>
      <c r="F177" t="s">
        <v>131</v>
      </c>
      <c r="G177" s="2">
        <v>156.5376</v>
      </c>
      <c r="H177" s="2">
        <v>164.02176</v>
      </c>
      <c r="I177" s="2">
        <v>143.99039999999999</v>
      </c>
      <c r="J177" s="2">
        <v>126.6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f t="shared" si="40"/>
        <v>464.54975999999999</v>
      </c>
      <c r="T177" s="2">
        <f t="shared" si="41"/>
        <v>126.6</v>
      </c>
      <c r="U177" s="2">
        <f t="shared" si="30"/>
        <v>0</v>
      </c>
      <c r="V177" s="2">
        <f t="shared" si="31"/>
        <v>0</v>
      </c>
      <c r="W177" s="2">
        <f t="shared" si="32"/>
        <v>0</v>
      </c>
      <c r="X177" s="2">
        <f t="shared" si="33"/>
        <v>591.14976000000001</v>
      </c>
      <c r="Y177" s="2">
        <v>50.638449999999999</v>
      </c>
      <c r="Z177" s="2">
        <v>53.446170000000002</v>
      </c>
      <c r="AA177" s="2">
        <v>46.028790000000001</v>
      </c>
      <c r="AB177" s="2">
        <v>39.527389999999997</v>
      </c>
      <c r="AC177" s="2">
        <v>-2.7059199999999999</v>
      </c>
      <c r="AD177" s="2">
        <v>-1.2660199999999999</v>
      </c>
      <c r="AE177" s="2">
        <v>-2.0000000000000002E-5</v>
      </c>
      <c r="AF177" s="2">
        <v>-2.0000000000000002E-5</v>
      </c>
      <c r="AG177" s="2">
        <v>-2.0000000000000002E-5</v>
      </c>
      <c r="AH177" s="2">
        <v>-2.0000000000000002E-5</v>
      </c>
      <c r="AI177" s="2">
        <v>-2.0000000000000002E-5</v>
      </c>
      <c r="AJ177" s="2">
        <v>-2.0000000000000002E-5</v>
      </c>
      <c r="AK177" s="2">
        <f t="shared" si="34"/>
        <v>150.11340999999999</v>
      </c>
      <c r="AL177" s="2">
        <f t="shared" si="35"/>
        <v>35.55545</v>
      </c>
      <c r="AM177" s="2">
        <f t="shared" si="36"/>
        <v>-6.0000000000000008E-5</v>
      </c>
      <c r="AN177" s="2">
        <f t="shared" si="37"/>
        <v>-6.0000000000000008E-5</v>
      </c>
      <c r="AO177" s="2">
        <f t="shared" si="38"/>
        <v>-4.0000000000000003E-5</v>
      </c>
      <c r="AP177" s="2">
        <f t="shared" si="39"/>
        <v>185.66874000000001</v>
      </c>
    </row>
    <row r="178" spans="1:42" x14ac:dyDescent="0.55000000000000004">
      <c r="A178" t="s">
        <v>92</v>
      </c>
      <c r="B178" s="4">
        <v>9940542499</v>
      </c>
      <c r="C178" t="s">
        <v>56</v>
      </c>
      <c r="D178" t="s">
        <v>88</v>
      </c>
      <c r="E178" t="s">
        <v>150</v>
      </c>
      <c r="F178" t="s">
        <v>26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f t="shared" si="40"/>
        <v>0</v>
      </c>
      <c r="T178" s="2">
        <f t="shared" si="41"/>
        <v>0</v>
      </c>
      <c r="U178" s="2">
        <f t="shared" si="30"/>
        <v>0</v>
      </c>
      <c r="V178" s="2">
        <f t="shared" si="31"/>
        <v>0</v>
      </c>
      <c r="W178" s="2">
        <f t="shared" si="32"/>
        <v>0</v>
      </c>
      <c r="X178" s="2">
        <f t="shared" si="33"/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f t="shared" si="34"/>
        <v>0</v>
      </c>
      <c r="AL178" s="2">
        <f t="shared" si="35"/>
        <v>0</v>
      </c>
      <c r="AM178" s="2">
        <f t="shared" si="36"/>
        <v>0</v>
      </c>
      <c r="AN178" s="2">
        <f t="shared" si="37"/>
        <v>0</v>
      </c>
      <c r="AO178" s="2">
        <f t="shared" si="38"/>
        <v>0</v>
      </c>
      <c r="AP178" s="2">
        <f t="shared" si="39"/>
        <v>0</v>
      </c>
    </row>
    <row r="179" spans="1:42" hidden="1" x14ac:dyDescent="0.55000000000000004">
      <c r="A179" t="s">
        <v>92</v>
      </c>
      <c r="B179" s="4">
        <v>9940575134</v>
      </c>
      <c r="C179" t="s">
        <v>124</v>
      </c>
      <c r="D179" t="s">
        <v>146</v>
      </c>
      <c r="E179" t="s">
        <v>151</v>
      </c>
      <c r="F179" t="s">
        <v>131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f t="shared" si="40"/>
        <v>0</v>
      </c>
      <c r="T179" s="2">
        <f t="shared" si="41"/>
        <v>0</v>
      </c>
      <c r="U179" s="2">
        <f t="shared" si="30"/>
        <v>0</v>
      </c>
      <c r="V179" s="2">
        <f t="shared" si="31"/>
        <v>0</v>
      </c>
      <c r="W179" s="2">
        <f t="shared" si="32"/>
        <v>0</v>
      </c>
      <c r="X179" s="2">
        <f t="shared" si="33"/>
        <v>0</v>
      </c>
      <c r="Y179" s="2">
        <v>-3.9049800000000001</v>
      </c>
      <c r="Z179" s="2">
        <v>-0.95747000000000004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f t="shared" si="34"/>
        <v>-4.8624499999999999</v>
      </c>
      <c r="AL179" s="2">
        <f t="shared" si="35"/>
        <v>0</v>
      </c>
      <c r="AM179" s="2">
        <f t="shared" si="36"/>
        <v>0</v>
      </c>
      <c r="AN179" s="2">
        <f t="shared" si="37"/>
        <v>0</v>
      </c>
      <c r="AO179" s="2">
        <f t="shared" si="38"/>
        <v>0</v>
      </c>
      <c r="AP179" s="2">
        <f t="shared" si="39"/>
        <v>-4.8624499999999999</v>
      </c>
    </row>
    <row r="180" spans="1:42" hidden="1" x14ac:dyDescent="0.55000000000000004">
      <c r="A180" t="s">
        <v>92</v>
      </c>
      <c r="B180" s="4">
        <v>9940397792</v>
      </c>
      <c r="C180" t="s">
        <v>57</v>
      </c>
      <c r="D180" t="s">
        <v>90</v>
      </c>
      <c r="E180" t="s">
        <v>154</v>
      </c>
      <c r="F180" t="s">
        <v>131</v>
      </c>
      <c r="G180" s="2">
        <v>1.6024474440000001</v>
      </c>
      <c r="H180" s="2">
        <v>1.550061396</v>
      </c>
      <c r="I180" s="2">
        <v>1.5694394819999999</v>
      </c>
      <c r="J180" s="2">
        <v>1.2227436</v>
      </c>
      <c r="K180" s="2">
        <v>4.815165264</v>
      </c>
      <c r="L180" s="2">
        <v>4.6886432320000004</v>
      </c>
      <c r="M180" s="2">
        <v>5.2232931660000004</v>
      </c>
      <c r="N180" s="2">
        <v>5.0471168019999997</v>
      </c>
      <c r="O180" s="2">
        <v>5.2853229519999996</v>
      </c>
      <c r="P180" s="2">
        <v>6.0746875280000001</v>
      </c>
      <c r="Q180" s="2">
        <v>3.9815189960000001</v>
      </c>
      <c r="R180" s="2">
        <v>3.020503122</v>
      </c>
      <c r="S180" s="2">
        <f t="shared" si="40"/>
        <v>4.7219483220000003</v>
      </c>
      <c r="T180" s="2">
        <f t="shared" si="41"/>
        <v>10.726552096000001</v>
      </c>
      <c r="U180" s="2">
        <f t="shared" si="30"/>
        <v>15.555732919999999</v>
      </c>
      <c r="V180" s="2">
        <f t="shared" si="31"/>
        <v>13.076709646000001</v>
      </c>
      <c r="W180" s="2">
        <f t="shared" si="32"/>
        <v>7.0020221180000002</v>
      </c>
      <c r="X180" s="2">
        <f t="shared" si="33"/>
        <v>44.080942984000004</v>
      </c>
      <c r="Y180" s="2">
        <v>0.63626550000000004</v>
      </c>
      <c r="Z180" s="2">
        <v>0.60651263399999999</v>
      </c>
      <c r="AA180" s="2">
        <v>0.61912913400000003</v>
      </c>
      <c r="AB180" s="2">
        <v>0.44594823</v>
      </c>
      <c r="AC180" s="2">
        <v>2.0285465720000002</v>
      </c>
      <c r="AD180" s="2">
        <v>1.9802467880000001</v>
      </c>
      <c r="AE180" s="2">
        <v>2.1965297640000001</v>
      </c>
      <c r="AF180" s="2">
        <v>2.1090741880000001</v>
      </c>
      <c r="AG180" s="2">
        <v>2.2415969420000001</v>
      </c>
      <c r="AH180" s="2">
        <v>2.381621242</v>
      </c>
      <c r="AI180" s="2">
        <v>1.424107776</v>
      </c>
      <c r="AJ180" s="2">
        <v>1.134967652</v>
      </c>
      <c r="AK180" s="2">
        <f t="shared" si="34"/>
        <v>1.8619072679999999</v>
      </c>
      <c r="AL180" s="2">
        <f t="shared" si="35"/>
        <v>4.4547415900000003</v>
      </c>
      <c r="AM180" s="2">
        <f t="shared" si="36"/>
        <v>6.5472008940000004</v>
      </c>
      <c r="AN180" s="2">
        <f t="shared" si="37"/>
        <v>4.9406966700000003</v>
      </c>
      <c r="AO180" s="2">
        <f t="shared" si="38"/>
        <v>2.5590754279999999</v>
      </c>
      <c r="AP180" s="2">
        <f t="shared" si="39"/>
        <v>17.804546422000001</v>
      </c>
    </row>
    <row r="181" spans="1:42" hidden="1" x14ac:dyDescent="0.55000000000000004">
      <c r="A181" t="s">
        <v>92</v>
      </c>
      <c r="B181" s="4">
        <v>9940397792</v>
      </c>
      <c r="C181" t="s">
        <v>57</v>
      </c>
      <c r="D181" t="s">
        <v>90</v>
      </c>
      <c r="E181" t="s">
        <v>154</v>
      </c>
      <c r="F181" t="s">
        <v>26</v>
      </c>
      <c r="G181" s="2">
        <v>10.724071356</v>
      </c>
      <c r="H181" s="2">
        <v>10.373487804</v>
      </c>
      <c r="I181" s="2">
        <v>10.503171918</v>
      </c>
      <c r="J181" s="2">
        <v>8.1829763999999994</v>
      </c>
      <c r="K181" s="2">
        <v>32.224567536000002</v>
      </c>
      <c r="L181" s="2">
        <v>31.377843167999998</v>
      </c>
      <c r="M181" s="2">
        <v>34.955885033999998</v>
      </c>
      <c r="N181" s="2">
        <v>33.776858597999997</v>
      </c>
      <c r="O181" s="2">
        <v>35.371007448</v>
      </c>
      <c r="P181" s="2">
        <v>40.653678071999998</v>
      </c>
      <c r="Q181" s="2">
        <v>26.645550203999999</v>
      </c>
      <c r="R181" s="2">
        <v>20.214136278000002</v>
      </c>
      <c r="S181" s="2">
        <f t="shared" si="40"/>
        <v>31.600731077999999</v>
      </c>
      <c r="T181" s="2">
        <f t="shared" si="41"/>
        <v>71.785387103999994</v>
      </c>
      <c r="U181" s="2">
        <f t="shared" si="30"/>
        <v>104.10375107999999</v>
      </c>
      <c r="V181" s="2">
        <f t="shared" si="31"/>
        <v>87.513364553999992</v>
      </c>
      <c r="W181" s="2">
        <f t="shared" si="32"/>
        <v>46.859686482000001</v>
      </c>
      <c r="X181" s="2">
        <f t="shared" si="33"/>
        <v>295.00323381599998</v>
      </c>
      <c r="Y181" s="2">
        <v>4.2580844999999998</v>
      </c>
      <c r="Z181" s="2">
        <v>4.0589691659999998</v>
      </c>
      <c r="AA181" s="2">
        <v>4.1434026660000001</v>
      </c>
      <c r="AB181" s="2">
        <v>2.9844227700000001</v>
      </c>
      <c r="AC181" s="2">
        <v>13.575657828000001</v>
      </c>
      <c r="AD181" s="2">
        <v>13.252420812</v>
      </c>
      <c r="AE181" s="2">
        <v>14.699853036</v>
      </c>
      <c r="AF181" s="2">
        <v>14.114573412</v>
      </c>
      <c r="AG181" s="2">
        <v>15.001456458</v>
      </c>
      <c r="AH181" s="2">
        <v>15.938542158000001</v>
      </c>
      <c r="AI181" s="2">
        <v>9.5305674239999991</v>
      </c>
      <c r="AJ181" s="2">
        <v>7.5955527480000002</v>
      </c>
      <c r="AK181" s="2">
        <f t="shared" si="34"/>
        <v>12.460456332</v>
      </c>
      <c r="AL181" s="2">
        <f t="shared" si="35"/>
        <v>29.812501409999999</v>
      </c>
      <c r="AM181" s="2">
        <f t="shared" si="36"/>
        <v>43.815882905999999</v>
      </c>
      <c r="AN181" s="2">
        <f t="shared" si="37"/>
        <v>33.064662330000004</v>
      </c>
      <c r="AO181" s="2">
        <f t="shared" si="38"/>
        <v>17.126120172</v>
      </c>
      <c r="AP181" s="2">
        <f t="shared" si="39"/>
        <v>119.15350297800001</v>
      </c>
    </row>
    <row r="182" spans="1:42" x14ac:dyDescent="0.55000000000000004">
      <c r="A182" t="s">
        <v>92</v>
      </c>
      <c r="B182" s="4">
        <v>9940499510</v>
      </c>
      <c r="C182" t="s">
        <v>58</v>
      </c>
      <c r="D182" t="s">
        <v>79</v>
      </c>
      <c r="E182" t="s">
        <v>150</v>
      </c>
      <c r="F182" t="s">
        <v>26</v>
      </c>
      <c r="G182" s="2">
        <v>15.1897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f t="shared" si="40"/>
        <v>15.1897</v>
      </c>
      <c r="T182" s="2">
        <f t="shared" si="41"/>
        <v>0</v>
      </c>
      <c r="U182" s="2">
        <f t="shared" si="30"/>
        <v>0</v>
      </c>
      <c r="V182" s="2">
        <f t="shared" si="31"/>
        <v>0</v>
      </c>
      <c r="W182" s="2">
        <f t="shared" si="32"/>
        <v>0</v>
      </c>
      <c r="X182" s="2">
        <f t="shared" si="33"/>
        <v>15.1897</v>
      </c>
      <c r="Y182" s="2">
        <v>2.3721800000000002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f t="shared" si="34"/>
        <v>2.3721800000000002</v>
      </c>
      <c r="AL182" s="2">
        <f t="shared" si="35"/>
        <v>0</v>
      </c>
      <c r="AM182" s="2">
        <f t="shared" si="36"/>
        <v>0</v>
      </c>
      <c r="AN182" s="2">
        <f t="shared" si="37"/>
        <v>0</v>
      </c>
      <c r="AO182" s="2">
        <f t="shared" si="38"/>
        <v>0</v>
      </c>
      <c r="AP182" s="2">
        <f t="shared" si="39"/>
        <v>2.3721800000000002</v>
      </c>
    </row>
    <row r="183" spans="1:42" hidden="1" x14ac:dyDescent="0.55000000000000004">
      <c r="A183" t="s">
        <v>92</v>
      </c>
      <c r="B183" s="4">
        <v>9940564207</v>
      </c>
      <c r="C183" t="s">
        <v>59</v>
      </c>
      <c r="D183" t="s">
        <v>80</v>
      </c>
      <c r="E183" t="s">
        <v>155</v>
      </c>
      <c r="F183" t="s">
        <v>26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f t="shared" si="40"/>
        <v>0</v>
      </c>
      <c r="T183" s="2">
        <f t="shared" si="41"/>
        <v>0</v>
      </c>
      <c r="U183" s="2">
        <f t="shared" si="30"/>
        <v>0</v>
      </c>
      <c r="V183" s="2">
        <f t="shared" si="31"/>
        <v>0</v>
      </c>
      <c r="W183" s="2">
        <f t="shared" si="32"/>
        <v>0</v>
      </c>
      <c r="X183" s="2">
        <f t="shared" si="33"/>
        <v>0</v>
      </c>
      <c r="Y183" s="2">
        <v>4.2926399999999996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f t="shared" si="34"/>
        <v>4.2926399999999996</v>
      </c>
      <c r="AL183" s="2">
        <f t="shared" si="35"/>
        <v>0</v>
      </c>
      <c r="AM183" s="2">
        <f t="shared" si="36"/>
        <v>0</v>
      </c>
      <c r="AN183" s="2">
        <f t="shared" si="37"/>
        <v>0</v>
      </c>
      <c r="AO183" s="2">
        <f t="shared" si="38"/>
        <v>0</v>
      </c>
      <c r="AP183" s="2">
        <f t="shared" si="39"/>
        <v>4.2926399999999996</v>
      </c>
    </row>
    <row r="184" spans="1:42" hidden="1" x14ac:dyDescent="0.55000000000000004">
      <c r="A184" t="s">
        <v>92</v>
      </c>
      <c r="B184" s="4">
        <v>9940572727</v>
      </c>
      <c r="C184" t="s">
        <v>125</v>
      </c>
      <c r="D184" t="s">
        <v>147</v>
      </c>
      <c r="E184" t="s">
        <v>153</v>
      </c>
      <c r="F184" t="s">
        <v>131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f t="shared" si="40"/>
        <v>0</v>
      </c>
      <c r="T184" s="2">
        <f t="shared" si="41"/>
        <v>0</v>
      </c>
      <c r="U184" s="2">
        <f t="shared" si="30"/>
        <v>0</v>
      </c>
      <c r="V184" s="2">
        <f t="shared" si="31"/>
        <v>0</v>
      </c>
      <c r="W184" s="2">
        <f t="shared" si="32"/>
        <v>0</v>
      </c>
      <c r="X184" s="2">
        <f t="shared" si="33"/>
        <v>0</v>
      </c>
      <c r="Y184" s="2">
        <v>-0.41650999999999999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f t="shared" si="34"/>
        <v>-0.41650999999999999</v>
      </c>
      <c r="AL184" s="2">
        <f t="shared" si="35"/>
        <v>0</v>
      </c>
      <c r="AM184" s="2">
        <f t="shared" si="36"/>
        <v>0</v>
      </c>
      <c r="AN184" s="2">
        <f t="shared" si="37"/>
        <v>0</v>
      </c>
      <c r="AO184" s="2">
        <f t="shared" si="38"/>
        <v>0</v>
      </c>
      <c r="AP184" s="2">
        <f t="shared" si="39"/>
        <v>-0.41650999999999999</v>
      </c>
    </row>
    <row r="185" spans="1:42" hidden="1" x14ac:dyDescent="0.55000000000000004">
      <c r="A185" t="s">
        <v>92</v>
      </c>
      <c r="B185" s="4">
        <v>9940480171</v>
      </c>
      <c r="C185" t="s">
        <v>126</v>
      </c>
      <c r="D185" t="s">
        <v>79</v>
      </c>
      <c r="E185" t="s">
        <v>150</v>
      </c>
      <c r="F185" t="s">
        <v>133</v>
      </c>
      <c r="G185" s="2">
        <v>179.90831399999999</v>
      </c>
      <c r="H185" s="2">
        <v>178.25198399999999</v>
      </c>
      <c r="I185" s="2">
        <v>169.05695700000001</v>
      </c>
      <c r="J185" s="2">
        <v>169.05695700000001</v>
      </c>
      <c r="K185" s="2">
        <v>178.360356</v>
      </c>
      <c r="L185" s="2">
        <v>178.360356</v>
      </c>
      <c r="M185" s="2">
        <v>178.360356</v>
      </c>
      <c r="N185" s="2">
        <v>187.66375199999999</v>
      </c>
      <c r="O185" s="2">
        <v>187.66375199999999</v>
      </c>
      <c r="P185" s="2">
        <v>187.66375199999999</v>
      </c>
      <c r="Q185" s="2">
        <v>196.967151</v>
      </c>
      <c r="R185" s="2">
        <v>196.967151</v>
      </c>
      <c r="S185" s="2">
        <f t="shared" si="40"/>
        <v>527.21725500000002</v>
      </c>
      <c r="T185" s="2">
        <f t="shared" si="41"/>
        <v>525.77766900000006</v>
      </c>
      <c r="U185" s="2">
        <f t="shared" si="30"/>
        <v>553.68786</v>
      </c>
      <c r="V185" s="2">
        <f t="shared" si="31"/>
        <v>581.59805400000005</v>
      </c>
      <c r="W185" s="2">
        <f t="shared" si="32"/>
        <v>393.934302</v>
      </c>
      <c r="X185" s="2">
        <f t="shared" si="33"/>
        <v>2188.2808380000001</v>
      </c>
      <c r="Y185" s="2">
        <v>44.669927999999999</v>
      </c>
      <c r="Z185" s="2">
        <v>49.371315000000003</v>
      </c>
      <c r="AA185" s="2">
        <v>63.604773000000002</v>
      </c>
      <c r="AB185" s="2">
        <v>64.716932999999997</v>
      </c>
      <c r="AC185" s="2">
        <v>52.732899000000003</v>
      </c>
      <c r="AD185" s="2">
        <v>24.695187000000001</v>
      </c>
      <c r="AE185" s="2">
        <v>55.324587000000001</v>
      </c>
      <c r="AF185" s="2">
        <v>54.435996000000003</v>
      </c>
      <c r="AG185" s="2">
        <v>53.961371999999997</v>
      </c>
      <c r="AH185" s="2">
        <v>44.933166</v>
      </c>
      <c r="AI185" s="2">
        <v>52.234856999999998</v>
      </c>
      <c r="AJ185" s="2">
        <v>55.578902999999997</v>
      </c>
      <c r="AK185" s="2">
        <f t="shared" si="34"/>
        <v>157.646016</v>
      </c>
      <c r="AL185" s="2">
        <f t="shared" si="35"/>
        <v>142.14501899999999</v>
      </c>
      <c r="AM185" s="2">
        <f t="shared" si="36"/>
        <v>163.72195499999998</v>
      </c>
      <c r="AN185" s="2">
        <f t="shared" si="37"/>
        <v>152.746926</v>
      </c>
      <c r="AO185" s="2">
        <f t="shared" si="38"/>
        <v>107.81376</v>
      </c>
      <c r="AP185" s="2">
        <f t="shared" si="39"/>
        <v>616.25991599999998</v>
      </c>
    </row>
    <row r="186" spans="1:42" hidden="1" x14ac:dyDescent="0.55000000000000004">
      <c r="A186" t="s">
        <v>92</v>
      </c>
      <c r="B186" s="4">
        <v>9940576284</v>
      </c>
      <c r="C186" t="s">
        <v>60</v>
      </c>
      <c r="D186" t="s">
        <v>91</v>
      </c>
      <c r="E186" t="s">
        <v>150</v>
      </c>
      <c r="F186" t="s">
        <v>131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f t="shared" si="40"/>
        <v>0</v>
      </c>
      <c r="T186" s="2">
        <f t="shared" si="41"/>
        <v>0</v>
      </c>
      <c r="U186" s="2">
        <f t="shared" si="30"/>
        <v>0</v>
      </c>
      <c r="V186" s="2">
        <f t="shared" si="31"/>
        <v>0</v>
      </c>
      <c r="W186" s="2">
        <f t="shared" si="32"/>
        <v>0</v>
      </c>
      <c r="X186" s="2">
        <f t="shared" si="33"/>
        <v>0</v>
      </c>
      <c r="Y186" s="2">
        <v>-2.1225168000000001</v>
      </c>
      <c r="Z186" s="2">
        <v>-0.68517600000000001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f t="shared" si="34"/>
        <v>-2.8076927999999999</v>
      </c>
      <c r="AL186" s="2">
        <f t="shared" si="35"/>
        <v>0</v>
      </c>
      <c r="AM186" s="2">
        <f t="shared" si="36"/>
        <v>0</v>
      </c>
      <c r="AN186" s="2">
        <f t="shared" si="37"/>
        <v>0</v>
      </c>
      <c r="AO186" s="2">
        <f t="shared" si="38"/>
        <v>0</v>
      </c>
      <c r="AP186" s="2">
        <f t="shared" si="39"/>
        <v>-2.8076927999999999</v>
      </c>
    </row>
    <row r="187" spans="1:42" x14ac:dyDescent="0.55000000000000004">
      <c r="A187" t="s">
        <v>92</v>
      </c>
      <c r="B187" s="4">
        <v>9940576284</v>
      </c>
      <c r="C187" t="s">
        <v>60</v>
      </c>
      <c r="D187" t="s">
        <v>91</v>
      </c>
      <c r="E187" t="s">
        <v>150</v>
      </c>
      <c r="F187" t="s">
        <v>26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f t="shared" si="40"/>
        <v>0</v>
      </c>
      <c r="T187" s="2">
        <f t="shared" si="41"/>
        <v>0</v>
      </c>
      <c r="U187" s="2">
        <f t="shared" si="30"/>
        <v>0</v>
      </c>
      <c r="V187" s="2">
        <f t="shared" si="31"/>
        <v>0</v>
      </c>
      <c r="W187" s="2">
        <f t="shared" si="32"/>
        <v>0</v>
      </c>
      <c r="X187" s="2">
        <f t="shared" si="33"/>
        <v>0</v>
      </c>
      <c r="Y187" s="2">
        <v>-2.2993931999999999</v>
      </c>
      <c r="Z187" s="2">
        <v>-0.74227399999999999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f t="shared" si="34"/>
        <v>-3.0416672</v>
      </c>
      <c r="AL187" s="2">
        <f t="shared" si="35"/>
        <v>0</v>
      </c>
      <c r="AM187" s="2">
        <f t="shared" si="36"/>
        <v>0</v>
      </c>
      <c r="AN187" s="2">
        <f t="shared" si="37"/>
        <v>0</v>
      </c>
      <c r="AO187" s="2">
        <f t="shared" si="38"/>
        <v>0</v>
      </c>
      <c r="AP187" s="2">
        <f t="shared" si="39"/>
        <v>-3.0416672</v>
      </c>
    </row>
    <row r="188" spans="1:42" hidden="1" x14ac:dyDescent="0.55000000000000004">
      <c r="A188" t="s">
        <v>92</v>
      </c>
      <c r="B188" s="4">
        <v>9940505640</v>
      </c>
      <c r="C188" t="s">
        <v>61</v>
      </c>
      <c r="D188" t="s">
        <v>85</v>
      </c>
      <c r="E188" t="s">
        <v>150</v>
      </c>
      <c r="F188" t="s">
        <v>131</v>
      </c>
      <c r="G188" s="2">
        <v>88.555802799999995</v>
      </c>
      <c r="H188" s="2">
        <v>85.203760399999993</v>
      </c>
      <c r="I188" s="2">
        <v>61.971851999999998</v>
      </c>
      <c r="J188" s="2">
        <v>68.539493399999998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f t="shared" si="40"/>
        <v>235.73141520000001</v>
      </c>
      <c r="T188" s="2">
        <f t="shared" si="41"/>
        <v>68.539493399999998</v>
      </c>
      <c r="U188" s="2">
        <f t="shared" si="30"/>
        <v>0</v>
      </c>
      <c r="V188" s="2">
        <f t="shared" si="31"/>
        <v>0</v>
      </c>
      <c r="W188" s="2">
        <f t="shared" si="32"/>
        <v>0</v>
      </c>
      <c r="X188" s="2">
        <f t="shared" si="33"/>
        <v>304.27090859999998</v>
      </c>
      <c r="Y188" s="2">
        <v>37.4892331</v>
      </c>
      <c r="Z188" s="2">
        <v>36.423840599999998</v>
      </c>
      <c r="AA188" s="2">
        <v>25.626332900000001</v>
      </c>
      <c r="AB188" s="2">
        <v>28.829872900000002</v>
      </c>
      <c r="AC188" s="2">
        <v>-2.4484110000000001</v>
      </c>
      <c r="AD188" s="2">
        <v>-6.52147E-2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f t="shared" si="34"/>
        <v>99.539406600000007</v>
      </c>
      <c r="AL188" s="2">
        <f t="shared" si="35"/>
        <v>26.316247200000003</v>
      </c>
      <c r="AM188" s="2">
        <f t="shared" si="36"/>
        <v>0</v>
      </c>
      <c r="AN188" s="2">
        <f t="shared" si="37"/>
        <v>0</v>
      </c>
      <c r="AO188" s="2">
        <f t="shared" si="38"/>
        <v>0</v>
      </c>
      <c r="AP188" s="2">
        <f t="shared" si="39"/>
        <v>125.85565380000001</v>
      </c>
    </row>
    <row r="189" spans="1:42" x14ac:dyDescent="0.55000000000000004">
      <c r="A189" t="s">
        <v>92</v>
      </c>
      <c r="B189" s="4">
        <v>9940505640</v>
      </c>
      <c r="C189" t="s">
        <v>61</v>
      </c>
      <c r="D189" t="s">
        <v>85</v>
      </c>
      <c r="E189" t="s">
        <v>150</v>
      </c>
      <c r="F189" t="s">
        <v>26</v>
      </c>
      <c r="G189" s="2">
        <v>197.1080772</v>
      </c>
      <c r="H189" s="2">
        <v>189.64707960000001</v>
      </c>
      <c r="I189" s="2">
        <v>137.93734799999999</v>
      </c>
      <c r="J189" s="2">
        <v>152.55564659999999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f t="shared" si="40"/>
        <v>524.69250480000005</v>
      </c>
      <c r="T189" s="2">
        <f t="shared" si="41"/>
        <v>152.55564659999999</v>
      </c>
      <c r="U189" s="2">
        <f t="shared" si="30"/>
        <v>0</v>
      </c>
      <c r="V189" s="2">
        <f t="shared" si="31"/>
        <v>0</v>
      </c>
      <c r="W189" s="2">
        <f t="shared" si="32"/>
        <v>0</v>
      </c>
      <c r="X189" s="2">
        <f t="shared" si="33"/>
        <v>677.2481514000001</v>
      </c>
      <c r="Y189" s="2">
        <v>83.443776900000003</v>
      </c>
      <c r="Z189" s="2">
        <v>81.072419400000001</v>
      </c>
      <c r="AA189" s="2">
        <v>57.0392571</v>
      </c>
      <c r="AB189" s="2">
        <v>64.1697171</v>
      </c>
      <c r="AC189" s="2">
        <v>-5.4496890000000002</v>
      </c>
      <c r="AD189" s="2">
        <v>-0.14515529999999999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f t="shared" si="34"/>
        <v>221.55545339999998</v>
      </c>
      <c r="AL189" s="2">
        <f t="shared" si="35"/>
        <v>58.574872800000001</v>
      </c>
      <c r="AM189" s="2">
        <f t="shared" si="36"/>
        <v>0</v>
      </c>
      <c r="AN189" s="2">
        <f t="shared" si="37"/>
        <v>0</v>
      </c>
      <c r="AO189" s="2">
        <f t="shared" si="38"/>
        <v>0</v>
      </c>
      <c r="AP189" s="2">
        <f t="shared" si="39"/>
        <v>280.13032619999996</v>
      </c>
    </row>
    <row r="190" spans="1:42" hidden="1" x14ac:dyDescent="0.55000000000000004">
      <c r="A190" t="s">
        <v>92</v>
      </c>
      <c r="B190" s="4">
        <v>9940505640</v>
      </c>
      <c r="C190" t="s">
        <v>61</v>
      </c>
      <c r="D190" t="s">
        <v>85</v>
      </c>
      <c r="E190" t="s">
        <v>150</v>
      </c>
      <c r="F190" t="s">
        <v>133</v>
      </c>
      <c r="G190" s="2">
        <v>102.47851</v>
      </c>
      <c r="H190" s="2">
        <v>95.895009999999999</v>
      </c>
      <c r="I190" s="2">
        <v>95.895009999999999</v>
      </c>
      <c r="J190" s="2">
        <v>95.895009999999999</v>
      </c>
      <c r="K190" s="2">
        <v>158.25576000000001</v>
      </c>
      <c r="L190" s="2">
        <v>158.25576000000001</v>
      </c>
      <c r="M190" s="2">
        <v>158.25576000000001</v>
      </c>
      <c r="N190" s="2">
        <v>158.25576000000001</v>
      </c>
      <c r="O190" s="2">
        <v>158.25576000000001</v>
      </c>
      <c r="P190" s="2">
        <v>158.25576000000001</v>
      </c>
      <c r="Q190" s="2">
        <v>158.25576000000001</v>
      </c>
      <c r="R190" s="2">
        <v>158.25576000000001</v>
      </c>
      <c r="S190" s="2">
        <f t="shared" si="40"/>
        <v>294.26853</v>
      </c>
      <c r="T190" s="2">
        <f t="shared" si="41"/>
        <v>412.40653000000003</v>
      </c>
      <c r="U190" s="2">
        <f t="shared" si="30"/>
        <v>474.76728000000003</v>
      </c>
      <c r="V190" s="2">
        <f t="shared" si="31"/>
        <v>474.76728000000003</v>
      </c>
      <c r="W190" s="2">
        <f t="shared" si="32"/>
        <v>316.51152000000002</v>
      </c>
      <c r="X190" s="2">
        <f t="shared" si="33"/>
        <v>1656.2096200000001</v>
      </c>
      <c r="Y190" s="2">
        <v>30.64059</v>
      </c>
      <c r="Z190" s="2">
        <v>26.614049999999999</v>
      </c>
      <c r="AA190" s="2">
        <v>26.94182</v>
      </c>
      <c r="AB190" s="2">
        <v>25.668469999999999</v>
      </c>
      <c r="AC190" s="2">
        <v>64.507710000000003</v>
      </c>
      <c r="AD190" s="2">
        <v>63.728250000000003</v>
      </c>
      <c r="AE190" s="2">
        <v>63.019590000000001</v>
      </c>
      <c r="AF190" s="2">
        <v>63.01491</v>
      </c>
      <c r="AG190" s="2">
        <v>63.01491</v>
      </c>
      <c r="AH190" s="2">
        <v>67.227130000000002</v>
      </c>
      <c r="AI190" s="2">
        <v>67.227130000000002</v>
      </c>
      <c r="AJ190" s="2">
        <v>67.14922</v>
      </c>
      <c r="AK190" s="2">
        <f t="shared" si="34"/>
        <v>84.196460000000002</v>
      </c>
      <c r="AL190" s="2">
        <f t="shared" si="35"/>
        <v>153.90442999999999</v>
      </c>
      <c r="AM190" s="2">
        <f t="shared" si="36"/>
        <v>189.04941000000002</v>
      </c>
      <c r="AN190" s="2">
        <f t="shared" si="37"/>
        <v>201.60347999999999</v>
      </c>
      <c r="AO190" s="2">
        <f t="shared" si="38"/>
        <v>134.37635</v>
      </c>
      <c r="AP190" s="2">
        <f t="shared" si="39"/>
        <v>628.75378000000001</v>
      </c>
    </row>
    <row r="191" spans="1:42" x14ac:dyDescent="0.55000000000000004">
      <c r="A191" t="s">
        <v>92</v>
      </c>
      <c r="B191" s="4">
        <v>9940559900</v>
      </c>
      <c r="C191" t="s">
        <v>64</v>
      </c>
      <c r="D191" t="s">
        <v>80</v>
      </c>
      <c r="E191" t="s">
        <v>150</v>
      </c>
      <c r="F191" t="s">
        <v>26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f t="shared" si="40"/>
        <v>0</v>
      </c>
      <c r="T191" s="2">
        <f t="shared" si="41"/>
        <v>0</v>
      </c>
      <c r="U191" s="2">
        <f t="shared" si="30"/>
        <v>0</v>
      </c>
      <c r="V191" s="2">
        <f t="shared" si="31"/>
        <v>0</v>
      </c>
      <c r="W191" s="2">
        <f t="shared" si="32"/>
        <v>0</v>
      </c>
      <c r="X191" s="2">
        <f t="shared" si="33"/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f t="shared" si="34"/>
        <v>0</v>
      </c>
      <c r="AL191" s="2">
        <f t="shared" si="35"/>
        <v>0</v>
      </c>
      <c r="AM191" s="2">
        <f t="shared" si="36"/>
        <v>0</v>
      </c>
      <c r="AN191" s="2">
        <f t="shared" si="37"/>
        <v>0</v>
      </c>
      <c r="AO191" s="2">
        <f t="shared" si="38"/>
        <v>0</v>
      </c>
      <c r="AP191" s="2">
        <f t="shared" si="39"/>
        <v>0</v>
      </c>
    </row>
    <row r="192" spans="1:42" hidden="1" x14ac:dyDescent="0.55000000000000004">
      <c r="A192" t="s">
        <v>92</v>
      </c>
      <c r="B192" s="4">
        <v>9940500613</v>
      </c>
      <c r="C192" t="s">
        <v>127</v>
      </c>
      <c r="D192" t="s">
        <v>82</v>
      </c>
      <c r="E192" t="s">
        <v>153</v>
      </c>
      <c r="F192" t="s">
        <v>131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f t="shared" si="40"/>
        <v>0</v>
      </c>
      <c r="T192" s="2">
        <f t="shared" si="41"/>
        <v>0</v>
      </c>
      <c r="U192" s="2">
        <f t="shared" si="30"/>
        <v>0</v>
      </c>
      <c r="V192" s="2">
        <f t="shared" si="31"/>
        <v>0</v>
      </c>
      <c r="W192" s="2">
        <f t="shared" si="32"/>
        <v>0</v>
      </c>
      <c r="X192" s="2">
        <f t="shared" si="33"/>
        <v>0</v>
      </c>
      <c r="Y192" s="2">
        <v>-280.95093000000003</v>
      </c>
      <c r="Z192" s="2">
        <v>-313.22107999999997</v>
      </c>
      <c r="AA192" s="2">
        <v>-223.6344</v>
      </c>
      <c r="AB192" s="2">
        <v>-189.17932999999999</v>
      </c>
      <c r="AC192" s="2">
        <v>-65.046819999999997</v>
      </c>
      <c r="AD192" s="2">
        <v>-59.749070000000003</v>
      </c>
      <c r="AE192" s="2">
        <v>5.5849999999999997E-2</v>
      </c>
      <c r="AF192" s="2">
        <v>0.58940999999999999</v>
      </c>
      <c r="AG192" s="2">
        <v>0</v>
      </c>
      <c r="AH192" s="2">
        <v>0</v>
      </c>
      <c r="AI192" s="2">
        <v>0</v>
      </c>
      <c r="AJ192" s="2">
        <v>0</v>
      </c>
      <c r="AK192" s="2">
        <f t="shared" si="34"/>
        <v>-817.80641000000003</v>
      </c>
      <c r="AL192" s="2">
        <f t="shared" si="35"/>
        <v>-313.97521999999998</v>
      </c>
      <c r="AM192" s="2">
        <f t="shared" si="36"/>
        <v>0.64525999999999994</v>
      </c>
      <c r="AN192" s="2">
        <f t="shared" si="37"/>
        <v>0</v>
      </c>
      <c r="AO192" s="2">
        <f t="shared" si="38"/>
        <v>0</v>
      </c>
      <c r="AP192" s="2">
        <f t="shared" si="39"/>
        <v>-1131.1363699999999</v>
      </c>
    </row>
    <row r="193" spans="1:42" hidden="1" x14ac:dyDescent="0.55000000000000004">
      <c r="A193" t="s">
        <v>92</v>
      </c>
      <c r="B193" s="4">
        <v>9940534232</v>
      </c>
      <c r="C193" t="s">
        <v>128</v>
      </c>
      <c r="D193" t="s">
        <v>84</v>
      </c>
      <c r="E193" t="s">
        <v>153</v>
      </c>
      <c r="F193" t="s">
        <v>133</v>
      </c>
      <c r="G193" s="2">
        <v>57.805396000000002</v>
      </c>
      <c r="H193" s="2">
        <v>13.410408</v>
      </c>
      <c r="I193" s="2">
        <v>13.410408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f t="shared" si="40"/>
        <v>84.62621200000001</v>
      </c>
      <c r="T193" s="2">
        <f t="shared" si="41"/>
        <v>0</v>
      </c>
      <c r="U193" s="2">
        <f t="shared" si="30"/>
        <v>0</v>
      </c>
      <c r="V193" s="2">
        <f t="shared" si="31"/>
        <v>0</v>
      </c>
      <c r="W193" s="2">
        <f t="shared" si="32"/>
        <v>0</v>
      </c>
      <c r="X193" s="2">
        <f t="shared" si="33"/>
        <v>84.62621200000001</v>
      </c>
      <c r="Y193" s="2">
        <v>35.597644000000003</v>
      </c>
      <c r="Z193" s="2">
        <v>-5.7931480000000004</v>
      </c>
      <c r="AA193" s="2">
        <v>6.3406120000000001</v>
      </c>
      <c r="AB193" s="2">
        <v>-0.15556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f t="shared" si="34"/>
        <v>36.145108</v>
      </c>
      <c r="AL193" s="2">
        <f t="shared" si="35"/>
        <v>-0.15556</v>
      </c>
      <c r="AM193" s="2">
        <f t="shared" si="36"/>
        <v>0</v>
      </c>
      <c r="AN193" s="2">
        <f t="shared" si="37"/>
        <v>0</v>
      </c>
      <c r="AO193" s="2">
        <f t="shared" si="38"/>
        <v>0</v>
      </c>
      <c r="AP193" s="2">
        <f t="shared" si="39"/>
        <v>35.989547999999999</v>
      </c>
    </row>
    <row r="194" spans="1:42" x14ac:dyDescent="0.55000000000000004">
      <c r="A194" t="s">
        <v>92</v>
      </c>
      <c r="B194" s="4">
        <v>9940572803</v>
      </c>
      <c r="C194" t="s">
        <v>65</v>
      </c>
      <c r="D194" t="s">
        <v>91</v>
      </c>
      <c r="E194" t="s">
        <v>150</v>
      </c>
      <c r="F194" t="s">
        <v>26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f t="shared" si="40"/>
        <v>0</v>
      </c>
      <c r="T194" s="2">
        <f t="shared" si="41"/>
        <v>0</v>
      </c>
      <c r="U194" s="2">
        <f t="shared" si="30"/>
        <v>0</v>
      </c>
      <c r="V194" s="2">
        <f t="shared" si="31"/>
        <v>0</v>
      </c>
      <c r="W194" s="2">
        <f t="shared" si="32"/>
        <v>0</v>
      </c>
      <c r="X194" s="2">
        <f t="shared" si="33"/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f t="shared" si="34"/>
        <v>0</v>
      </c>
      <c r="AL194" s="2">
        <f t="shared" si="35"/>
        <v>0</v>
      </c>
      <c r="AM194" s="2">
        <f t="shared" si="36"/>
        <v>0</v>
      </c>
      <c r="AN194" s="2">
        <f t="shared" si="37"/>
        <v>0</v>
      </c>
      <c r="AO194" s="2">
        <f t="shared" si="38"/>
        <v>0</v>
      </c>
      <c r="AP194" s="2">
        <f t="shared" si="39"/>
        <v>0</v>
      </c>
    </row>
    <row r="195" spans="1:42" x14ac:dyDescent="0.55000000000000004">
      <c r="A195" t="s">
        <v>92</v>
      </c>
      <c r="B195" s="4">
        <v>9940513403</v>
      </c>
      <c r="C195" t="s">
        <v>66</v>
      </c>
      <c r="D195" t="s">
        <v>77</v>
      </c>
      <c r="E195" t="s">
        <v>150</v>
      </c>
      <c r="F195" t="s">
        <v>26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f t="shared" si="40"/>
        <v>0</v>
      </c>
      <c r="T195" s="2">
        <f t="shared" si="41"/>
        <v>0</v>
      </c>
      <c r="U195" s="2">
        <f t="shared" si="30"/>
        <v>0</v>
      </c>
      <c r="V195" s="2">
        <f t="shared" si="31"/>
        <v>0</v>
      </c>
      <c r="W195" s="2">
        <f t="shared" si="32"/>
        <v>0</v>
      </c>
      <c r="X195" s="2">
        <f t="shared" si="33"/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f t="shared" si="34"/>
        <v>0</v>
      </c>
      <c r="AL195" s="2">
        <f t="shared" si="35"/>
        <v>0</v>
      </c>
      <c r="AM195" s="2">
        <f t="shared" si="36"/>
        <v>0</v>
      </c>
      <c r="AN195" s="2">
        <f t="shared" si="37"/>
        <v>0</v>
      </c>
      <c r="AO195" s="2">
        <f t="shared" si="38"/>
        <v>0</v>
      </c>
      <c r="AP195" s="2">
        <f t="shared" si="39"/>
        <v>0</v>
      </c>
    </row>
    <row r="196" spans="1:42" hidden="1" x14ac:dyDescent="0.55000000000000004">
      <c r="A196" t="s">
        <v>92</v>
      </c>
      <c r="B196" s="4">
        <v>9940569550</v>
      </c>
      <c r="C196" t="s">
        <v>69</v>
      </c>
      <c r="D196" t="s">
        <v>79</v>
      </c>
      <c r="E196" t="s">
        <v>152</v>
      </c>
      <c r="F196" t="s">
        <v>131</v>
      </c>
      <c r="G196" s="2">
        <v>7.7947360000000003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f t="shared" si="40"/>
        <v>7.7947360000000003</v>
      </c>
      <c r="T196" s="2">
        <f t="shared" si="41"/>
        <v>0</v>
      </c>
      <c r="U196" s="2">
        <f t="shared" ref="U196:U197" si="42">M196+N196+O196</f>
        <v>0</v>
      </c>
      <c r="V196" s="2">
        <f t="shared" ref="V196:V197" si="43">P196+Q196+R196</f>
        <v>0</v>
      </c>
      <c r="W196" s="2">
        <f t="shared" ref="W196:W197" si="44">Q196+R196</f>
        <v>0</v>
      </c>
      <c r="X196" s="2">
        <f t="shared" ref="X196:X197" si="45">S196+T196+U196+V196</f>
        <v>7.7947360000000003</v>
      </c>
      <c r="Y196" s="2">
        <v>7.7947319999999998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f t="shared" ref="AK196:AK197" si="46">Y196+Z196+AA196</f>
        <v>7.7947319999999998</v>
      </c>
      <c r="AL196" s="2">
        <f t="shared" ref="AL196:AL197" si="47">AB196+AC196+AD196</f>
        <v>0</v>
      </c>
      <c r="AM196" s="2">
        <f t="shared" ref="AM196:AM197" si="48">AE196+AF196+AG196</f>
        <v>0</v>
      </c>
      <c r="AN196" s="2">
        <f t="shared" ref="AN196:AN197" si="49">AH196+AI196+AJ196</f>
        <v>0</v>
      </c>
      <c r="AO196" s="2">
        <f t="shared" ref="AO196:AO197" si="50">AI196+AJ196</f>
        <v>0</v>
      </c>
      <c r="AP196" s="2">
        <f t="shared" ref="AP196:AP197" si="51">AK196+AL196+AM196+AN196</f>
        <v>7.7947319999999998</v>
      </c>
    </row>
    <row r="197" spans="1:42" hidden="1" x14ac:dyDescent="0.55000000000000004">
      <c r="A197" t="s">
        <v>92</v>
      </c>
      <c r="B197" s="4">
        <v>9940569550</v>
      </c>
      <c r="C197" t="s">
        <v>69</v>
      </c>
      <c r="D197" t="s">
        <v>79</v>
      </c>
      <c r="E197" t="s">
        <v>152</v>
      </c>
      <c r="F197" t="s">
        <v>26</v>
      </c>
      <c r="G197" s="2">
        <v>11.692104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f t="shared" si="40"/>
        <v>11.692104</v>
      </c>
      <c r="T197" s="2">
        <f t="shared" si="41"/>
        <v>0</v>
      </c>
      <c r="U197" s="2">
        <f t="shared" si="42"/>
        <v>0</v>
      </c>
      <c r="V197" s="2">
        <f t="shared" si="43"/>
        <v>0</v>
      </c>
      <c r="W197" s="2">
        <f t="shared" si="44"/>
        <v>0</v>
      </c>
      <c r="X197" s="2">
        <f t="shared" si="45"/>
        <v>11.692104</v>
      </c>
      <c r="Y197" s="2">
        <v>11.692098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f t="shared" si="46"/>
        <v>11.692098</v>
      </c>
      <c r="AL197" s="2">
        <f t="shared" si="47"/>
        <v>0</v>
      </c>
      <c r="AM197" s="2">
        <f t="shared" si="48"/>
        <v>0</v>
      </c>
      <c r="AN197" s="2">
        <f t="shared" si="49"/>
        <v>0</v>
      </c>
      <c r="AO197" s="2">
        <f t="shared" si="50"/>
        <v>0</v>
      </c>
      <c r="AP197" s="2">
        <f t="shared" si="51"/>
        <v>11.692098</v>
      </c>
    </row>
    <row r="198" spans="1:42" hidden="1" x14ac:dyDescent="0.55000000000000004">
      <c r="E198" t="s">
        <v>155</v>
      </c>
      <c r="AN198" s="2"/>
      <c r="AO198" s="2"/>
    </row>
  </sheetData>
  <autoFilter ref="A2:AP198" xr:uid="{0817A9BB-60E2-490F-8A5E-2E44393DCF79}">
    <filterColumn colId="4">
      <filters>
        <filter val="Digital Core"/>
      </filters>
    </filterColumn>
    <filterColumn colId="5">
      <filters>
        <filter val="SI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Gaspar, Liz</dc:creator>
  <cp:lastModifiedBy>Gallegos, Alejandro</cp:lastModifiedBy>
  <dcterms:created xsi:type="dcterms:W3CDTF">2026-07-07T15:56:01Z</dcterms:created>
  <dcterms:modified xsi:type="dcterms:W3CDTF">2026-07-08T13:09:23Z</dcterms:modified>
</cp:coreProperties>
</file>