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FEABB9DD79E0CF562BA6D0EA0DF8C2ED030BB4A6" xr6:coauthVersionLast="47" xr6:coauthVersionMax="47" xr10:uidLastSave="{8177D82B-5F36-410B-8B54-1452160B8FD7}"/>
  <bookViews>
    <workbookView xWindow="0" yWindow="0" windowWidth="0" windowHeight="0" activeTab="15" xr2:uid="{00000000-000D-0000-FFFF-FFFF00000000}"/>
  </bookViews>
  <sheets>
    <sheet name="Índice" sheetId="1" r:id="rId1"/>
    <sheet name="Dashboard_Ex" sheetId="2" r:id="rId2"/>
    <sheet name="BD_Onboarding" sheetId="3" r:id="rId3"/>
    <sheet name="BD_OnboardingSim" sheetId="4" r:id="rId4"/>
    <sheet name="Hoja 30" sheetId="5" r:id="rId5"/>
    <sheet name="BD_Operaciones" sheetId="6" r:id="rId6"/>
    <sheet name="BD_Ope" sheetId="7" r:id="rId7"/>
    <sheet name="BD_OpeSim" sheetId="8" r:id="rId8"/>
    <sheet name="EjercicioOpe" sheetId="9" state="hidden" r:id="rId9"/>
    <sheet name="BD_PostVenta" sheetId="10" r:id="rId10"/>
    <sheet name="Copia de BD_PostVenta" sheetId="11" state="hidden" r:id="rId11"/>
    <sheet name="BD_Datos" sheetId="12" state="hidden" r:id="rId12"/>
    <sheet name="Dashboard_Control" sheetId="13" state="hidden" r:id="rId13"/>
    <sheet name="BD_Inventario Fx &amp; Capacidades" sheetId="14" state="hidden" r:id="rId14"/>
    <sheet name="Consolidado Fx &amp; Capacidades Ap" sheetId="15" state="hidden" r:id="rId15"/>
    <sheet name="BD_MatrizCapacidades" sheetId="16" r:id="rId16"/>
    <sheet name="Glosario" sheetId="17" state="hidden" r:id="rId17"/>
  </sheets>
  <definedNames>
    <definedName name="_xlnm._FilterDatabase" localSheetId="2" hidden="1">BD_Onboarding!$A$1:$Z$81</definedName>
    <definedName name="_xlnm._FilterDatabase" localSheetId="3" hidden="1">BD_OnboardingSim!$A$1:$AB$81</definedName>
    <definedName name="_xlnm._FilterDatabase" localSheetId="5" hidden="1">BD_Operaciones!$A$2:$AZ$80</definedName>
    <definedName name="_xlnm._FilterDatabase" localSheetId="6" hidden="1">BD_Ope!$A$1:$Q$44</definedName>
    <definedName name="_xlnm._FilterDatabase" localSheetId="7" hidden="1">BD_OpeSim!$A$1:$E$26</definedName>
    <definedName name="_xlnm._FilterDatabase" localSheetId="13" hidden="1">'BD_Inventario Fx &amp; Capacidades'!$A$2:$AF$162</definedName>
    <definedName name="Z_43C74F61_3695_48F6_921B_FC7E9F2F288E_.wvu.FilterData" localSheetId="5" hidden="1">BD_Operaciones!$A$2:$AZ$80</definedName>
    <definedName name="Z_43C74F61_3695_48F6_921B_FC7E9F2F288E_.wvu.FilterData" localSheetId="9" hidden="1">BD_PostVenta!$A$2:$W$27</definedName>
    <definedName name="Z_43C74F61_3695_48F6_921B_FC7E9F2F288E_.wvu.FilterData" localSheetId="10" hidden="1">'Copia de BD_PostVenta'!$A$2:$AA$27</definedName>
    <definedName name="Z_4555EE6F_2362_48F4_8152_FB35C89F66D3_.wvu.FilterData" localSheetId="2" hidden="1">BD_Onboarding!$A$2:$AZ$86</definedName>
    <definedName name="Z_4555EE6F_2362_48F4_8152_FB35C89F66D3_.wvu.FilterData" localSheetId="3" hidden="1">BD_OnboardingSim!$A$2:$BB$86</definedName>
    <definedName name="Z_4555EE6F_2362_48F4_8152_FB35C89F66D3_.wvu.FilterData" localSheetId="5" hidden="1">BD_Operaciones!$A$2:$AZ$80</definedName>
    <definedName name="Z_4555EE6F_2362_48F4_8152_FB35C89F66D3_.wvu.FilterData" localSheetId="9" hidden="1">BD_PostVenta!$A$1:$W$33</definedName>
    <definedName name="Z_4555EE6F_2362_48F4_8152_FB35C89F66D3_.wvu.FilterData" localSheetId="10" hidden="1">'Copia de BD_PostVenta'!$A$1:$AA$27</definedName>
    <definedName name="Z_547D9B4D_E646_4DE4_89E3_7402CE505ED6_.wvu.FilterData" localSheetId="5" hidden="1">BD_Operaciones!$A$1:$Z$80</definedName>
    <definedName name="Z_547D9B4D_E646_4DE4_89E3_7402CE505ED6_.wvu.FilterData" localSheetId="9" hidden="1">BD_PostVenta!$A$1:$W$33</definedName>
    <definedName name="Z_547D9B4D_E646_4DE4_89E3_7402CE505ED6_.wvu.FilterData" localSheetId="10" hidden="1">'Copia de BD_PostVenta'!$A$1:$AA$27</definedName>
    <definedName name="Z_7EAC52BE_AB17_44E6_8B34_241C0D096AFE_.wvu.FilterData" localSheetId="5" hidden="1">BD_Operaciones!$A$2:$AZ$80</definedName>
    <definedName name="Z_7EAC52BE_AB17_44E6_8B34_241C0D096AFE_.wvu.FilterData" localSheetId="9" hidden="1">BD_PostVenta!$A$1:$W$33</definedName>
    <definedName name="Z_7EAC52BE_AB17_44E6_8B34_241C0D096AFE_.wvu.FilterData" localSheetId="10" hidden="1">'Copia de BD_PostVenta'!$A$1:$AA$27</definedName>
    <definedName name="Z_8DFCF9F4_226C_4943_87CB_E49A587DAFFE_.wvu.FilterData" localSheetId="2" hidden="1">BD_Onboarding!$A$1:$Z$81</definedName>
    <definedName name="Z_8DFCF9F4_226C_4943_87CB_E49A587DAFFE_.wvu.FilterData" localSheetId="3" hidden="1">BD_OnboardingSim!$A$1:$AB$81</definedName>
    <definedName name="Z_8DFCF9F4_226C_4943_87CB_E49A587DAFFE_.wvu.FilterData" localSheetId="7" hidden="1">BD_OpeSim!$A$1:$E$26</definedName>
    <definedName name="Z_8DFCF9F4_226C_4943_87CB_E49A587DAFFE_.wvu.FilterData" localSheetId="5" hidden="1">BD_Operaciones!$A$1:$Z$80</definedName>
    <definedName name="Z_8DFCF9F4_226C_4943_87CB_E49A587DAFFE_.wvu.FilterData" localSheetId="9" hidden="1">BD_PostVenta!$A$2:$BC$27</definedName>
    <definedName name="Z_8DFCF9F4_226C_4943_87CB_E49A587DAFFE_.wvu.FilterData" localSheetId="10" hidden="1">'Copia de BD_PostVenta'!$A$2:$BG$27</definedName>
    <definedName name="Z_A27FCDC5_7847_4B1F_80EC_EB56859AFF4C_.wvu.FilterData" localSheetId="5" hidden="1">BD_Operaciones!$A$2:$AZ$102</definedName>
    <definedName name="Z_A27FCDC5_7847_4B1F_80EC_EB56859AFF4C_.wvu.FilterData" localSheetId="9" hidden="1">BD_PostVenta!$A$2:$AW$28</definedName>
    <definedName name="Z_A27FCDC5_7847_4B1F_80EC_EB56859AFF4C_.wvu.FilterData" localSheetId="10" hidden="1">'Copia de BD_PostVenta'!$A$2:$BA$28</definedName>
    <definedName name="Z_B55D5AC0_2DCD_4393_87D1_9D8120E31AB8_.wvu.FilterData" localSheetId="2" hidden="1">BD_Onboarding!$AB$2:$AC$81</definedName>
    <definedName name="Z_B55D5AC0_2DCD_4393_87D1_9D8120E31AB8_.wvu.FilterData" localSheetId="3" hidden="1">BD_OnboardingSim!$AD$2:$AE$81</definedName>
    <definedName name="Z_B55D5AC0_2DCD_4393_87D1_9D8120E31AB8_.wvu.FilterData" localSheetId="5" hidden="1">BD_Operaciones!$A$1:$Z$80</definedName>
    <definedName name="Z_B55D5AC0_2DCD_4393_87D1_9D8120E31AB8_.wvu.FilterData" localSheetId="9" hidden="1">BD_PostVenta!$A$2:$AW$27</definedName>
    <definedName name="Z_B55D5AC0_2DCD_4393_87D1_9D8120E31AB8_.wvu.FilterData" localSheetId="10" hidden="1">'Copia de BD_PostVenta'!$A$2:$BA$27</definedName>
  </definedNames>
  <calcPr calcId="191028"/>
  <customWorkbookViews>
    <customWorkbookView name="Filtro 5" guid="{547D9B4D-E646-4DE4-89E3-7402CE505ED6}" maximized="1" windowWidth="0" windowHeight="0" activeSheetId="0"/>
    <customWorkbookView name="Filtro 3" guid="{4555EE6F-2362-48F4-8152-FB35C89F66D3}" maximized="1" windowWidth="0" windowHeight="0" activeSheetId="0"/>
    <customWorkbookView name="Filtro 6" guid="{43C74F61-3695-48F6-921B-FC7E9F2F288E}" maximized="1" windowWidth="0" windowHeight="0" activeSheetId="0"/>
    <customWorkbookView name="Filtro 4" guid="{7EAC52BE-AB17-44E6-8B34-241C0D096AFE}" maximized="1" windowWidth="0" windowHeight="0" activeSheetId="0"/>
    <customWorkbookView name="Filtro 2" guid="{B55D5AC0-2DCD-4393-87D1-9D8120E31AB8}" maximized="1" windowWidth="0" windowHeight="0" activeSheetId="0"/>
    <customWorkbookView name="Filtro P" guid="{A27FCDC5-7847-4B1F-80EC-EB56859AFF4C}" maximized="1" windowWidth="0" windowHeight="0" activeSheetId="0"/>
    <customWorkbookView name="Filtro 1" guid="{8DFCF9F4-226C-4943-87CB-E49A587DAFF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9" i="15" l="1"/>
  <c r="R49" i="15"/>
  <c r="Q49" i="15"/>
  <c r="L49" i="15"/>
  <c r="K49" i="15"/>
  <c r="J49" i="15"/>
  <c r="E49" i="15"/>
  <c r="D49" i="15"/>
  <c r="C49" i="15"/>
  <c r="S45" i="15"/>
  <c r="R45" i="15"/>
  <c r="Q45" i="15"/>
  <c r="L45" i="15"/>
  <c r="K45" i="15"/>
  <c r="J45" i="15"/>
  <c r="E45" i="15"/>
  <c r="D45" i="15"/>
  <c r="C45" i="15"/>
  <c r="Q41" i="15"/>
  <c r="J41" i="15"/>
  <c r="C41" i="15"/>
  <c r="R37" i="15"/>
  <c r="Q37" i="15"/>
  <c r="K37" i="15"/>
  <c r="J37" i="15"/>
  <c r="D37" i="15"/>
  <c r="C37" i="15"/>
  <c r="T25" i="15"/>
  <c r="S25" i="15"/>
  <c r="R25" i="15"/>
  <c r="Q25" i="15"/>
  <c r="M25" i="15"/>
  <c r="L25" i="15"/>
  <c r="K25" i="15"/>
  <c r="J25" i="15"/>
  <c r="F25" i="15"/>
  <c r="E25" i="15"/>
  <c r="D25" i="15"/>
  <c r="C25" i="15"/>
  <c r="S21" i="15"/>
  <c r="R21" i="15"/>
  <c r="Q21" i="15"/>
  <c r="L21" i="15"/>
  <c r="K21" i="15"/>
  <c r="J21" i="15"/>
  <c r="E21" i="15"/>
  <c r="D21" i="15"/>
  <c r="C21" i="15"/>
  <c r="Q18" i="15"/>
  <c r="J18" i="15"/>
  <c r="C18" i="15"/>
  <c r="V17" i="15"/>
  <c r="U17" i="15"/>
  <c r="T17" i="15"/>
  <c r="S17" i="15"/>
  <c r="R17" i="15"/>
  <c r="Q17" i="15"/>
  <c r="O17" i="15"/>
  <c r="N17" i="15"/>
  <c r="M17" i="15"/>
  <c r="L17" i="15"/>
  <c r="K17" i="15"/>
  <c r="J17" i="15"/>
  <c r="H17" i="15"/>
  <c r="G17" i="15"/>
  <c r="F17" i="15"/>
  <c r="E17" i="15"/>
  <c r="D17" i="15"/>
  <c r="C17" i="15"/>
  <c r="U14" i="15"/>
  <c r="T14" i="15"/>
  <c r="S14" i="15"/>
  <c r="R14" i="15"/>
  <c r="Q14" i="15"/>
  <c r="N14" i="15"/>
  <c r="M14" i="15"/>
  <c r="L14" i="15"/>
  <c r="K14" i="15"/>
  <c r="J14" i="15"/>
  <c r="G14" i="15"/>
  <c r="F14" i="15"/>
  <c r="E14" i="15"/>
  <c r="D14" i="15"/>
  <c r="C14" i="15"/>
  <c r="V13" i="15"/>
  <c r="U13" i="15"/>
  <c r="T13" i="15"/>
  <c r="S13" i="15"/>
  <c r="R13" i="15"/>
  <c r="Q13" i="15"/>
  <c r="O13" i="15"/>
  <c r="N13" i="15"/>
  <c r="M13" i="15"/>
  <c r="L13" i="15"/>
  <c r="K13" i="15"/>
  <c r="J13" i="15"/>
  <c r="H13" i="15"/>
  <c r="G13" i="15"/>
  <c r="F13" i="15"/>
  <c r="E13" i="15"/>
  <c r="D13" i="15"/>
  <c r="C13" i="15"/>
  <c r="V12" i="15"/>
  <c r="U12" i="15"/>
  <c r="T12" i="15"/>
  <c r="S12" i="15"/>
  <c r="R12" i="15"/>
  <c r="Q12" i="15"/>
  <c r="O12" i="15"/>
  <c r="N12" i="15"/>
  <c r="M12" i="15"/>
  <c r="L12" i="15"/>
  <c r="K12" i="15"/>
  <c r="J12" i="15"/>
  <c r="H12" i="15"/>
  <c r="G12" i="15"/>
  <c r="F12" i="15"/>
  <c r="E12" i="15"/>
  <c r="D12" i="15"/>
  <c r="C12" i="15"/>
  <c r="T9" i="15"/>
  <c r="S9" i="15"/>
  <c r="R9" i="15"/>
  <c r="Q9" i="15"/>
  <c r="M9" i="15"/>
  <c r="L9" i="15"/>
  <c r="K9" i="15"/>
  <c r="J9" i="15"/>
  <c r="F9" i="15"/>
  <c r="E9" i="15"/>
  <c r="D9" i="15"/>
  <c r="C9" i="15"/>
  <c r="V8" i="15"/>
  <c r="U8" i="15"/>
  <c r="T8" i="15"/>
  <c r="S8" i="15"/>
  <c r="R8" i="15"/>
  <c r="Q8" i="15"/>
  <c r="O8" i="15"/>
  <c r="N8" i="15"/>
  <c r="M8" i="15"/>
  <c r="L8" i="15"/>
  <c r="K8" i="15"/>
  <c r="J8" i="15"/>
  <c r="H8" i="15"/>
  <c r="G8" i="15"/>
  <c r="F8" i="15"/>
  <c r="E8" i="15"/>
  <c r="D8" i="15"/>
  <c r="C8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H7" i="15"/>
  <c r="G7" i="15"/>
  <c r="F7" i="15"/>
  <c r="E7" i="15"/>
  <c r="D7" i="15"/>
  <c r="C7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H6" i="15"/>
  <c r="G6" i="15"/>
  <c r="F6" i="15"/>
  <c r="E6" i="15"/>
  <c r="D6" i="15"/>
  <c r="C6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H5" i="15"/>
  <c r="G5" i="15"/>
  <c r="F5" i="15"/>
  <c r="E5" i="15"/>
  <c r="D5" i="15"/>
  <c r="C5" i="15"/>
  <c r="G33" i="13"/>
  <c r="H32" i="13"/>
  <c r="G32" i="13"/>
  <c r="F32" i="13"/>
  <c r="E32" i="13"/>
  <c r="D32" i="13"/>
  <c r="C32" i="13"/>
  <c r="H31" i="13"/>
  <c r="G31" i="13"/>
  <c r="F31" i="13"/>
  <c r="E31" i="13"/>
  <c r="D31" i="13"/>
  <c r="C31" i="13"/>
  <c r="H30" i="13"/>
  <c r="G30" i="13"/>
  <c r="F30" i="13"/>
  <c r="E30" i="13"/>
  <c r="D30" i="13"/>
  <c r="C30" i="13"/>
  <c r="R29" i="13"/>
  <c r="Q29" i="13"/>
  <c r="P29" i="13"/>
  <c r="O29" i="13"/>
  <c r="N29" i="13"/>
  <c r="M29" i="13"/>
  <c r="L29" i="13"/>
  <c r="J29" i="13"/>
  <c r="H29" i="13"/>
  <c r="G29" i="13"/>
  <c r="F29" i="13"/>
  <c r="F33" i="13" s="1"/>
  <c r="E29" i="13"/>
  <c r="E33" i="13" s="1"/>
  <c r="D29" i="13"/>
  <c r="D33" i="13" s="1"/>
  <c r="C29" i="13"/>
  <c r="C33" i="13" s="1"/>
  <c r="G27" i="13"/>
  <c r="G26" i="13"/>
  <c r="F26" i="13"/>
  <c r="E26" i="13"/>
  <c r="G25" i="13"/>
  <c r="E25" i="13"/>
  <c r="H24" i="13"/>
  <c r="I24" i="13" s="1"/>
  <c r="F24" i="13"/>
  <c r="E24" i="13"/>
  <c r="D24" i="13"/>
  <c r="C24" i="13"/>
  <c r="R23" i="13"/>
  <c r="E23" i="13"/>
  <c r="E27" i="13" s="1"/>
  <c r="H20" i="13"/>
  <c r="F20" i="13"/>
  <c r="F38" i="13" s="1"/>
  <c r="E20" i="13"/>
  <c r="E38" i="13" s="1"/>
  <c r="D20" i="13"/>
  <c r="C20" i="13"/>
  <c r="H19" i="13"/>
  <c r="F19" i="13"/>
  <c r="E19" i="13"/>
  <c r="E37" i="13" s="1"/>
  <c r="D19" i="13"/>
  <c r="C19" i="13"/>
  <c r="G18" i="13"/>
  <c r="E18" i="13"/>
  <c r="E36" i="13" s="1"/>
  <c r="P17" i="13"/>
  <c r="P35" i="13" s="1"/>
  <c r="O17" i="13"/>
  <c r="O35" i="13" s="1"/>
  <c r="N17" i="13"/>
  <c r="N35" i="13" s="1"/>
  <c r="M17" i="13"/>
  <c r="M35" i="13" s="1"/>
  <c r="E17" i="13"/>
  <c r="L9" i="13"/>
  <c r="K9" i="13"/>
  <c r="F9" i="13"/>
  <c r="E9" i="13"/>
  <c r="D9" i="13"/>
  <c r="L8" i="13"/>
  <c r="K8" i="13"/>
  <c r="F8" i="13"/>
  <c r="E8" i="13"/>
  <c r="D8" i="13"/>
  <c r="L7" i="13"/>
  <c r="K7" i="13"/>
  <c r="F7" i="13"/>
  <c r="E7" i="13"/>
  <c r="D7" i="13"/>
  <c r="L6" i="13"/>
  <c r="K6" i="13"/>
  <c r="F6" i="13"/>
  <c r="E6" i="13"/>
  <c r="D6" i="13"/>
  <c r="L5" i="13"/>
  <c r="K5" i="13"/>
  <c r="F5" i="13"/>
  <c r="E5" i="13"/>
  <c r="D5" i="13"/>
  <c r="L4" i="13"/>
  <c r="K4" i="13"/>
  <c r="F4" i="13"/>
  <c r="E4" i="13"/>
  <c r="D4" i="13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K33" i="11"/>
  <c r="K35" i="11" s="1"/>
  <c r="BA27" i="11"/>
  <c r="AZ27" i="11"/>
  <c r="AY27" i="11"/>
  <c r="AX27" i="11"/>
  <c r="AW27" i="11"/>
  <c r="AU27" i="11"/>
  <c r="AT27" i="11"/>
  <c r="AS27" i="11"/>
  <c r="AR27" i="11"/>
  <c r="AQ27" i="11"/>
  <c r="AN27" i="11"/>
  <c r="AM27" i="11"/>
  <c r="AL27" i="11"/>
  <c r="AI27" i="11"/>
  <c r="AH27" i="11"/>
  <c r="AG27" i="11"/>
  <c r="AE27" i="11"/>
  <c r="AD27" i="11"/>
  <c r="AC27" i="11"/>
  <c r="BA26" i="11"/>
  <c r="AZ26" i="11"/>
  <c r="AY26" i="11"/>
  <c r="AX26" i="11"/>
  <c r="AW26" i="11"/>
  <c r="AU26" i="11"/>
  <c r="AT26" i="11"/>
  <c r="AS26" i="11"/>
  <c r="AR26" i="11"/>
  <c r="AQ26" i="11"/>
  <c r="AN26" i="11"/>
  <c r="AM26" i="11"/>
  <c r="AL26" i="11"/>
  <c r="AI26" i="11"/>
  <c r="AH26" i="11"/>
  <c r="AG26" i="11"/>
  <c r="AE26" i="11"/>
  <c r="AD26" i="11"/>
  <c r="AC26" i="11"/>
  <c r="BA25" i="11"/>
  <c r="AZ25" i="11"/>
  <c r="AY25" i="11"/>
  <c r="AX25" i="11"/>
  <c r="AW25" i="11"/>
  <c r="AU25" i="11"/>
  <c r="AT25" i="11"/>
  <c r="AS25" i="11"/>
  <c r="AR25" i="11"/>
  <c r="AQ25" i="11"/>
  <c r="AN25" i="11"/>
  <c r="AM25" i="11"/>
  <c r="AL25" i="11"/>
  <c r="AI25" i="11"/>
  <c r="AH25" i="11"/>
  <c r="AG25" i="11"/>
  <c r="AE25" i="11"/>
  <c r="AD25" i="11"/>
  <c r="AC25" i="11"/>
  <c r="BA24" i="11"/>
  <c r="AZ24" i="11"/>
  <c r="AY24" i="11"/>
  <c r="AX24" i="11"/>
  <c r="AW24" i="11"/>
  <c r="AU24" i="11"/>
  <c r="AT24" i="11"/>
  <c r="AS24" i="11"/>
  <c r="AR24" i="11"/>
  <c r="AQ24" i="11"/>
  <c r="AN24" i="11"/>
  <c r="AM24" i="11"/>
  <c r="AL24" i="11"/>
  <c r="AI24" i="11"/>
  <c r="AH24" i="11"/>
  <c r="AG24" i="11"/>
  <c r="AE24" i="11"/>
  <c r="AD24" i="11"/>
  <c r="AC24" i="11"/>
  <c r="BA23" i="11"/>
  <c r="AZ23" i="11"/>
  <c r="AY23" i="11"/>
  <c r="AX23" i="11"/>
  <c r="AW23" i="11"/>
  <c r="AU23" i="11"/>
  <c r="AT23" i="11"/>
  <c r="AS23" i="11"/>
  <c r="AR23" i="11"/>
  <c r="AQ23" i="11"/>
  <c r="AN23" i="11"/>
  <c r="AM23" i="11"/>
  <c r="AL23" i="11"/>
  <c r="AI23" i="11"/>
  <c r="AH23" i="11"/>
  <c r="AG23" i="11"/>
  <c r="AE23" i="11"/>
  <c r="AD23" i="11"/>
  <c r="AC23" i="11"/>
  <c r="BA22" i="11"/>
  <c r="AZ22" i="11"/>
  <c r="AY22" i="11"/>
  <c r="AX22" i="11"/>
  <c r="AW22" i="11"/>
  <c r="AU22" i="11"/>
  <c r="AT22" i="11"/>
  <c r="AS22" i="11"/>
  <c r="AR22" i="11"/>
  <c r="AQ22" i="11"/>
  <c r="AN22" i="11"/>
  <c r="AM22" i="11"/>
  <c r="AL22" i="11"/>
  <c r="AI22" i="11"/>
  <c r="AH22" i="11"/>
  <c r="AG22" i="11"/>
  <c r="AE22" i="11"/>
  <c r="AD22" i="11"/>
  <c r="AC22" i="11"/>
  <c r="BA21" i="11"/>
  <c r="AZ21" i="11"/>
  <c r="AY21" i="11"/>
  <c r="AX21" i="11"/>
  <c r="AW21" i="11"/>
  <c r="AU21" i="11"/>
  <c r="AT21" i="11"/>
  <c r="AS21" i="11"/>
  <c r="AR21" i="11"/>
  <c r="AQ21" i="11"/>
  <c r="AN21" i="11"/>
  <c r="AM21" i="11"/>
  <c r="AL21" i="11"/>
  <c r="AI21" i="11"/>
  <c r="AH21" i="11"/>
  <c r="AG21" i="11"/>
  <c r="AE21" i="11"/>
  <c r="AD21" i="11"/>
  <c r="AC21" i="11"/>
  <c r="BA20" i="11"/>
  <c r="AZ20" i="11"/>
  <c r="AY20" i="11"/>
  <c r="AX20" i="11"/>
  <c r="AW20" i="11"/>
  <c r="AU20" i="11"/>
  <c r="AT20" i="11"/>
  <c r="AS20" i="11"/>
  <c r="AR20" i="11"/>
  <c r="AQ20" i="11"/>
  <c r="AN20" i="11"/>
  <c r="AM20" i="11"/>
  <c r="AL20" i="11"/>
  <c r="AI20" i="11"/>
  <c r="AH20" i="11"/>
  <c r="AG20" i="11"/>
  <c r="AE20" i="11"/>
  <c r="AD20" i="11"/>
  <c r="AC20" i="11"/>
  <c r="BA19" i="11"/>
  <c r="AZ19" i="11"/>
  <c r="AY19" i="11"/>
  <c r="AX19" i="11"/>
  <c r="AW19" i="11"/>
  <c r="AU19" i="11"/>
  <c r="AT19" i="11"/>
  <c r="AS19" i="11"/>
  <c r="AR19" i="11"/>
  <c r="AQ19" i="11"/>
  <c r="AN19" i="11"/>
  <c r="AM19" i="11"/>
  <c r="AL19" i="11"/>
  <c r="AI19" i="11"/>
  <c r="AH19" i="11"/>
  <c r="AG19" i="11"/>
  <c r="AE19" i="11"/>
  <c r="AD19" i="11"/>
  <c r="AC19" i="11"/>
  <c r="BA18" i="11"/>
  <c r="AZ18" i="11"/>
  <c r="AY18" i="11"/>
  <c r="AX18" i="11"/>
  <c r="AW18" i="11"/>
  <c r="AU18" i="11"/>
  <c r="AT18" i="11"/>
  <c r="AS18" i="11"/>
  <c r="AR18" i="11"/>
  <c r="AQ18" i="11"/>
  <c r="AN18" i="11"/>
  <c r="AM18" i="11"/>
  <c r="AL18" i="11"/>
  <c r="AI18" i="11"/>
  <c r="AH18" i="11"/>
  <c r="AG18" i="11"/>
  <c r="AE18" i="11"/>
  <c r="AD18" i="11"/>
  <c r="AC18" i="11"/>
  <c r="BA17" i="11"/>
  <c r="AZ17" i="11"/>
  <c r="AY17" i="11"/>
  <c r="AX17" i="11"/>
  <c r="AW17" i="11"/>
  <c r="AU17" i="11"/>
  <c r="AT17" i="11"/>
  <c r="AS17" i="11"/>
  <c r="AR17" i="11"/>
  <c r="AQ17" i="11"/>
  <c r="AN17" i="11"/>
  <c r="AM17" i="11"/>
  <c r="AL17" i="11"/>
  <c r="AI17" i="11"/>
  <c r="AH17" i="11"/>
  <c r="AG17" i="11"/>
  <c r="AE17" i="11"/>
  <c r="AD17" i="11"/>
  <c r="AC17" i="11"/>
  <c r="BA16" i="11"/>
  <c r="AZ16" i="11"/>
  <c r="AY16" i="11"/>
  <c r="AX16" i="11"/>
  <c r="AW16" i="11"/>
  <c r="AU16" i="11"/>
  <c r="AT16" i="11"/>
  <c r="AS16" i="11"/>
  <c r="AR16" i="11"/>
  <c r="AQ16" i="11"/>
  <c r="AN16" i="11"/>
  <c r="AM16" i="11"/>
  <c r="AL16" i="11"/>
  <c r="AI16" i="11"/>
  <c r="AH16" i="11"/>
  <c r="AG16" i="11"/>
  <c r="AE16" i="11"/>
  <c r="AD16" i="11"/>
  <c r="AC16" i="11"/>
  <c r="BA15" i="11"/>
  <c r="AZ15" i="11"/>
  <c r="AY15" i="11"/>
  <c r="AX15" i="11"/>
  <c r="AW15" i="11"/>
  <c r="AU15" i="11"/>
  <c r="AT15" i="11"/>
  <c r="AS15" i="11"/>
  <c r="AR15" i="11"/>
  <c r="AQ15" i="11"/>
  <c r="AN15" i="11"/>
  <c r="AM15" i="11"/>
  <c r="AL15" i="11"/>
  <c r="AI15" i="11"/>
  <c r="AH15" i="11"/>
  <c r="AG15" i="11"/>
  <c r="AE15" i="11"/>
  <c r="AD15" i="11"/>
  <c r="AC15" i="11"/>
  <c r="BA14" i="11"/>
  <c r="AZ14" i="11"/>
  <c r="AY14" i="11"/>
  <c r="AX14" i="11"/>
  <c r="AW14" i="11"/>
  <c r="AU14" i="11"/>
  <c r="AT14" i="11"/>
  <c r="AS14" i="11"/>
  <c r="AR14" i="11"/>
  <c r="AQ14" i="11"/>
  <c r="AN14" i="11"/>
  <c r="AM14" i="11"/>
  <c r="AL14" i="11"/>
  <c r="AI14" i="11"/>
  <c r="AH14" i="11"/>
  <c r="AG14" i="11"/>
  <c r="AE14" i="11"/>
  <c r="AD14" i="11"/>
  <c r="AC14" i="11"/>
  <c r="BA13" i="11"/>
  <c r="AZ13" i="11"/>
  <c r="AY13" i="11"/>
  <c r="AX13" i="11"/>
  <c r="AW13" i="11"/>
  <c r="AU13" i="11"/>
  <c r="AT13" i="11"/>
  <c r="AS13" i="11"/>
  <c r="AR13" i="11"/>
  <c r="AQ13" i="11"/>
  <c r="AN13" i="11"/>
  <c r="AM13" i="11"/>
  <c r="AL13" i="11"/>
  <c r="AI13" i="11"/>
  <c r="AH13" i="11"/>
  <c r="AG13" i="11"/>
  <c r="AE13" i="11"/>
  <c r="AD13" i="11"/>
  <c r="AC13" i="11"/>
  <c r="BA12" i="11"/>
  <c r="AZ12" i="11"/>
  <c r="AY12" i="11"/>
  <c r="AX12" i="11"/>
  <c r="AW12" i="11"/>
  <c r="AU12" i="11"/>
  <c r="AT12" i="11"/>
  <c r="AS12" i="11"/>
  <c r="AR12" i="11"/>
  <c r="AQ12" i="11"/>
  <c r="AN12" i="11"/>
  <c r="AM12" i="11"/>
  <c r="AL12" i="11"/>
  <c r="AI12" i="11"/>
  <c r="AH12" i="11"/>
  <c r="AG12" i="11"/>
  <c r="AE12" i="11"/>
  <c r="AD12" i="11"/>
  <c r="AC12" i="11"/>
  <c r="BA11" i="11"/>
  <c r="AZ11" i="11"/>
  <c r="AY11" i="11"/>
  <c r="AX11" i="11"/>
  <c r="AW11" i="11"/>
  <c r="AU11" i="11"/>
  <c r="AT11" i="11"/>
  <c r="AS11" i="11"/>
  <c r="AR11" i="11"/>
  <c r="AQ11" i="11"/>
  <c r="AN11" i="11"/>
  <c r="AM11" i="11"/>
  <c r="AL11" i="11"/>
  <c r="AI11" i="11"/>
  <c r="AH11" i="11"/>
  <c r="AG11" i="11"/>
  <c r="AE11" i="11"/>
  <c r="AD11" i="11"/>
  <c r="AC11" i="11"/>
  <c r="L11" i="11"/>
  <c r="BA10" i="11"/>
  <c r="AZ10" i="11"/>
  <c r="AY10" i="11"/>
  <c r="AX10" i="11"/>
  <c r="AW10" i="11"/>
  <c r="AU10" i="11"/>
  <c r="AT10" i="11"/>
  <c r="AS10" i="11"/>
  <c r="AR10" i="11"/>
  <c r="AQ10" i="11"/>
  <c r="AN10" i="11"/>
  <c r="AM10" i="11"/>
  <c r="AL10" i="11"/>
  <c r="AI10" i="11"/>
  <c r="AH10" i="11"/>
  <c r="AG10" i="11"/>
  <c r="AE10" i="11"/>
  <c r="AD10" i="11"/>
  <c r="AC10" i="11"/>
  <c r="L10" i="11"/>
  <c r="BA9" i="11"/>
  <c r="AZ9" i="11"/>
  <c r="AY9" i="11"/>
  <c r="AX9" i="11"/>
  <c r="AW9" i="11"/>
  <c r="AU9" i="11"/>
  <c r="AT9" i="11"/>
  <c r="AS9" i="11"/>
  <c r="AR9" i="11"/>
  <c r="AQ9" i="11"/>
  <c r="AN9" i="11"/>
  <c r="AM9" i="11"/>
  <c r="AL9" i="11"/>
  <c r="AI9" i="11"/>
  <c r="AH9" i="11"/>
  <c r="AG9" i="11"/>
  <c r="AE9" i="11"/>
  <c r="AD9" i="11"/>
  <c r="AC9" i="11"/>
  <c r="L9" i="11"/>
  <c r="BA8" i="11"/>
  <c r="AZ8" i="11"/>
  <c r="AY8" i="11"/>
  <c r="AX8" i="11"/>
  <c r="AW8" i="11"/>
  <c r="AU8" i="11"/>
  <c r="AT8" i="11"/>
  <c r="AS8" i="11"/>
  <c r="AR8" i="11"/>
  <c r="AQ8" i="11"/>
  <c r="AN8" i="11"/>
  <c r="AM8" i="11"/>
  <c r="AL8" i="11"/>
  <c r="AI8" i="11"/>
  <c r="AH8" i="11"/>
  <c r="AG8" i="11"/>
  <c r="AE8" i="11"/>
  <c r="AD8" i="11"/>
  <c r="AC8" i="11"/>
  <c r="L8" i="11"/>
  <c r="BA7" i="11"/>
  <c r="AZ7" i="11"/>
  <c r="AY7" i="11"/>
  <c r="AX7" i="11"/>
  <c r="AW7" i="11"/>
  <c r="AU7" i="11"/>
  <c r="AT7" i="11"/>
  <c r="AS7" i="11"/>
  <c r="AR7" i="11"/>
  <c r="AQ7" i="11"/>
  <c r="AN7" i="11"/>
  <c r="AM7" i="11"/>
  <c r="AL7" i="11"/>
  <c r="AI7" i="11"/>
  <c r="AH7" i="11"/>
  <c r="AG7" i="11"/>
  <c r="AE7" i="11"/>
  <c r="AD7" i="11"/>
  <c r="AC7" i="11"/>
  <c r="L7" i="11"/>
  <c r="BA6" i="11"/>
  <c r="AZ6" i="11"/>
  <c r="AY6" i="11"/>
  <c r="AX6" i="11"/>
  <c r="AW6" i="11"/>
  <c r="AU6" i="11"/>
  <c r="AT6" i="11"/>
  <c r="AS6" i="11"/>
  <c r="AR6" i="11"/>
  <c r="AQ6" i="11"/>
  <c r="AN6" i="11"/>
  <c r="AM6" i="11"/>
  <c r="AL6" i="11"/>
  <c r="AI6" i="11"/>
  <c r="AH6" i="11"/>
  <c r="AG6" i="11"/>
  <c r="AE6" i="11"/>
  <c r="AD6" i="11"/>
  <c r="AC6" i="11"/>
  <c r="L6" i="11"/>
  <c r="BA5" i="11"/>
  <c r="AZ5" i="11"/>
  <c r="AY5" i="11"/>
  <c r="AX5" i="11"/>
  <c r="AW5" i="11"/>
  <c r="AU5" i="11"/>
  <c r="AT5" i="11"/>
  <c r="AS5" i="11"/>
  <c r="AR5" i="11"/>
  <c r="AQ5" i="11"/>
  <c r="AN5" i="11"/>
  <c r="AM5" i="11"/>
  <c r="AL5" i="11"/>
  <c r="AI5" i="11"/>
  <c r="AH5" i="11"/>
  <c r="AG5" i="11"/>
  <c r="AE5" i="11"/>
  <c r="AD5" i="11"/>
  <c r="AC5" i="11"/>
  <c r="L5" i="11"/>
  <c r="BA4" i="11"/>
  <c r="AZ4" i="11"/>
  <c r="AY4" i="11"/>
  <c r="AX4" i="11"/>
  <c r="AW4" i="11"/>
  <c r="AU4" i="11"/>
  <c r="AT4" i="11"/>
  <c r="AS4" i="11"/>
  <c r="AR4" i="11"/>
  <c r="AQ4" i="11"/>
  <c r="AN4" i="11"/>
  <c r="AM4" i="11"/>
  <c r="AL4" i="11"/>
  <c r="AI4" i="11"/>
  <c r="AH4" i="11"/>
  <c r="AG4" i="11"/>
  <c r="AE4" i="11"/>
  <c r="AD4" i="11"/>
  <c r="AC4" i="11"/>
  <c r="L4" i="11"/>
  <c r="BA3" i="11"/>
  <c r="AZ3" i="11"/>
  <c r="AY3" i="11"/>
  <c r="AX3" i="11"/>
  <c r="AW3" i="11"/>
  <c r="AU3" i="11"/>
  <c r="AT3" i="11"/>
  <c r="AS3" i="11"/>
  <c r="AR3" i="11"/>
  <c r="AQ3" i="11"/>
  <c r="AN3" i="11"/>
  <c r="AM3" i="11"/>
  <c r="AL3" i="11"/>
  <c r="AI3" i="11"/>
  <c r="AH3" i="11"/>
  <c r="AG3" i="11"/>
  <c r="AE3" i="11"/>
  <c r="AD3" i="11"/>
  <c r="AC3" i="11"/>
  <c r="L3" i="11"/>
  <c r="N15" i="7"/>
  <c r="L15" i="7"/>
  <c r="N14" i="7"/>
  <c r="L14" i="7"/>
  <c r="N9" i="7"/>
  <c r="L9" i="7"/>
  <c r="N8" i="7"/>
  <c r="L8" i="7"/>
  <c r="N6" i="7"/>
  <c r="L6" i="7"/>
  <c r="N4" i="7"/>
  <c r="L4" i="7"/>
  <c r="J146" i="6"/>
  <c r="J148" i="6" s="1"/>
  <c r="G23" i="13" s="1"/>
  <c r="AZ97" i="6"/>
  <c r="AY97" i="6"/>
  <c r="AX97" i="6"/>
  <c r="AW97" i="6"/>
  <c r="AV97" i="6"/>
  <c r="AT97" i="6"/>
  <c r="AS97" i="6"/>
  <c r="AR97" i="6"/>
  <c r="AQ97" i="6"/>
  <c r="AP97" i="6"/>
  <c r="AM97" i="6"/>
  <c r="AL97" i="6"/>
  <c r="AK97" i="6"/>
  <c r="AH97" i="6"/>
  <c r="AG97" i="6"/>
  <c r="AF97" i="6"/>
  <c r="AD97" i="6"/>
  <c r="AC97" i="6"/>
  <c r="AB97" i="6"/>
  <c r="AZ96" i="6"/>
  <c r="AY96" i="6"/>
  <c r="AX96" i="6"/>
  <c r="AW96" i="6"/>
  <c r="AV96" i="6"/>
  <c r="AT96" i="6"/>
  <c r="AS96" i="6"/>
  <c r="AR96" i="6"/>
  <c r="AQ96" i="6"/>
  <c r="AP96" i="6"/>
  <c r="AM96" i="6"/>
  <c r="AL96" i="6"/>
  <c r="AK96" i="6"/>
  <c r="AH96" i="6"/>
  <c r="AG96" i="6"/>
  <c r="AF96" i="6"/>
  <c r="AD96" i="6"/>
  <c r="AC96" i="6"/>
  <c r="AB96" i="6"/>
  <c r="AZ95" i="6"/>
  <c r="AY95" i="6"/>
  <c r="AX95" i="6"/>
  <c r="AW95" i="6"/>
  <c r="AV95" i="6"/>
  <c r="AT95" i="6"/>
  <c r="AS95" i="6"/>
  <c r="AR95" i="6"/>
  <c r="AQ95" i="6"/>
  <c r="AP95" i="6"/>
  <c r="AM95" i="6"/>
  <c r="AL95" i="6"/>
  <c r="AK95" i="6"/>
  <c r="AH95" i="6"/>
  <c r="AG95" i="6"/>
  <c r="AF95" i="6"/>
  <c r="AD95" i="6"/>
  <c r="AC95" i="6"/>
  <c r="AB95" i="6"/>
  <c r="AZ94" i="6"/>
  <c r="AY94" i="6"/>
  <c r="AX94" i="6"/>
  <c r="AW94" i="6"/>
  <c r="AV94" i="6"/>
  <c r="AT94" i="6"/>
  <c r="AS94" i="6"/>
  <c r="AR94" i="6"/>
  <c r="AQ94" i="6"/>
  <c r="AP94" i="6"/>
  <c r="AM94" i="6"/>
  <c r="AL94" i="6"/>
  <c r="AK94" i="6"/>
  <c r="AH94" i="6"/>
  <c r="AG94" i="6"/>
  <c r="AF94" i="6"/>
  <c r="AD94" i="6"/>
  <c r="AC94" i="6"/>
  <c r="AB94" i="6"/>
  <c r="AZ93" i="6"/>
  <c r="AY93" i="6"/>
  <c r="AX93" i="6"/>
  <c r="AW93" i="6"/>
  <c r="AV93" i="6"/>
  <c r="AT93" i="6"/>
  <c r="AS93" i="6"/>
  <c r="AR93" i="6"/>
  <c r="AQ93" i="6"/>
  <c r="AP93" i="6"/>
  <c r="AM93" i="6"/>
  <c r="AL93" i="6"/>
  <c r="AK93" i="6"/>
  <c r="AH93" i="6"/>
  <c r="AG93" i="6"/>
  <c r="AF93" i="6"/>
  <c r="AD93" i="6"/>
  <c r="AC93" i="6"/>
  <c r="AB93" i="6"/>
  <c r="AZ92" i="6"/>
  <c r="AY92" i="6"/>
  <c r="AX92" i="6"/>
  <c r="AW92" i="6"/>
  <c r="AV92" i="6"/>
  <c r="AT92" i="6"/>
  <c r="AS92" i="6"/>
  <c r="AR92" i="6"/>
  <c r="AQ92" i="6"/>
  <c r="AP92" i="6"/>
  <c r="AM92" i="6"/>
  <c r="AL92" i="6"/>
  <c r="AK92" i="6"/>
  <c r="AH92" i="6"/>
  <c r="AG92" i="6"/>
  <c r="AF92" i="6"/>
  <c r="AD92" i="6"/>
  <c r="AC92" i="6"/>
  <c r="AB92" i="6"/>
  <c r="AZ91" i="6"/>
  <c r="AY91" i="6"/>
  <c r="AX91" i="6"/>
  <c r="AW91" i="6"/>
  <c r="AV91" i="6"/>
  <c r="AT91" i="6"/>
  <c r="AS91" i="6"/>
  <c r="AR91" i="6"/>
  <c r="AQ91" i="6"/>
  <c r="AP91" i="6"/>
  <c r="AM91" i="6"/>
  <c r="AL91" i="6"/>
  <c r="AK91" i="6"/>
  <c r="AH91" i="6"/>
  <c r="AG91" i="6"/>
  <c r="AF91" i="6"/>
  <c r="AD91" i="6"/>
  <c r="AC91" i="6"/>
  <c r="AB91" i="6"/>
  <c r="AZ90" i="6"/>
  <c r="AY90" i="6"/>
  <c r="AX90" i="6"/>
  <c r="AW90" i="6"/>
  <c r="AV90" i="6"/>
  <c r="AT90" i="6"/>
  <c r="AS90" i="6"/>
  <c r="AR90" i="6"/>
  <c r="AQ90" i="6"/>
  <c r="AP90" i="6"/>
  <c r="AM90" i="6"/>
  <c r="AL90" i="6"/>
  <c r="AK90" i="6"/>
  <c r="AH90" i="6"/>
  <c r="AG90" i="6"/>
  <c r="AF90" i="6"/>
  <c r="AD90" i="6"/>
  <c r="AC90" i="6"/>
  <c r="AB90" i="6"/>
  <c r="AZ89" i="6"/>
  <c r="AY89" i="6"/>
  <c r="AX89" i="6"/>
  <c r="AW89" i="6"/>
  <c r="AV89" i="6"/>
  <c r="AT89" i="6"/>
  <c r="AS89" i="6"/>
  <c r="AR89" i="6"/>
  <c r="AQ89" i="6"/>
  <c r="AP89" i="6"/>
  <c r="AM89" i="6"/>
  <c r="AL89" i="6"/>
  <c r="AK89" i="6"/>
  <c r="AH89" i="6"/>
  <c r="AG89" i="6"/>
  <c r="AF89" i="6"/>
  <c r="AD89" i="6"/>
  <c r="AC89" i="6"/>
  <c r="AB89" i="6"/>
  <c r="AZ88" i="6"/>
  <c r="AY88" i="6"/>
  <c r="AX88" i="6"/>
  <c r="AW88" i="6"/>
  <c r="AV88" i="6"/>
  <c r="AT88" i="6"/>
  <c r="AS88" i="6"/>
  <c r="AR88" i="6"/>
  <c r="AQ88" i="6"/>
  <c r="AP88" i="6"/>
  <c r="AM88" i="6"/>
  <c r="AL88" i="6"/>
  <c r="AK88" i="6"/>
  <c r="AH88" i="6"/>
  <c r="AG88" i="6"/>
  <c r="AF88" i="6"/>
  <c r="AD88" i="6"/>
  <c r="AC88" i="6"/>
  <c r="AB88" i="6"/>
  <c r="AZ87" i="6"/>
  <c r="AY87" i="6"/>
  <c r="AX87" i="6"/>
  <c r="AW87" i="6"/>
  <c r="AV87" i="6"/>
  <c r="AT87" i="6"/>
  <c r="AS87" i="6"/>
  <c r="AR87" i="6"/>
  <c r="AQ87" i="6"/>
  <c r="AP87" i="6"/>
  <c r="AM87" i="6"/>
  <c r="AL87" i="6"/>
  <c r="AK87" i="6"/>
  <c r="AH87" i="6"/>
  <c r="AG87" i="6"/>
  <c r="AF87" i="6"/>
  <c r="AD87" i="6"/>
  <c r="AC87" i="6"/>
  <c r="AB87" i="6"/>
  <c r="AZ86" i="6"/>
  <c r="AY86" i="6"/>
  <c r="AX86" i="6"/>
  <c r="AW86" i="6"/>
  <c r="AV86" i="6"/>
  <c r="AT86" i="6"/>
  <c r="AS86" i="6"/>
  <c r="AR86" i="6"/>
  <c r="AQ86" i="6"/>
  <c r="AP86" i="6"/>
  <c r="AM86" i="6"/>
  <c r="AL86" i="6"/>
  <c r="AK86" i="6"/>
  <c r="AH86" i="6"/>
  <c r="AG86" i="6"/>
  <c r="AF86" i="6"/>
  <c r="AD86" i="6"/>
  <c r="AC86" i="6"/>
  <c r="AB86" i="6"/>
  <c r="AZ85" i="6"/>
  <c r="AY85" i="6"/>
  <c r="AX85" i="6"/>
  <c r="AW85" i="6"/>
  <c r="AV85" i="6"/>
  <c r="AT85" i="6"/>
  <c r="AS85" i="6"/>
  <c r="AR85" i="6"/>
  <c r="AQ85" i="6"/>
  <c r="AP85" i="6"/>
  <c r="AM85" i="6"/>
  <c r="AL85" i="6"/>
  <c r="AK85" i="6"/>
  <c r="AH85" i="6"/>
  <c r="AG85" i="6"/>
  <c r="AF85" i="6"/>
  <c r="AD85" i="6"/>
  <c r="AC85" i="6"/>
  <c r="AB85" i="6"/>
  <c r="AZ84" i="6"/>
  <c r="AY84" i="6"/>
  <c r="AX84" i="6"/>
  <c r="AW84" i="6"/>
  <c r="AV84" i="6"/>
  <c r="AT84" i="6"/>
  <c r="AS84" i="6"/>
  <c r="AR84" i="6"/>
  <c r="AQ84" i="6"/>
  <c r="AP84" i="6"/>
  <c r="AM84" i="6"/>
  <c r="AL84" i="6"/>
  <c r="AK84" i="6"/>
  <c r="AH84" i="6"/>
  <c r="AG84" i="6"/>
  <c r="AF84" i="6"/>
  <c r="AD84" i="6"/>
  <c r="AC84" i="6"/>
  <c r="AB84" i="6"/>
  <c r="AZ83" i="6"/>
  <c r="AY83" i="6"/>
  <c r="AX83" i="6"/>
  <c r="AW83" i="6"/>
  <c r="AV83" i="6"/>
  <c r="AT83" i="6"/>
  <c r="AS83" i="6"/>
  <c r="AR83" i="6"/>
  <c r="AQ83" i="6"/>
  <c r="AP83" i="6"/>
  <c r="AM83" i="6"/>
  <c r="AL83" i="6"/>
  <c r="AK83" i="6"/>
  <c r="AH83" i="6"/>
  <c r="AG83" i="6"/>
  <c r="AF83" i="6"/>
  <c r="AD83" i="6"/>
  <c r="AC83" i="6"/>
  <c r="AB83" i="6"/>
  <c r="AZ82" i="6"/>
  <c r="AY82" i="6"/>
  <c r="AX82" i="6"/>
  <c r="AW82" i="6"/>
  <c r="AV82" i="6"/>
  <c r="AT82" i="6"/>
  <c r="AS82" i="6"/>
  <c r="AR82" i="6"/>
  <c r="AQ82" i="6"/>
  <c r="AP82" i="6"/>
  <c r="AM82" i="6"/>
  <c r="AL82" i="6"/>
  <c r="AK82" i="6"/>
  <c r="AH82" i="6"/>
  <c r="AG82" i="6"/>
  <c r="AF82" i="6"/>
  <c r="AD82" i="6"/>
  <c r="AC82" i="6"/>
  <c r="AB82" i="6"/>
  <c r="AZ81" i="6"/>
  <c r="AY81" i="6"/>
  <c r="AX81" i="6"/>
  <c r="AW81" i="6"/>
  <c r="AV81" i="6"/>
  <c r="AT81" i="6"/>
  <c r="AS81" i="6"/>
  <c r="AR81" i="6"/>
  <c r="AQ81" i="6"/>
  <c r="AP81" i="6"/>
  <c r="AM81" i="6"/>
  <c r="AL81" i="6"/>
  <c r="AK81" i="6"/>
  <c r="AH81" i="6"/>
  <c r="AG81" i="6"/>
  <c r="AF81" i="6"/>
  <c r="AD81" i="6"/>
  <c r="AC81" i="6"/>
  <c r="AB81" i="6"/>
  <c r="AZ80" i="6"/>
  <c r="AY80" i="6"/>
  <c r="AX80" i="6"/>
  <c r="AW80" i="6"/>
  <c r="AV80" i="6"/>
  <c r="AT80" i="6"/>
  <c r="AS80" i="6"/>
  <c r="AR80" i="6"/>
  <c r="AQ80" i="6"/>
  <c r="AP80" i="6"/>
  <c r="AM80" i="6"/>
  <c r="AL80" i="6"/>
  <c r="AK80" i="6"/>
  <c r="AH80" i="6"/>
  <c r="AG80" i="6"/>
  <c r="AF80" i="6"/>
  <c r="AD80" i="6"/>
  <c r="AC80" i="6"/>
  <c r="AB80" i="6"/>
  <c r="K80" i="6"/>
  <c r="AZ79" i="6"/>
  <c r="AY79" i="6"/>
  <c r="AX79" i="6"/>
  <c r="AW79" i="6"/>
  <c r="AV79" i="6"/>
  <c r="AT79" i="6"/>
  <c r="AS79" i="6"/>
  <c r="AR79" i="6"/>
  <c r="AQ79" i="6"/>
  <c r="AP79" i="6"/>
  <c r="AM79" i="6"/>
  <c r="AL79" i="6"/>
  <c r="AK79" i="6"/>
  <c r="AH79" i="6"/>
  <c r="AG79" i="6"/>
  <c r="AF79" i="6"/>
  <c r="AD79" i="6"/>
  <c r="AC79" i="6"/>
  <c r="AB79" i="6"/>
  <c r="K79" i="6"/>
  <c r="AZ78" i="6"/>
  <c r="AY78" i="6"/>
  <c r="AX78" i="6"/>
  <c r="AW78" i="6"/>
  <c r="AV78" i="6"/>
  <c r="AT78" i="6"/>
  <c r="AS78" i="6"/>
  <c r="AR78" i="6"/>
  <c r="AQ78" i="6"/>
  <c r="AP78" i="6"/>
  <c r="AM78" i="6"/>
  <c r="AL78" i="6"/>
  <c r="AK78" i="6"/>
  <c r="AH78" i="6"/>
  <c r="AG78" i="6"/>
  <c r="AF78" i="6"/>
  <c r="AD78" i="6"/>
  <c r="AC78" i="6"/>
  <c r="AB78" i="6"/>
  <c r="K78" i="6"/>
  <c r="AZ77" i="6"/>
  <c r="AY77" i="6"/>
  <c r="AX77" i="6"/>
  <c r="AW77" i="6"/>
  <c r="AV77" i="6"/>
  <c r="AT77" i="6"/>
  <c r="AS77" i="6"/>
  <c r="AR77" i="6"/>
  <c r="AQ77" i="6"/>
  <c r="AP77" i="6"/>
  <c r="H26" i="13" s="1"/>
  <c r="I26" i="13" s="1"/>
  <c r="AM77" i="6"/>
  <c r="AL77" i="6"/>
  <c r="AK77" i="6"/>
  <c r="AH77" i="6"/>
  <c r="AG77" i="6"/>
  <c r="AF77" i="6"/>
  <c r="AD77" i="6"/>
  <c r="AC77" i="6"/>
  <c r="AB77" i="6"/>
  <c r="K77" i="6"/>
  <c r="AZ76" i="6"/>
  <c r="AY76" i="6"/>
  <c r="AX76" i="6"/>
  <c r="AW76" i="6"/>
  <c r="AV76" i="6"/>
  <c r="AT76" i="6"/>
  <c r="AS76" i="6"/>
  <c r="AR76" i="6"/>
  <c r="AQ76" i="6"/>
  <c r="AP76" i="6"/>
  <c r="AM76" i="6"/>
  <c r="AL76" i="6"/>
  <c r="AK76" i="6"/>
  <c r="AH76" i="6"/>
  <c r="AG76" i="6"/>
  <c r="AF76" i="6"/>
  <c r="AD76" i="6"/>
  <c r="AC76" i="6"/>
  <c r="AB76" i="6"/>
  <c r="K76" i="6"/>
  <c r="AZ75" i="6"/>
  <c r="AY75" i="6"/>
  <c r="AX75" i="6"/>
  <c r="AW75" i="6"/>
  <c r="AV75" i="6"/>
  <c r="AT75" i="6"/>
  <c r="AS75" i="6"/>
  <c r="AR75" i="6"/>
  <c r="AQ75" i="6"/>
  <c r="AP75" i="6"/>
  <c r="AM75" i="6"/>
  <c r="AL75" i="6"/>
  <c r="AK75" i="6"/>
  <c r="AH75" i="6"/>
  <c r="AG75" i="6"/>
  <c r="AF75" i="6"/>
  <c r="AD75" i="6"/>
  <c r="AC75" i="6"/>
  <c r="AB75" i="6"/>
  <c r="AZ74" i="6"/>
  <c r="AY74" i="6"/>
  <c r="AX74" i="6"/>
  <c r="AW74" i="6"/>
  <c r="AV74" i="6"/>
  <c r="AT74" i="6"/>
  <c r="AS74" i="6"/>
  <c r="AR74" i="6"/>
  <c r="AQ74" i="6"/>
  <c r="AP74" i="6"/>
  <c r="AM74" i="6"/>
  <c r="AL74" i="6"/>
  <c r="AK74" i="6"/>
  <c r="AH74" i="6"/>
  <c r="AG74" i="6"/>
  <c r="AF74" i="6"/>
  <c r="AD74" i="6"/>
  <c r="AC74" i="6"/>
  <c r="AB74" i="6"/>
  <c r="K74" i="6"/>
  <c r="AZ73" i="6"/>
  <c r="AY73" i="6"/>
  <c r="AX73" i="6"/>
  <c r="AW73" i="6"/>
  <c r="AV73" i="6"/>
  <c r="AT73" i="6"/>
  <c r="AS73" i="6"/>
  <c r="AR73" i="6"/>
  <c r="AQ73" i="6"/>
  <c r="AP73" i="6"/>
  <c r="AM73" i="6"/>
  <c r="AL73" i="6"/>
  <c r="AK73" i="6"/>
  <c r="AH73" i="6"/>
  <c r="AG73" i="6"/>
  <c r="AF73" i="6"/>
  <c r="AD73" i="6"/>
  <c r="AC73" i="6"/>
  <c r="AB73" i="6"/>
  <c r="K73" i="6"/>
  <c r="AZ72" i="6"/>
  <c r="AY72" i="6"/>
  <c r="AX72" i="6"/>
  <c r="AW72" i="6"/>
  <c r="AV72" i="6"/>
  <c r="AT72" i="6"/>
  <c r="AS72" i="6"/>
  <c r="AR72" i="6"/>
  <c r="AQ72" i="6"/>
  <c r="AP72" i="6"/>
  <c r="AM72" i="6"/>
  <c r="AL72" i="6"/>
  <c r="AK72" i="6"/>
  <c r="AH72" i="6"/>
  <c r="AG72" i="6"/>
  <c r="AF72" i="6"/>
  <c r="AD72" i="6"/>
  <c r="AC72" i="6"/>
  <c r="AB72" i="6"/>
  <c r="K72" i="6"/>
  <c r="AZ71" i="6"/>
  <c r="AY71" i="6"/>
  <c r="AX71" i="6"/>
  <c r="AW71" i="6"/>
  <c r="AV71" i="6"/>
  <c r="AT71" i="6"/>
  <c r="AS71" i="6"/>
  <c r="AR71" i="6"/>
  <c r="AQ71" i="6"/>
  <c r="AP71" i="6"/>
  <c r="AM71" i="6"/>
  <c r="AL71" i="6"/>
  <c r="AK71" i="6"/>
  <c r="AH71" i="6"/>
  <c r="AG71" i="6"/>
  <c r="AF71" i="6"/>
  <c r="AD71" i="6"/>
  <c r="AC71" i="6"/>
  <c r="AB71" i="6"/>
  <c r="AZ70" i="6"/>
  <c r="AY70" i="6"/>
  <c r="AX70" i="6"/>
  <c r="AW70" i="6"/>
  <c r="AV70" i="6"/>
  <c r="AT70" i="6"/>
  <c r="AS70" i="6"/>
  <c r="AR70" i="6"/>
  <c r="AQ70" i="6"/>
  <c r="AP70" i="6"/>
  <c r="AM70" i="6"/>
  <c r="AL70" i="6"/>
  <c r="AK70" i="6"/>
  <c r="AH70" i="6"/>
  <c r="AG70" i="6"/>
  <c r="AF70" i="6"/>
  <c r="AD70" i="6"/>
  <c r="AC70" i="6"/>
  <c r="AB70" i="6"/>
  <c r="AZ69" i="6"/>
  <c r="AY69" i="6"/>
  <c r="AX69" i="6"/>
  <c r="AW69" i="6"/>
  <c r="AV69" i="6"/>
  <c r="AT69" i="6"/>
  <c r="AS69" i="6"/>
  <c r="AR69" i="6"/>
  <c r="AQ69" i="6"/>
  <c r="AP69" i="6"/>
  <c r="AM69" i="6"/>
  <c r="AL69" i="6"/>
  <c r="AK69" i="6"/>
  <c r="AH69" i="6"/>
  <c r="AG69" i="6"/>
  <c r="AF69" i="6"/>
  <c r="AD69" i="6"/>
  <c r="AC69" i="6"/>
  <c r="AB69" i="6"/>
  <c r="K69" i="6"/>
  <c r="AZ68" i="6"/>
  <c r="AY68" i="6"/>
  <c r="AX68" i="6"/>
  <c r="AW68" i="6"/>
  <c r="AV68" i="6"/>
  <c r="AT68" i="6"/>
  <c r="AS68" i="6"/>
  <c r="AR68" i="6"/>
  <c r="AQ68" i="6"/>
  <c r="AP68" i="6"/>
  <c r="AM68" i="6"/>
  <c r="AL68" i="6"/>
  <c r="AK68" i="6"/>
  <c r="AH68" i="6"/>
  <c r="AG68" i="6"/>
  <c r="AF68" i="6"/>
  <c r="AD68" i="6"/>
  <c r="AC68" i="6"/>
  <c r="AB68" i="6"/>
  <c r="AZ67" i="6"/>
  <c r="AY67" i="6"/>
  <c r="AX67" i="6"/>
  <c r="AW67" i="6"/>
  <c r="AV67" i="6"/>
  <c r="AT67" i="6"/>
  <c r="AS67" i="6"/>
  <c r="AR67" i="6"/>
  <c r="AQ67" i="6"/>
  <c r="AP67" i="6"/>
  <c r="AM67" i="6"/>
  <c r="AL67" i="6"/>
  <c r="AH67" i="6"/>
  <c r="AG67" i="6"/>
  <c r="AD67" i="6"/>
  <c r="AZ66" i="6"/>
  <c r="AY66" i="6"/>
  <c r="AX66" i="6"/>
  <c r="AW66" i="6"/>
  <c r="AV66" i="6"/>
  <c r="AT66" i="6"/>
  <c r="AS66" i="6"/>
  <c r="AR66" i="6"/>
  <c r="AQ66" i="6"/>
  <c r="AP66" i="6"/>
  <c r="AM66" i="6"/>
  <c r="AL66" i="6"/>
  <c r="AH66" i="6"/>
  <c r="AG66" i="6"/>
  <c r="AD66" i="6"/>
  <c r="AZ65" i="6"/>
  <c r="AY65" i="6"/>
  <c r="AX65" i="6"/>
  <c r="AW65" i="6"/>
  <c r="AV65" i="6"/>
  <c r="AT65" i="6"/>
  <c r="AS65" i="6"/>
  <c r="AR65" i="6"/>
  <c r="AQ65" i="6"/>
  <c r="AP65" i="6"/>
  <c r="AM65" i="6"/>
  <c r="AL65" i="6"/>
  <c r="AH65" i="6"/>
  <c r="AG65" i="6"/>
  <c r="AD65" i="6"/>
  <c r="AZ64" i="6"/>
  <c r="AY64" i="6"/>
  <c r="AX64" i="6"/>
  <c r="AW64" i="6"/>
  <c r="AV64" i="6"/>
  <c r="AT64" i="6"/>
  <c r="AS64" i="6"/>
  <c r="AR64" i="6"/>
  <c r="AQ64" i="6"/>
  <c r="AP64" i="6"/>
  <c r="AM64" i="6"/>
  <c r="AL64" i="6"/>
  <c r="AH64" i="6"/>
  <c r="AG64" i="6"/>
  <c r="AD64" i="6"/>
  <c r="AZ63" i="6"/>
  <c r="AY63" i="6"/>
  <c r="AX63" i="6"/>
  <c r="AW63" i="6"/>
  <c r="AV63" i="6"/>
  <c r="AT63" i="6"/>
  <c r="AS63" i="6"/>
  <c r="AR63" i="6"/>
  <c r="AQ63" i="6"/>
  <c r="AP63" i="6"/>
  <c r="AM63" i="6"/>
  <c r="AL63" i="6"/>
  <c r="AH63" i="6"/>
  <c r="AG63" i="6"/>
  <c r="AD63" i="6"/>
  <c r="AZ62" i="6"/>
  <c r="AY62" i="6"/>
  <c r="AX62" i="6"/>
  <c r="AW62" i="6"/>
  <c r="AV62" i="6"/>
  <c r="AT62" i="6"/>
  <c r="AS62" i="6"/>
  <c r="AR62" i="6"/>
  <c r="AQ62" i="6"/>
  <c r="AP62" i="6"/>
  <c r="AM62" i="6"/>
  <c r="AL62" i="6"/>
  <c r="AK62" i="6"/>
  <c r="AH62" i="6"/>
  <c r="AG62" i="6"/>
  <c r="AF62" i="6"/>
  <c r="AD62" i="6"/>
  <c r="AC62" i="6"/>
  <c r="AB62" i="6"/>
  <c r="AZ61" i="6"/>
  <c r="AY61" i="6"/>
  <c r="AX61" i="6"/>
  <c r="AW61" i="6"/>
  <c r="AV61" i="6"/>
  <c r="AT61" i="6"/>
  <c r="AS61" i="6"/>
  <c r="AR61" i="6"/>
  <c r="AQ61" i="6"/>
  <c r="AP61" i="6"/>
  <c r="AM61" i="6"/>
  <c r="AL61" i="6"/>
  <c r="AK61" i="6"/>
  <c r="AH61" i="6"/>
  <c r="AG61" i="6"/>
  <c r="AF61" i="6"/>
  <c r="AD61" i="6"/>
  <c r="AC61" i="6"/>
  <c r="AB61" i="6"/>
  <c r="AZ60" i="6"/>
  <c r="AY60" i="6"/>
  <c r="AX60" i="6"/>
  <c r="AW60" i="6"/>
  <c r="AV60" i="6"/>
  <c r="AT60" i="6"/>
  <c r="AS60" i="6"/>
  <c r="AR60" i="6"/>
  <c r="AQ60" i="6"/>
  <c r="AP60" i="6"/>
  <c r="AM60" i="6"/>
  <c r="AL60" i="6"/>
  <c r="AH60" i="6"/>
  <c r="AG60" i="6"/>
  <c r="AD60" i="6"/>
  <c r="AZ59" i="6"/>
  <c r="AY59" i="6"/>
  <c r="AX59" i="6"/>
  <c r="AW59" i="6"/>
  <c r="AV59" i="6"/>
  <c r="AT59" i="6"/>
  <c r="AS59" i="6"/>
  <c r="AR59" i="6"/>
  <c r="AQ59" i="6"/>
  <c r="AP59" i="6"/>
  <c r="AM59" i="6"/>
  <c r="AL59" i="6"/>
  <c r="AH59" i="6"/>
  <c r="AG59" i="6"/>
  <c r="AD59" i="6"/>
  <c r="AZ58" i="6"/>
  <c r="AY58" i="6"/>
  <c r="AX58" i="6"/>
  <c r="AW58" i="6"/>
  <c r="AV58" i="6"/>
  <c r="AT58" i="6"/>
  <c r="AS58" i="6"/>
  <c r="AR58" i="6"/>
  <c r="AQ58" i="6"/>
  <c r="AP58" i="6"/>
  <c r="AM58" i="6"/>
  <c r="AL58" i="6"/>
  <c r="AH58" i="6"/>
  <c r="AG58" i="6"/>
  <c r="AD58" i="6"/>
  <c r="AZ57" i="6"/>
  <c r="AY57" i="6"/>
  <c r="AX57" i="6"/>
  <c r="AW57" i="6"/>
  <c r="AV57" i="6"/>
  <c r="AT57" i="6"/>
  <c r="AS57" i="6"/>
  <c r="AR57" i="6"/>
  <c r="AQ57" i="6"/>
  <c r="AP57" i="6"/>
  <c r="AM57" i="6"/>
  <c r="AL57" i="6"/>
  <c r="AH57" i="6"/>
  <c r="AG57" i="6"/>
  <c r="AD57" i="6"/>
  <c r="AZ56" i="6"/>
  <c r="AY56" i="6"/>
  <c r="AX56" i="6"/>
  <c r="AW56" i="6"/>
  <c r="AV56" i="6"/>
  <c r="AT56" i="6"/>
  <c r="AS56" i="6"/>
  <c r="AR56" i="6"/>
  <c r="AQ56" i="6"/>
  <c r="AP56" i="6"/>
  <c r="AM56" i="6"/>
  <c r="AL56" i="6"/>
  <c r="AH56" i="6"/>
  <c r="AG56" i="6"/>
  <c r="AD56" i="6"/>
  <c r="AZ55" i="6"/>
  <c r="AY55" i="6"/>
  <c r="AX55" i="6"/>
  <c r="AW55" i="6"/>
  <c r="AV55" i="6"/>
  <c r="AT55" i="6"/>
  <c r="AS55" i="6"/>
  <c r="AR55" i="6"/>
  <c r="AQ55" i="6"/>
  <c r="AP55" i="6"/>
  <c r="AM55" i="6"/>
  <c r="AL55" i="6"/>
  <c r="AH55" i="6"/>
  <c r="AG55" i="6"/>
  <c r="AD55" i="6"/>
  <c r="AZ54" i="6"/>
  <c r="AY54" i="6"/>
  <c r="AX54" i="6"/>
  <c r="AW54" i="6"/>
  <c r="AV54" i="6"/>
  <c r="AT54" i="6"/>
  <c r="AS54" i="6"/>
  <c r="AR54" i="6"/>
  <c r="AQ54" i="6"/>
  <c r="AP54" i="6"/>
  <c r="AM54" i="6"/>
  <c r="AL54" i="6"/>
  <c r="AH54" i="6"/>
  <c r="AG54" i="6"/>
  <c r="AD54" i="6"/>
  <c r="AZ53" i="6"/>
  <c r="AY53" i="6"/>
  <c r="AX53" i="6"/>
  <c r="AW53" i="6"/>
  <c r="AV53" i="6"/>
  <c r="AT53" i="6"/>
  <c r="AS53" i="6"/>
  <c r="AR53" i="6"/>
  <c r="AQ53" i="6"/>
  <c r="AP53" i="6"/>
  <c r="AM53" i="6"/>
  <c r="AL53" i="6"/>
  <c r="AH53" i="6"/>
  <c r="AG53" i="6"/>
  <c r="AD53" i="6"/>
  <c r="AZ52" i="6"/>
  <c r="AY52" i="6"/>
  <c r="AX52" i="6"/>
  <c r="AW52" i="6"/>
  <c r="AV52" i="6"/>
  <c r="AT52" i="6"/>
  <c r="AS52" i="6"/>
  <c r="AR52" i="6"/>
  <c r="AQ52" i="6"/>
  <c r="AP52" i="6"/>
  <c r="AM52" i="6"/>
  <c r="AL52" i="6"/>
  <c r="AK52" i="6"/>
  <c r="AH52" i="6"/>
  <c r="AG52" i="6"/>
  <c r="AF52" i="6"/>
  <c r="AD52" i="6"/>
  <c r="AC52" i="6"/>
  <c r="AB52" i="6"/>
  <c r="AZ51" i="6"/>
  <c r="AY51" i="6"/>
  <c r="AX51" i="6"/>
  <c r="AW51" i="6"/>
  <c r="AV51" i="6"/>
  <c r="AT51" i="6"/>
  <c r="AS51" i="6"/>
  <c r="AR51" i="6"/>
  <c r="AQ51" i="6"/>
  <c r="AP51" i="6"/>
  <c r="AM51" i="6"/>
  <c r="AL51" i="6"/>
  <c r="AK51" i="6"/>
  <c r="AH51" i="6"/>
  <c r="AG51" i="6"/>
  <c r="AF51" i="6"/>
  <c r="AD51" i="6"/>
  <c r="AC51" i="6"/>
  <c r="AB51" i="6"/>
  <c r="AZ50" i="6"/>
  <c r="AY50" i="6"/>
  <c r="AX50" i="6"/>
  <c r="AW50" i="6"/>
  <c r="AV50" i="6"/>
  <c r="AT50" i="6"/>
  <c r="AS50" i="6"/>
  <c r="AR50" i="6"/>
  <c r="AQ50" i="6"/>
  <c r="AP50" i="6"/>
  <c r="AM50" i="6"/>
  <c r="AL50" i="6"/>
  <c r="AK50" i="6"/>
  <c r="AH50" i="6"/>
  <c r="AG50" i="6"/>
  <c r="AF50" i="6"/>
  <c r="AD50" i="6"/>
  <c r="AC50" i="6"/>
  <c r="AB50" i="6"/>
  <c r="AZ49" i="6"/>
  <c r="AY49" i="6"/>
  <c r="AX49" i="6"/>
  <c r="AW49" i="6"/>
  <c r="AV49" i="6"/>
  <c r="AT49" i="6"/>
  <c r="AS49" i="6"/>
  <c r="AR49" i="6"/>
  <c r="AQ49" i="6"/>
  <c r="AP49" i="6"/>
  <c r="AM49" i="6"/>
  <c r="AL49" i="6"/>
  <c r="AH49" i="6"/>
  <c r="AG49" i="6"/>
  <c r="AD49" i="6"/>
  <c r="K49" i="6"/>
  <c r="AZ48" i="6"/>
  <c r="AY48" i="6"/>
  <c r="AX48" i="6"/>
  <c r="AW48" i="6"/>
  <c r="AV48" i="6"/>
  <c r="AT48" i="6"/>
  <c r="AS48" i="6"/>
  <c r="AR48" i="6"/>
  <c r="AQ48" i="6"/>
  <c r="AP48" i="6"/>
  <c r="AM48" i="6"/>
  <c r="AL48" i="6"/>
  <c r="AK48" i="6"/>
  <c r="AH48" i="6"/>
  <c r="AG48" i="6"/>
  <c r="AF48" i="6"/>
  <c r="AD48" i="6"/>
  <c r="AC48" i="6"/>
  <c r="AB48" i="6"/>
  <c r="AZ47" i="6"/>
  <c r="AY47" i="6"/>
  <c r="AX47" i="6"/>
  <c r="AW47" i="6"/>
  <c r="AV47" i="6"/>
  <c r="AT47" i="6"/>
  <c r="AS47" i="6"/>
  <c r="AR47" i="6"/>
  <c r="AQ47" i="6"/>
  <c r="AP47" i="6"/>
  <c r="AM47" i="6"/>
  <c r="AL47" i="6"/>
  <c r="AK47" i="6"/>
  <c r="AH47" i="6"/>
  <c r="AG47" i="6"/>
  <c r="AF47" i="6"/>
  <c r="AD47" i="6"/>
  <c r="AC47" i="6"/>
  <c r="AB47" i="6"/>
  <c r="AZ46" i="6"/>
  <c r="AY46" i="6"/>
  <c r="AX46" i="6"/>
  <c r="AW46" i="6"/>
  <c r="AV46" i="6"/>
  <c r="AT46" i="6"/>
  <c r="AS46" i="6"/>
  <c r="AR46" i="6"/>
  <c r="AQ46" i="6"/>
  <c r="AP46" i="6"/>
  <c r="AM46" i="6"/>
  <c r="AL46" i="6"/>
  <c r="AK46" i="6"/>
  <c r="AH46" i="6"/>
  <c r="AG46" i="6"/>
  <c r="AF46" i="6"/>
  <c r="AD46" i="6"/>
  <c r="AC46" i="6"/>
  <c r="AB46" i="6"/>
  <c r="AZ45" i="6"/>
  <c r="AY45" i="6"/>
  <c r="AX45" i="6"/>
  <c r="AW45" i="6"/>
  <c r="AV45" i="6"/>
  <c r="AT45" i="6"/>
  <c r="AS45" i="6"/>
  <c r="AR45" i="6"/>
  <c r="AQ45" i="6"/>
  <c r="AP45" i="6"/>
  <c r="AM45" i="6"/>
  <c r="AL45" i="6"/>
  <c r="AK45" i="6"/>
  <c r="AH45" i="6"/>
  <c r="AG45" i="6"/>
  <c r="AF45" i="6"/>
  <c r="AD45" i="6"/>
  <c r="AC45" i="6"/>
  <c r="AB45" i="6"/>
  <c r="AZ44" i="6"/>
  <c r="AY44" i="6"/>
  <c r="AX44" i="6"/>
  <c r="AW44" i="6"/>
  <c r="AV44" i="6"/>
  <c r="AT44" i="6"/>
  <c r="AS44" i="6"/>
  <c r="AR44" i="6"/>
  <c r="AQ44" i="6"/>
  <c r="AP44" i="6"/>
  <c r="AM44" i="6"/>
  <c r="AL44" i="6"/>
  <c r="AK44" i="6"/>
  <c r="AH44" i="6"/>
  <c r="AG44" i="6"/>
  <c r="AF44" i="6"/>
  <c r="AD44" i="6"/>
  <c r="AC44" i="6"/>
  <c r="AB44" i="6"/>
  <c r="K44" i="6"/>
  <c r="AZ43" i="6"/>
  <c r="AY43" i="6"/>
  <c r="AX43" i="6"/>
  <c r="AW43" i="6"/>
  <c r="AV43" i="6"/>
  <c r="AT43" i="6"/>
  <c r="AS43" i="6"/>
  <c r="AR43" i="6"/>
  <c r="AQ43" i="6"/>
  <c r="AP43" i="6"/>
  <c r="AM43" i="6"/>
  <c r="AL43" i="6"/>
  <c r="AK43" i="6"/>
  <c r="AH43" i="6"/>
  <c r="AG43" i="6"/>
  <c r="AF43" i="6"/>
  <c r="AD43" i="6"/>
  <c r="AC43" i="6"/>
  <c r="AB43" i="6"/>
  <c r="AZ42" i="6"/>
  <c r="AY42" i="6"/>
  <c r="AX42" i="6"/>
  <c r="AW42" i="6"/>
  <c r="AV42" i="6"/>
  <c r="AT42" i="6"/>
  <c r="AS42" i="6"/>
  <c r="AR42" i="6"/>
  <c r="AQ42" i="6"/>
  <c r="AP42" i="6"/>
  <c r="AM42" i="6"/>
  <c r="AL42" i="6"/>
  <c r="AK42" i="6"/>
  <c r="AH42" i="6"/>
  <c r="AG42" i="6"/>
  <c r="AF42" i="6"/>
  <c r="AD42" i="6"/>
  <c r="AC42" i="6"/>
  <c r="AB42" i="6"/>
  <c r="AZ41" i="6"/>
  <c r="AY41" i="6"/>
  <c r="AX41" i="6"/>
  <c r="AW41" i="6"/>
  <c r="AV41" i="6"/>
  <c r="AT41" i="6"/>
  <c r="AS41" i="6"/>
  <c r="AR41" i="6"/>
  <c r="AQ41" i="6"/>
  <c r="AP41" i="6"/>
  <c r="AM41" i="6"/>
  <c r="AL41" i="6"/>
  <c r="AK41" i="6"/>
  <c r="AH41" i="6"/>
  <c r="AG41" i="6"/>
  <c r="AF41" i="6"/>
  <c r="AD41" i="6"/>
  <c r="AC41" i="6"/>
  <c r="AB41" i="6"/>
  <c r="K41" i="6"/>
  <c r="AZ40" i="6"/>
  <c r="AY40" i="6"/>
  <c r="AX40" i="6"/>
  <c r="AW40" i="6"/>
  <c r="AV40" i="6"/>
  <c r="AT40" i="6"/>
  <c r="AS40" i="6"/>
  <c r="AR40" i="6"/>
  <c r="AQ40" i="6"/>
  <c r="AP40" i="6"/>
  <c r="AM40" i="6"/>
  <c r="AL40" i="6"/>
  <c r="AK40" i="6"/>
  <c r="AH40" i="6"/>
  <c r="AG40" i="6"/>
  <c r="AF40" i="6"/>
  <c r="AD40" i="6"/>
  <c r="AC40" i="6"/>
  <c r="AB40" i="6"/>
  <c r="K40" i="6"/>
  <c r="AZ39" i="6"/>
  <c r="AY39" i="6"/>
  <c r="AX39" i="6"/>
  <c r="AW39" i="6"/>
  <c r="AV39" i="6"/>
  <c r="AT39" i="6"/>
  <c r="AS39" i="6"/>
  <c r="AR39" i="6"/>
  <c r="AQ39" i="6"/>
  <c r="AP39" i="6"/>
  <c r="AM39" i="6"/>
  <c r="AL39" i="6"/>
  <c r="AK39" i="6"/>
  <c r="AH39" i="6"/>
  <c r="AG39" i="6"/>
  <c r="AF39" i="6"/>
  <c r="AD39" i="6"/>
  <c r="AC39" i="6"/>
  <c r="AB39" i="6"/>
  <c r="K39" i="6"/>
  <c r="AZ38" i="6"/>
  <c r="AY38" i="6"/>
  <c r="AX38" i="6"/>
  <c r="AW38" i="6"/>
  <c r="AV38" i="6"/>
  <c r="AT38" i="6"/>
  <c r="AS38" i="6"/>
  <c r="AR38" i="6"/>
  <c r="AQ38" i="6"/>
  <c r="AP38" i="6"/>
  <c r="AM38" i="6"/>
  <c r="AL38" i="6"/>
  <c r="AK38" i="6"/>
  <c r="AH38" i="6"/>
  <c r="AG38" i="6"/>
  <c r="AF38" i="6"/>
  <c r="AD38" i="6"/>
  <c r="AC38" i="6"/>
  <c r="AB38" i="6"/>
  <c r="K38" i="6"/>
  <c r="AZ37" i="6"/>
  <c r="AY37" i="6"/>
  <c r="AX37" i="6"/>
  <c r="AW37" i="6"/>
  <c r="AV37" i="6"/>
  <c r="AT37" i="6"/>
  <c r="AS37" i="6"/>
  <c r="AR37" i="6"/>
  <c r="AQ37" i="6"/>
  <c r="AP37" i="6"/>
  <c r="AM37" i="6"/>
  <c r="AL37" i="6"/>
  <c r="AK37" i="6"/>
  <c r="AH37" i="6"/>
  <c r="AG37" i="6"/>
  <c r="AF37" i="6"/>
  <c r="AD37" i="6"/>
  <c r="AC37" i="6"/>
  <c r="AB37" i="6"/>
  <c r="AZ36" i="6"/>
  <c r="AY36" i="6"/>
  <c r="AX36" i="6"/>
  <c r="AW36" i="6"/>
  <c r="AV36" i="6"/>
  <c r="AT36" i="6"/>
  <c r="AS36" i="6"/>
  <c r="AR36" i="6"/>
  <c r="AQ36" i="6"/>
  <c r="AP36" i="6"/>
  <c r="AM36" i="6"/>
  <c r="AL36" i="6"/>
  <c r="AK36" i="6"/>
  <c r="AH36" i="6"/>
  <c r="AG36" i="6"/>
  <c r="AF36" i="6"/>
  <c r="AD36" i="6"/>
  <c r="AC36" i="6"/>
  <c r="AB36" i="6"/>
  <c r="K36" i="6"/>
  <c r="AZ35" i="6"/>
  <c r="AY35" i="6"/>
  <c r="AX35" i="6"/>
  <c r="AW35" i="6"/>
  <c r="AV35" i="6"/>
  <c r="AT35" i="6"/>
  <c r="AS35" i="6"/>
  <c r="AR35" i="6"/>
  <c r="AQ35" i="6"/>
  <c r="AP35" i="6"/>
  <c r="AM35" i="6"/>
  <c r="AL35" i="6"/>
  <c r="AK35" i="6"/>
  <c r="AH35" i="6"/>
  <c r="AG35" i="6"/>
  <c r="AF35" i="6"/>
  <c r="AD35" i="6"/>
  <c r="AC35" i="6"/>
  <c r="AB35" i="6"/>
  <c r="AZ34" i="6"/>
  <c r="AY34" i="6"/>
  <c r="AX34" i="6"/>
  <c r="AW34" i="6"/>
  <c r="AV34" i="6"/>
  <c r="AT34" i="6"/>
  <c r="AS34" i="6"/>
  <c r="AR34" i="6"/>
  <c r="AQ34" i="6"/>
  <c r="AP34" i="6"/>
  <c r="AM34" i="6"/>
  <c r="AL34" i="6"/>
  <c r="AK34" i="6"/>
  <c r="AH34" i="6"/>
  <c r="AG34" i="6"/>
  <c r="AF34" i="6"/>
  <c r="AD34" i="6"/>
  <c r="AC34" i="6"/>
  <c r="AB34" i="6"/>
  <c r="K34" i="6"/>
  <c r="AZ33" i="6"/>
  <c r="AY33" i="6"/>
  <c r="AX33" i="6"/>
  <c r="AW33" i="6"/>
  <c r="AV33" i="6"/>
  <c r="AT33" i="6"/>
  <c r="AS33" i="6"/>
  <c r="AR33" i="6"/>
  <c r="AQ33" i="6"/>
  <c r="AP33" i="6"/>
  <c r="AM33" i="6"/>
  <c r="AL33" i="6"/>
  <c r="AK33" i="6"/>
  <c r="AH33" i="6"/>
  <c r="AG33" i="6"/>
  <c r="AF33" i="6"/>
  <c r="AD33" i="6"/>
  <c r="AC33" i="6"/>
  <c r="AB33" i="6"/>
  <c r="K33" i="6"/>
  <c r="AZ32" i="6"/>
  <c r="AY32" i="6"/>
  <c r="AX32" i="6"/>
  <c r="AW32" i="6"/>
  <c r="AV32" i="6"/>
  <c r="AT32" i="6"/>
  <c r="AS32" i="6"/>
  <c r="AR32" i="6"/>
  <c r="AQ32" i="6"/>
  <c r="AP32" i="6"/>
  <c r="AM32" i="6"/>
  <c r="AL32" i="6"/>
  <c r="AK32" i="6"/>
  <c r="AH32" i="6"/>
  <c r="AG32" i="6"/>
  <c r="AF32" i="6"/>
  <c r="AD32" i="6"/>
  <c r="AC32" i="6"/>
  <c r="AB32" i="6"/>
  <c r="K32" i="6"/>
  <c r="AZ31" i="6"/>
  <c r="AY31" i="6"/>
  <c r="AX31" i="6"/>
  <c r="AW31" i="6"/>
  <c r="AV31" i="6"/>
  <c r="AT31" i="6"/>
  <c r="AS31" i="6"/>
  <c r="AR31" i="6"/>
  <c r="AQ31" i="6"/>
  <c r="AP31" i="6"/>
  <c r="AM31" i="6"/>
  <c r="AL31" i="6"/>
  <c r="AK31" i="6"/>
  <c r="AH31" i="6"/>
  <c r="AG31" i="6"/>
  <c r="AF31" i="6"/>
  <c r="AD31" i="6"/>
  <c r="AC31" i="6"/>
  <c r="AB31" i="6"/>
  <c r="K31" i="6"/>
  <c r="AZ30" i="6"/>
  <c r="AY30" i="6"/>
  <c r="AX30" i="6"/>
  <c r="AW30" i="6"/>
  <c r="AV30" i="6"/>
  <c r="AT30" i="6"/>
  <c r="AS30" i="6"/>
  <c r="AR30" i="6"/>
  <c r="AQ30" i="6"/>
  <c r="AP30" i="6"/>
  <c r="AM30" i="6"/>
  <c r="AL30" i="6"/>
  <c r="AK30" i="6"/>
  <c r="AH30" i="6"/>
  <c r="AG30" i="6"/>
  <c r="AF30" i="6"/>
  <c r="AD30" i="6"/>
  <c r="AC30" i="6"/>
  <c r="AB30" i="6"/>
  <c r="K30" i="6"/>
  <c r="AZ29" i="6"/>
  <c r="AY29" i="6"/>
  <c r="AX29" i="6"/>
  <c r="AW29" i="6"/>
  <c r="AV29" i="6"/>
  <c r="AT29" i="6"/>
  <c r="AS29" i="6"/>
  <c r="AR29" i="6"/>
  <c r="AQ29" i="6"/>
  <c r="AP29" i="6"/>
  <c r="AM29" i="6"/>
  <c r="AL29" i="6"/>
  <c r="AK29" i="6"/>
  <c r="AH29" i="6"/>
  <c r="AG29" i="6"/>
  <c r="AF29" i="6"/>
  <c r="AD29" i="6"/>
  <c r="AC29" i="6"/>
  <c r="AB29" i="6"/>
  <c r="AZ28" i="6"/>
  <c r="AY28" i="6"/>
  <c r="AX28" i="6"/>
  <c r="AW28" i="6"/>
  <c r="AV28" i="6"/>
  <c r="AT28" i="6"/>
  <c r="AS28" i="6"/>
  <c r="AR28" i="6"/>
  <c r="AQ28" i="6"/>
  <c r="AP28" i="6"/>
  <c r="AM28" i="6"/>
  <c r="AL28" i="6"/>
  <c r="AK28" i="6"/>
  <c r="AH28" i="6"/>
  <c r="AG28" i="6"/>
  <c r="AF28" i="6"/>
  <c r="AD28" i="6"/>
  <c r="AC28" i="6"/>
  <c r="AB28" i="6"/>
  <c r="K28" i="6"/>
  <c r="AZ27" i="6"/>
  <c r="AY27" i="6"/>
  <c r="AX27" i="6"/>
  <c r="AW27" i="6"/>
  <c r="AV27" i="6"/>
  <c r="AT27" i="6"/>
  <c r="AS27" i="6"/>
  <c r="AR27" i="6"/>
  <c r="AQ27" i="6"/>
  <c r="AP27" i="6"/>
  <c r="AM27" i="6"/>
  <c r="AL27" i="6"/>
  <c r="AH27" i="6"/>
  <c r="AG27" i="6"/>
  <c r="AD27" i="6"/>
  <c r="AZ26" i="6"/>
  <c r="AY26" i="6"/>
  <c r="AX26" i="6"/>
  <c r="AW26" i="6"/>
  <c r="AV26" i="6"/>
  <c r="AT26" i="6"/>
  <c r="AS26" i="6"/>
  <c r="AR26" i="6"/>
  <c r="AQ26" i="6"/>
  <c r="AP26" i="6"/>
  <c r="AM26" i="6"/>
  <c r="AL26" i="6"/>
  <c r="AH26" i="6"/>
  <c r="AG26" i="6"/>
  <c r="AD26" i="6"/>
  <c r="AZ25" i="6"/>
  <c r="AY25" i="6"/>
  <c r="AX25" i="6"/>
  <c r="AW25" i="6"/>
  <c r="AV25" i="6"/>
  <c r="AT25" i="6"/>
  <c r="AS25" i="6"/>
  <c r="AR25" i="6"/>
  <c r="AQ25" i="6"/>
  <c r="AP25" i="6"/>
  <c r="AM25" i="6"/>
  <c r="AL25" i="6"/>
  <c r="AH25" i="6"/>
  <c r="AG25" i="6"/>
  <c r="AD25" i="6"/>
  <c r="AZ24" i="6"/>
  <c r="AY24" i="6"/>
  <c r="AX24" i="6"/>
  <c r="AW24" i="6"/>
  <c r="AV24" i="6"/>
  <c r="AT24" i="6"/>
  <c r="AS24" i="6"/>
  <c r="AR24" i="6"/>
  <c r="AQ24" i="6"/>
  <c r="AP24" i="6"/>
  <c r="AM24" i="6"/>
  <c r="AL24" i="6"/>
  <c r="AH24" i="6"/>
  <c r="AG24" i="6"/>
  <c r="AD24" i="6"/>
  <c r="AZ23" i="6"/>
  <c r="AY23" i="6"/>
  <c r="AX23" i="6"/>
  <c r="AW23" i="6"/>
  <c r="AV23" i="6"/>
  <c r="AT23" i="6"/>
  <c r="AS23" i="6"/>
  <c r="AR23" i="6"/>
  <c r="AQ23" i="6"/>
  <c r="AP23" i="6"/>
  <c r="AM23" i="6"/>
  <c r="AL23" i="6"/>
  <c r="AH23" i="6"/>
  <c r="AG23" i="6"/>
  <c r="AD23" i="6"/>
  <c r="AZ22" i="6"/>
  <c r="AY22" i="6"/>
  <c r="AX22" i="6"/>
  <c r="AW22" i="6"/>
  <c r="AV22" i="6"/>
  <c r="AT22" i="6"/>
  <c r="AS22" i="6"/>
  <c r="AR22" i="6"/>
  <c r="AQ22" i="6"/>
  <c r="AP22" i="6"/>
  <c r="AM22" i="6"/>
  <c r="AL22" i="6"/>
  <c r="AH22" i="6"/>
  <c r="AG22" i="6"/>
  <c r="AD22" i="6"/>
  <c r="AZ21" i="6"/>
  <c r="AY21" i="6"/>
  <c r="AX21" i="6"/>
  <c r="AW21" i="6"/>
  <c r="AV21" i="6"/>
  <c r="AT21" i="6"/>
  <c r="AS21" i="6"/>
  <c r="AR21" i="6"/>
  <c r="AQ21" i="6"/>
  <c r="AP21" i="6"/>
  <c r="AM21" i="6"/>
  <c r="AL21" i="6"/>
  <c r="AH21" i="6"/>
  <c r="AG21" i="6"/>
  <c r="AD21" i="6"/>
  <c r="AZ20" i="6"/>
  <c r="AY20" i="6"/>
  <c r="AX20" i="6"/>
  <c r="AW20" i="6"/>
  <c r="AV20" i="6"/>
  <c r="AT20" i="6"/>
  <c r="AS20" i="6"/>
  <c r="AR20" i="6"/>
  <c r="AQ20" i="6"/>
  <c r="AP20" i="6"/>
  <c r="AM20" i="6"/>
  <c r="AL20" i="6"/>
  <c r="AH20" i="6"/>
  <c r="AG20" i="6"/>
  <c r="AD20" i="6"/>
  <c r="AZ19" i="6"/>
  <c r="AY19" i="6"/>
  <c r="AX19" i="6"/>
  <c r="AW19" i="6"/>
  <c r="AV19" i="6"/>
  <c r="AT19" i="6"/>
  <c r="AS19" i="6"/>
  <c r="AR19" i="6"/>
  <c r="AQ19" i="6"/>
  <c r="AP19" i="6"/>
  <c r="AM19" i="6"/>
  <c r="AL19" i="6"/>
  <c r="AH19" i="6"/>
  <c r="AG19" i="6"/>
  <c r="AD19" i="6"/>
  <c r="AZ18" i="6"/>
  <c r="AY18" i="6"/>
  <c r="AX18" i="6"/>
  <c r="AW18" i="6"/>
  <c r="AV18" i="6"/>
  <c r="AT18" i="6"/>
  <c r="AS18" i="6"/>
  <c r="AR18" i="6"/>
  <c r="AQ18" i="6"/>
  <c r="AP18" i="6"/>
  <c r="AM18" i="6"/>
  <c r="AL18" i="6"/>
  <c r="AH18" i="6"/>
  <c r="AG18" i="6"/>
  <c r="AD18" i="6"/>
  <c r="AZ17" i="6"/>
  <c r="AY17" i="6"/>
  <c r="AX17" i="6"/>
  <c r="AW17" i="6"/>
  <c r="AV17" i="6"/>
  <c r="AT17" i="6"/>
  <c r="AS17" i="6"/>
  <c r="AR17" i="6"/>
  <c r="AQ17" i="6"/>
  <c r="AP17" i="6"/>
  <c r="AM17" i="6"/>
  <c r="AL17" i="6"/>
  <c r="AH17" i="6"/>
  <c r="AG17" i="6"/>
  <c r="AD17" i="6"/>
  <c r="AZ16" i="6"/>
  <c r="AY16" i="6"/>
  <c r="AX16" i="6"/>
  <c r="AW16" i="6"/>
  <c r="AV16" i="6"/>
  <c r="AT16" i="6"/>
  <c r="AS16" i="6"/>
  <c r="AR16" i="6"/>
  <c r="AQ16" i="6"/>
  <c r="AP16" i="6"/>
  <c r="AM16" i="6"/>
  <c r="AL16" i="6"/>
  <c r="AK16" i="6"/>
  <c r="AH16" i="6"/>
  <c r="AG16" i="6"/>
  <c r="AF16" i="6"/>
  <c r="AD16" i="6"/>
  <c r="AC16" i="6"/>
  <c r="AB16" i="6"/>
  <c r="K16" i="6"/>
  <c r="AZ15" i="6"/>
  <c r="AY15" i="6"/>
  <c r="AX15" i="6"/>
  <c r="AW15" i="6"/>
  <c r="AV15" i="6"/>
  <c r="AT15" i="6"/>
  <c r="AS15" i="6"/>
  <c r="AR15" i="6"/>
  <c r="AQ15" i="6"/>
  <c r="AP15" i="6"/>
  <c r="AM15" i="6"/>
  <c r="AL15" i="6"/>
  <c r="AH15" i="6"/>
  <c r="AG15" i="6"/>
  <c r="AD15" i="6"/>
  <c r="AZ14" i="6"/>
  <c r="AY14" i="6"/>
  <c r="AX14" i="6"/>
  <c r="AW14" i="6"/>
  <c r="AV14" i="6"/>
  <c r="AT14" i="6"/>
  <c r="AS14" i="6"/>
  <c r="AR14" i="6"/>
  <c r="AQ14" i="6"/>
  <c r="AP14" i="6"/>
  <c r="AM14" i="6"/>
  <c r="AL14" i="6"/>
  <c r="AH14" i="6"/>
  <c r="AG14" i="6"/>
  <c r="AD14" i="6"/>
  <c r="AZ13" i="6"/>
  <c r="AY13" i="6"/>
  <c r="AX13" i="6"/>
  <c r="AW13" i="6"/>
  <c r="AV13" i="6"/>
  <c r="AT13" i="6"/>
  <c r="AS13" i="6"/>
  <c r="AR13" i="6"/>
  <c r="AQ13" i="6"/>
  <c r="AP13" i="6"/>
  <c r="AM13" i="6"/>
  <c r="AL13" i="6"/>
  <c r="AK13" i="6"/>
  <c r="AH13" i="6"/>
  <c r="AG13" i="6"/>
  <c r="AF13" i="6"/>
  <c r="AD13" i="6"/>
  <c r="AC13" i="6"/>
  <c r="AB13" i="6"/>
  <c r="AZ12" i="6"/>
  <c r="AY12" i="6"/>
  <c r="AX12" i="6"/>
  <c r="AW12" i="6"/>
  <c r="AV12" i="6"/>
  <c r="AT12" i="6"/>
  <c r="AS12" i="6"/>
  <c r="AR12" i="6"/>
  <c r="AQ12" i="6"/>
  <c r="AP12" i="6"/>
  <c r="AM12" i="6"/>
  <c r="AL12" i="6"/>
  <c r="AK12" i="6"/>
  <c r="AH12" i="6"/>
  <c r="AG12" i="6"/>
  <c r="AF12" i="6"/>
  <c r="AD12" i="6"/>
  <c r="AC12" i="6"/>
  <c r="AB12" i="6"/>
  <c r="AZ11" i="6"/>
  <c r="AY11" i="6"/>
  <c r="AX11" i="6"/>
  <c r="AW11" i="6"/>
  <c r="AV11" i="6"/>
  <c r="AT11" i="6"/>
  <c r="AS11" i="6"/>
  <c r="AR11" i="6"/>
  <c r="AQ11" i="6"/>
  <c r="AP11" i="6"/>
  <c r="AM11" i="6"/>
  <c r="AL11" i="6"/>
  <c r="AK11" i="6"/>
  <c r="AH11" i="6"/>
  <c r="AG11" i="6"/>
  <c r="AF11" i="6"/>
  <c r="AD11" i="6"/>
  <c r="AC11" i="6"/>
  <c r="AB11" i="6"/>
  <c r="K11" i="6"/>
  <c r="AZ10" i="6"/>
  <c r="AY10" i="6"/>
  <c r="AX10" i="6"/>
  <c r="AW10" i="6"/>
  <c r="AV10" i="6"/>
  <c r="AT10" i="6"/>
  <c r="AS10" i="6"/>
  <c r="AR10" i="6"/>
  <c r="AQ10" i="6"/>
  <c r="AP10" i="6"/>
  <c r="AM10" i="6"/>
  <c r="AL10" i="6"/>
  <c r="AK10" i="6"/>
  <c r="AH10" i="6"/>
  <c r="AG10" i="6"/>
  <c r="AF10" i="6"/>
  <c r="AD10" i="6"/>
  <c r="AC10" i="6"/>
  <c r="AB10" i="6"/>
  <c r="K10" i="6"/>
  <c r="AZ9" i="6"/>
  <c r="AY9" i="6"/>
  <c r="AX9" i="6"/>
  <c r="AW9" i="6"/>
  <c r="AV9" i="6"/>
  <c r="AT9" i="6"/>
  <c r="AS9" i="6"/>
  <c r="AR9" i="6"/>
  <c r="AQ9" i="6"/>
  <c r="AP9" i="6"/>
  <c r="AM9" i="6"/>
  <c r="AL9" i="6"/>
  <c r="AK9" i="6"/>
  <c r="AH9" i="6"/>
  <c r="AG9" i="6"/>
  <c r="AF9" i="6"/>
  <c r="AD9" i="6"/>
  <c r="AC9" i="6"/>
  <c r="AB9" i="6"/>
  <c r="K9" i="6"/>
  <c r="AZ8" i="6"/>
  <c r="AY8" i="6"/>
  <c r="AX8" i="6"/>
  <c r="AW8" i="6"/>
  <c r="AV8" i="6"/>
  <c r="AT8" i="6"/>
  <c r="AS8" i="6"/>
  <c r="AR8" i="6"/>
  <c r="AQ8" i="6"/>
  <c r="AP8" i="6"/>
  <c r="AM8" i="6"/>
  <c r="AL8" i="6"/>
  <c r="AK8" i="6"/>
  <c r="AH8" i="6"/>
  <c r="AG8" i="6"/>
  <c r="AF8" i="6"/>
  <c r="AD8" i="6"/>
  <c r="AC8" i="6"/>
  <c r="AB8" i="6"/>
  <c r="K8" i="6"/>
  <c r="AZ7" i="6"/>
  <c r="AY7" i="6"/>
  <c r="AX7" i="6"/>
  <c r="AW7" i="6"/>
  <c r="AV7" i="6"/>
  <c r="AT7" i="6"/>
  <c r="AS7" i="6"/>
  <c r="AR7" i="6"/>
  <c r="AQ7" i="6"/>
  <c r="AP7" i="6"/>
  <c r="AM7" i="6"/>
  <c r="AL7" i="6"/>
  <c r="AK7" i="6"/>
  <c r="AH7" i="6"/>
  <c r="AG7" i="6"/>
  <c r="AF7" i="6"/>
  <c r="AD7" i="6"/>
  <c r="AC7" i="6"/>
  <c r="AB7" i="6"/>
  <c r="K7" i="6"/>
  <c r="AZ6" i="6"/>
  <c r="AY6" i="6"/>
  <c r="AX6" i="6"/>
  <c r="AW6" i="6"/>
  <c r="AV6" i="6"/>
  <c r="AT6" i="6"/>
  <c r="AS6" i="6"/>
  <c r="AR6" i="6"/>
  <c r="AQ6" i="6"/>
  <c r="AP6" i="6"/>
  <c r="AM6" i="6"/>
  <c r="AL6" i="6"/>
  <c r="AK6" i="6"/>
  <c r="AH6" i="6"/>
  <c r="AG6" i="6"/>
  <c r="AF6" i="6"/>
  <c r="AD6" i="6"/>
  <c r="AC6" i="6"/>
  <c r="AB6" i="6"/>
  <c r="K6" i="6"/>
  <c r="AZ5" i="6"/>
  <c r="AY5" i="6"/>
  <c r="AX5" i="6"/>
  <c r="AW5" i="6"/>
  <c r="AV5" i="6"/>
  <c r="AT5" i="6"/>
  <c r="AS5" i="6"/>
  <c r="AR5" i="6"/>
  <c r="AQ5" i="6"/>
  <c r="AP5" i="6"/>
  <c r="AM5" i="6"/>
  <c r="AL5" i="6"/>
  <c r="AK5" i="6"/>
  <c r="AH5" i="6"/>
  <c r="AG5" i="6"/>
  <c r="AF5" i="6"/>
  <c r="AD5" i="6"/>
  <c r="AC5" i="6"/>
  <c r="AB5" i="6"/>
  <c r="K5" i="6"/>
  <c r="AZ4" i="6"/>
  <c r="AY4" i="6"/>
  <c r="AX4" i="6"/>
  <c r="AW4" i="6"/>
  <c r="AV4" i="6"/>
  <c r="AT4" i="6"/>
  <c r="AS4" i="6"/>
  <c r="AR4" i="6"/>
  <c r="AQ4" i="6"/>
  <c r="AP4" i="6"/>
  <c r="AM4" i="6"/>
  <c r="AL4" i="6"/>
  <c r="AK4" i="6"/>
  <c r="AH4" i="6"/>
  <c r="AG4" i="6"/>
  <c r="AF4" i="6"/>
  <c r="AD4" i="6"/>
  <c r="AC4" i="6"/>
  <c r="AB4" i="6"/>
  <c r="AZ3" i="6"/>
  <c r="AY3" i="6"/>
  <c r="AX3" i="6"/>
  <c r="AW3" i="6"/>
  <c r="AV3" i="6"/>
  <c r="AT3" i="6"/>
  <c r="AS3" i="6"/>
  <c r="AR3" i="6"/>
  <c r="AQ3" i="6"/>
  <c r="AP3" i="6"/>
  <c r="AM3" i="6"/>
  <c r="AL3" i="6"/>
  <c r="AK3" i="6"/>
  <c r="AH3" i="6"/>
  <c r="AG3" i="6"/>
  <c r="AF3" i="6"/>
  <c r="AD3" i="6"/>
  <c r="D23" i="13" s="1"/>
  <c r="AC3" i="6"/>
  <c r="AB3" i="6"/>
  <c r="L146" i="4"/>
  <c r="L148" i="4" s="1"/>
  <c r="BB81" i="4"/>
  <c r="BA81" i="4"/>
  <c r="AZ81" i="4"/>
  <c r="AY81" i="4"/>
  <c r="AX81" i="4"/>
  <c r="AV81" i="4"/>
  <c r="AU81" i="4"/>
  <c r="AT81" i="4"/>
  <c r="AS81" i="4"/>
  <c r="AR81" i="4"/>
  <c r="AO81" i="4"/>
  <c r="AN81" i="4"/>
  <c r="AM81" i="4"/>
  <c r="AJ81" i="4"/>
  <c r="AI81" i="4"/>
  <c r="AH81" i="4"/>
  <c r="AF81" i="4"/>
  <c r="AE81" i="4"/>
  <c r="AD81" i="4"/>
  <c r="M81" i="4"/>
  <c r="BB80" i="4"/>
  <c r="BA80" i="4"/>
  <c r="AZ80" i="4"/>
  <c r="AY80" i="4"/>
  <c r="AX80" i="4"/>
  <c r="AV80" i="4"/>
  <c r="AU80" i="4"/>
  <c r="AT80" i="4"/>
  <c r="AS80" i="4"/>
  <c r="AR80" i="4"/>
  <c r="AO80" i="4"/>
  <c r="AN80" i="4"/>
  <c r="AM80" i="4"/>
  <c r="AJ80" i="4"/>
  <c r="AI80" i="4"/>
  <c r="AH80" i="4"/>
  <c r="AF80" i="4"/>
  <c r="AE80" i="4"/>
  <c r="AD80" i="4"/>
  <c r="M80" i="4"/>
  <c r="BB79" i="4"/>
  <c r="BA79" i="4"/>
  <c r="AZ79" i="4"/>
  <c r="AY79" i="4"/>
  <c r="AX79" i="4"/>
  <c r="AV79" i="4"/>
  <c r="AU79" i="4"/>
  <c r="AT79" i="4"/>
  <c r="AS79" i="4"/>
  <c r="AR79" i="4"/>
  <c r="AO79" i="4"/>
  <c r="AN79" i="4"/>
  <c r="AM79" i="4"/>
  <c r="AJ79" i="4"/>
  <c r="AI79" i="4"/>
  <c r="AH79" i="4"/>
  <c r="AF79" i="4"/>
  <c r="AE79" i="4"/>
  <c r="AD79" i="4"/>
  <c r="M79" i="4"/>
  <c r="BB78" i="4"/>
  <c r="BA78" i="4"/>
  <c r="AZ78" i="4"/>
  <c r="AY78" i="4"/>
  <c r="AX78" i="4"/>
  <c r="AV78" i="4"/>
  <c r="AU78" i="4"/>
  <c r="AT78" i="4"/>
  <c r="AS78" i="4"/>
  <c r="AR78" i="4"/>
  <c r="AO78" i="4"/>
  <c r="AN78" i="4"/>
  <c r="AM78" i="4"/>
  <c r="AJ78" i="4"/>
  <c r="AI78" i="4"/>
  <c r="AH78" i="4"/>
  <c r="AF78" i="4"/>
  <c r="AE78" i="4"/>
  <c r="AD78" i="4"/>
  <c r="M78" i="4"/>
  <c r="BB77" i="4"/>
  <c r="BA77" i="4"/>
  <c r="AZ77" i="4"/>
  <c r="AY77" i="4"/>
  <c r="AX77" i="4"/>
  <c r="AV77" i="4"/>
  <c r="AU77" i="4"/>
  <c r="AT77" i="4"/>
  <c r="AS77" i="4"/>
  <c r="AR77" i="4"/>
  <c r="AO77" i="4"/>
  <c r="AN77" i="4"/>
  <c r="AM77" i="4"/>
  <c r="AJ77" i="4"/>
  <c r="AI77" i="4"/>
  <c r="AH77" i="4"/>
  <c r="AF77" i="4"/>
  <c r="AE77" i="4"/>
  <c r="AD77" i="4"/>
  <c r="M77" i="4"/>
  <c r="BB76" i="4"/>
  <c r="BA76" i="4"/>
  <c r="AZ76" i="4"/>
  <c r="AY76" i="4"/>
  <c r="AX76" i="4"/>
  <c r="AV76" i="4"/>
  <c r="AU76" i="4"/>
  <c r="AT76" i="4"/>
  <c r="AS76" i="4"/>
  <c r="AR76" i="4"/>
  <c r="AO76" i="4"/>
  <c r="AN76" i="4"/>
  <c r="AM76" i="4"/>
  <c r="AJ76" i="4"/>
  <c r="AI76" i="4"/>
  <c r="AH76" i="4"/>
  <c r="AF76" i="4"/>
  <c r="AE76" i="4"/>
  <c r="AD76" i="4"/>
  <c r="M76" i="4"/>
  <c r="BB75" i="4"/>
  <c r="BA75" i="4"/>
  <c r="AZ75" i="4"/>
  <c r="AY75" i="4"/>
  <c r="AX75" i="4"/>
  <c r="AV75" i="4"/>
  <c r="AU75" i="4"/>
  <c r="AT75" i="4"/>
  <c r="AS75" i="4"/>
  <c r="AR75" i="4"/>
  <c r="AO75" i="4"/>
  <c r="AN75" i="4"/>
  <c r="AM75" i="4"/>
  <c r="AJ75" i="4"/>
  <c r="AI75" i="4"/>
  <c r="AH75" i="4"/>
  <c r="AF75" i="4"/>
  <c r="AE75" i="4"/>
  <c r="AD75" i="4"/>
  <c r="M75" i="4"/>
  <c r="BB74" i="4"/>
  <c r="BA74" i="4"/>
  <c r="AZ74" i="4"/>
  <c r="AY74" i="4"/>
  <c r="AX74" i="4"/>
  <c r="AV74" i="4"/>
  <c r="AU74" i="4"/>
  <c r="AT74" i="4"/>
  <c r="AS74" i="4"/>
  <c r="AR74" i="4"/>
  <c r="AO74" i="4"/>
  <c r="AN74" i="4"/>
  <c r="AM74" i="4"/>
  <c r="AJ74" i="4"/>
  <c r="AI74" i="4"/>
  <c r="AH74" i="4"/>
  <c r="AF74" i="4"/>
  <c r="AE74" i="4"/>
  <c r="AD74" i="4"/>
  <c r="M74" i="4"/>
  <c r="BB73" i="4"/>
  <c r="BA73" i="4"/>
  <c r="AZ73" i="4"/>
  <c r="AY73" i="4"/>
  <c r="AX73" i="4"/>
  <c r="AV73" i="4"/>
  <c r="AU73" i="4"/>
  <c r="AT73" i="4"/>
  <c r="AS73" i="4"/>
  <c r="AR73" i="4"/>
  <c r="AO73" i="4"/>
  <c r="AN73" i="4"/>
  <c r="AM73" i="4"/>
  <c r="AJ73" i="4"/>
  <c r="AI73" i="4"/>
  <c r="AH73" i="4"/>
  <c r="AF73" i="4"/>
  <c r="AE73" i="4"/>
  <c r="AD73" i="4"/>
  <c r="M73" i="4"/>
  <c r="BB72" i="4"/>
  <c r="BA72" i="4"/>
  <c r="AZ72" i="4"/>
  <c r="AY72" i="4"/>
  <c r="AX72" i="4"/>
  <c r="AV72" i="4"/>
  <c r="AU72" i="4"/>
  <c r="AT72" i="4"/>
  <c r="AS72" i="4"/>
  <c r="AR72" i="4"/>
  <c r="AO72" i="4"/>
  <c r="AN72" i="4"/>
  <c r="AM72" i="4"/>
  <c r="AJ72" i="4"/>
  <c r="AI72" i="4"/>
  <c r="AH72" i="4"/>
  <c r="AF72" i="4"/>
  <c r="AE72" i="4"/>
  <c r="AD72" i="4"/>
  <c r="M72" i="4"/>
  <c r="BB71" i="4"/>
  <c r="BA71" i="4"/>
  <c r="AZ71" i="4"/>
  <c r="AY71" i="4"/>
  <c r="AX71" i="4"/>
  <c r="AV71" i="4"/>
  <c r="AU71" i="4"/>
  <c r="AT71" i="4"/>
  <c r="AS71" i="4"/>
  <c r="AR71" i="4"/>
  <c r="AO71" i="4"/>
  <c r="AN71" i="4"/>
  <c r="AM71" i="4"/>
  <c r="AJ71" i="4"/>
  <c r="AI71" i="4"/>
  <c r="AH71" i="4"/>
  <c r="AF71" i="4"/>
  <c r="AE71" i="4"/>
  <c r="AD71" i="4"/>
  <c r="M71" i="4"/>
  <c r="BB70" i="4"/>
  <c r="BA70" i="4"/>
  <c r="AZ70" i="4"/>
  <c r="AY70" i="4"/>
  <c r="AX70" i="4"/>
  <c r="AV70" i="4"/>
  <c r="AU70" i="4"/>
  <c r="AT70" i="4"/>
  <c r="AS70" i="4"/>
  <c r="AR70" i="4"/>
  <c r="AO70" i="4"/>
  <c r="AN70" i="4"/>
  <c r="AM70" i="4"/>
  <c r="AJ70" i="4"/>
  <c r="AI70" i="4"/>
  <c r="AH70" i="4"/>
  <c r="AF70" i="4"/>
  <c r="AE70" i="4"/>
  <c r="AD70" i="4"/>
  <c r="M70" i="4"/>
  <c r="BB69" i="4"/>
  <c r="BA69" i="4"/>
  <c r="AZ69" i="4"/>
  <c r="AY69" i="4"/>
  <c r="AX69" i="4"/>
  <c r="AV69" i="4"/>
  <c r="AU69" i="4"/>
  <c r="AT69" i="4"/>
  <c r="AS69" i="4"/>
  <c r="AR69" i="4"/>
  <c r="AO69" i="4"/>
  <c r="AN69" i="4"/>
  <c r="AM69" i="4"/>
  <c r="AJ69" i="4"/>
  <c r="AI69" i="4"/>
  <c r="AH69" i="4"/>
  <c r="AF69" i="4"/>
  <c r="AE69" i="4"/>
  <c r="AD69" i="4"/>
  <c r="M69" i="4"/>
  <c r="BB68" i="4"/>
  <c r="BA68" i="4"/>
  <c r="AZ68" i="4"/>
  <c r="AY68" i="4"/>
  <c r="AX68" i="4"/>
  <c r="AV68" i="4"/>
  <c r="AU68" i="4"/>
  <c r="AT68" i="4"/>
  <c r="AS68" i="4"/>
  <c r="AR68" i="4"/>
  <c r="AO68" i="4"/>
  <c r="AN68" i="4"/>
  <c r="AM68" i="4"/>
  <c r="AJ68" i="4"/>
  <c r="AI68" i="4"/>
  <c r="AH68" i="4"/>
  <c r="AF68" i="4"/>
  <c r="AE68" i="4"/>
  <c r="AD68" i="4"/>
  <c r="M68" i="4"/>
  <c r="BB67" i="4"/>
  <c r="BA67" i="4"/>
  <c r="AZ67" i="4"/>
  <c r="AY67" i="4"/>
  <c r="AX67" i="4"/>
  <c r="AV67" i="4"/>
  <c r="AU67" i="4"/>
  <c r="AT67" i="4"/>
  <c r="AS67" i="4"/>
  <c r="AR67" i="4"/>
  <c r="AO67" i="4"/>
  <c r="AN67" i="4"/>
  <c r="AM67" i="4"/>
  <c r="AJ67" i="4"/>
  <c r="AI67" i="4"/>
  <c r="AH67" i="4"/>
  <c r="AF67" i="4"/>
  <c r="AE67" i="4"/>
  <c r="AD67" i="4"/>
  <c r="M67" i="4"/>
  <c r="BB66" i="4"/>
  <c r="BA66" i="4"/>
  <c r="AZ66" i="4"/>
  <c r="AY66" i="4"/>
  <c r="AX66" i="4"/>
  <c r="AV66" i="4"/>
  <c r="AU66" i="4"/>
  <c r="AT66" i="4"/>
  <c r="AS66" i="4"/>
  <c r="AR66" i="4"/>
  <c r="AO66" i="4"/>
  <c r="AN66" i="4"/>
  <c r="AM66" i="4"/>
  <c r="AJ66" i="4"/>
  <c r="AI66" i="4"/>
  <c r="AH66" i="4"/>
  <c r="AF66" i="4"/>
  <c r="AE66" i="4"/>
  <c r="AD66" i="4"/>
  <c r="M66" i="4"/>
  <c r="BB65" i="4"/>
  <c r="BA65" i="4"/>
  <c r="AZ65" i="4"/>
  <c r="AY65" i="4"/>
  <c r="AX65" i="4"/>
  <c r="AV65" i="4"/>
  <c r="AU65" i="4"/>
  <c r="AT65" i="4"/>
  <c r="AS65" i="4"/>
  <c r="AR65" i="4"/>
  <c r="AO65" i="4"/>
  <c r="AN65" i="4"/>
  <c r="AM65" i="4"/>
  <c r="AJ65" i="4"/>
  <c r="AI65" i="4"/>
  <c r="AH65" i="4"/>
  <c r="AF65" i="4"/>
  <c r="AE65" i="4"/>
  <c r="AD65" i="4"/>
  <c r="M65" i="4"/>
  <c r="BB64" i="4"/>
  <c r="BA64" i="4"/>
  <c r="AZ64" i="4"/>
  <c r="AY64" i="4"/>
  <c r="AX64" i="4"/>
  <c r="AV64" i="4"/>
  <c r="AU64" i="4"/>
  <c r="AT64" i="4"/>
  <c r="AS64" i="4"/>
  <c r="AR64" i="4"/>
  <c r="AO64" i="4"/>
  <c r="AN64" i="4"/>
  <c r="AM64" i="4"/>
  <c r="AJ64" i="4"/>
  <c r="AI64" i="4"/>
  <c r="AH64" i="4"/>
  <c r="AF64" i="4"/>
  <c r="AE64" i="4"/>
  <c r="AD64" i="4"/>
  <c r="M64" i="4"/>
  <c r="BB63" i="4"/>
  <c r="BA63" i="4"/>
  <c r="AZ63" i="4"/>
  <c r="AY63" i="4"/>
  <c r="AX63" i="4"/>
  <c r="AV63" i="4"/>
  <c r="AU63" i="4"/>
  <c r="AT63" i="4"/>
  <c r="AS63" i="4"/>
  <c r="AR63" i="4"/>
  <c r="AO63" i="4"/>
  <c r="AN63" i="4"/>
  <c r="AM63" i="4"/>
  <c r="AJ63" i="4"/>
  <c r="AI63" i="4"/>
  <c r="AH63" i="4"/>
  <c r="AF63" i="4"/>
  <c r="AE63" i="4"/>
  <c r="AD63" i="4"/>
  <c r="M63" i="4"/>
  <c r="BB62" i="4"/>
  <c r="BA62" i="4"/>
  <c r="AZ62" i="4"/>
  <c r="AY62" i="4"/>
  <c r="AX62" i="4"/>
  <c r="AV62" i="4"/>
  <c r="AU62" i="4"/>
  <c r="AT62" i="4"/>
  <c r="AS62" i="4"/>
  <c r="AR62" i="4"/>
  <c r="AO62" i="4"/>
  <c r="AN62" i="4"/>
  <c r="AM62" i="4"/>
  <c r="AJ62" i="4"/>
  <c r="AI62" i="4"/>
  <c r="AH62" i="4"/>
  <c r="AF62" i="4"/>
  <c r="AE62" i="4"/>
  <c r="AD62" i="4"/>
  <c r="M62" i="4"/>
  <c r="BB61" i="4"/>
  <c r="BA61" i="4"/>
  <c r="AZ61" i="4"/>
  <c r="AY61" i="4"/>
  <c r="AX61" i="4"/>
  <c r="AV61" i="4"/>
  <c r="AU61" i="4"/>
  <c r="AT61" i="4"/>
  <c r="AS61" i="4"/>
  <c r="AR61" i="4"/>
  <c r="AO61" i="4"/>
  <c r="AN61" i="4"/>
  <c r="AM61" i="4"/>
  <c r="AJ61" i="4"/>
  <c r="AI61" i="4"/>
  <c r="AH61" i="4"/>
  <c r="AF61" i="4"/>
  <c r="AE61" i="4"/>
  <c r="AD61" i="4"/>
  <c r="M61" i="4"/>
  <c r="BB60" i="4"/>
  <c r="BA60" i="4"/>
  <c r="AZ60" i="4"/>
  <c r="AY60" i="4"/>
  <c r="AX60" i="4"/>
  <c r="AV60" i="4"/>
  <c r="AU60" i="4"/>
  <c r="AT60" i="4"/>
  <c r="AS60" i="4"/>
  <c r="AR60" i="4"/>
  <c r="AO60" i="4"/>
  <c r="AN60" i="4"/>
  <c r="AM60" i="4"/>
  <c r="AJ60" i="4"/>
  <c r="AI60" i="4"/>
  <c r="AH60" i="4"/>
  <c r="AF60" i="4"/>
  <c r="AE60" i="4"/>
  <c r="AD60" i="4"/>
  <c r="M60" i="4"/>
  <c r="BB59" i="4"/>
  <c r="BA59" i="4"/>
  <c r="AZ59" i="4"/>
  <c r="AY59" i="4"/>
  <c r="AX59" i="4"/>
  <c r="AV59" i="4"/>
  <c r="AU59" i="4"/>
  <c r="AT59" i="4"/>
  <c r="AS59" i="4"/>
  <c r="AR59" i="4"/>
  <c r="AO59" i="4"/>
  <c r="AN59" i="4"/>
  <c r="AM59" i="4"/>
  <c r="AJ59" i="4"/>
  <c r="AI59" i="4"/>
  <c r="AH59" i="4"/>
  <c r="AF59" i="4"/>
  <c r="AE59" i="4"/>
  <c r="AD59" i="4"/>
  <c r="M59" i="4"/>
  <c r="BB58" i="4"/>
  <c r="BA58" i="4"/>
  <c r="AZ58" i="4"/>
  <c r="AY58" i="4"/>
  <c r="AX58" i="4"/>
  <c r="AV58" i="4"/>
  <c r="AU58" i="4"/>
  <c r="AT58" i="4"/>
  <c r="AS58" i="4"/>
  <c r="AR58" i="4"/>
  <c r="AO58" i="4"/>
  <c r="AN58" i="4"/>
  <c r="AM58" i="4"/>
  <c r="AJ58" i="4"/>
  <c r="AI58" i="4"/>
  <c r="AH58" i="4"/>
  <c r="AF58" i="4"/>
  <c r="AE58" i="4"/>
  <c r="AD58" i="4"/>
  <c r="M58" i="4"/>
  <c r="BB57" i="4"/>
  <c r="BA57" i="4"/>
  <c r="AZ57" i="4"/>
  <c r="AY57" i="4"/>
  <c r="AX57" i="4"/>
  <c r="AV57" i="4"/>
  <c r="AU57" i="4"/>
  <c r="AT57" i="4"/>
  <c r="AS57" i="4"/>
  <c r="AR57" i="4"/>
  <c r="AO57" i="4"/>
  <c r="AN57" i="4"/>
  <c r="AM57" i="4"/>
  <c r="AJ57" i="4"/>
  <c r="AI57" i="4"/>
  <c r="AH57" i="4"/>
  <c r="AF57" i="4"/>
  <c r="AE57" i="4"/>
  <c r="AD57" i="4"/>
  <c r="M57" i="4"/>
  <c r="BB56" i="4"/>
  <c r="BA56" i="4"/>
  <c r="AZ56" i="4"/>
  <c r="AY56" i="4"/>
  <c r="AX56" i="4"/>
  <c r="AV56" i="4"/>
  <c r="AU56" i="4"/>
  <c r="AT56" i="4"/>
  <c r="AS56" i="4"/>
  <c r="AR56" i="4"/>
  <c r="AO56" i="4"/>
  <c r="AN56" i="4"/>
  <c r="AM56" i="4"/>
  <c r="AJ56" i="4"/>
  <c r="AI56" i="4"/>
  <c r="AH56" i="4"/>
  <c r="AF56" i="4"/>
  <c r="AE56" i="4"/>
  <c r="AD56" i="4"/>
  <c r="M56" i="4"/>
  <c r="BB55" i="4"/>
  <c r="BA55" i="4"/>
  <c r="AZ55" i="4"/>
  <c r="AY55" i="4"/>
  <c r="AX55" i="4"/>
  <c r="AV55" i="4"/>
  <c r="AU55" i="4"/>
  <c r="AT55" i="4"/>
  <c r="AS55" i="4"/>
  <c r="AR55" i="4"/>
  <c r="AO55" i="4"/>
  <c r="AN55" i="4"/>
  <c r="AM55" i="4"/>
  <c r="AJ55" i="4"/>
  <c r="AI55" i="4"/>
  <c r="AH55" i="4"/>
  <c r="AF55" i="4"/>
  <c r="AE55" i="4"/>
  <c r="AD55" i="4"/>
  <c r="M55" i="4"/>
  <c r="BB54" i="4"/>
  <c r="BA54" i="4"/>
  <c r="AZ54" i="4"/>
  <c r="AY54" i="4"/>
  <c r="AX54" i="4"/>
  <c r="AV54" i="4"/>
  <c r="AU54" i="4"/>
  <c r="AT54" i="4"/>
  <c r="AS54" i="4"/>
  <c r="AR54" i="4"/>
  <c r="AO54" i="4"/>
  <c r="AN54" i="4"/>
  <c r="AM54" i="4"/>
  <c r="AJ54" i="4"/>
  <c r="AI54" i="4"/>
  <c r="AH54" i="4"/>
  <c r="AF54" i="4"/>
  <c r="AE54" i="4"/>
  <c r="AD54" i="4"/>
  <c r="M54" i="4"/>
  <c r="BB53" i="4"/>
  <c r="BA53" i="4"/>
  <c r="AZ53" i="4"/>
  <c r="AY53" i="4"/>
  <c r="AX53" i="4"/>
  <c r="AV53" i="4"/>
  <c r="AU53" i="4"/>
  <c r="AT53" i="4"/>
  <c r="AS53" i="4"/>
  <c r="AR53" i="4"/>
  <c r="AO53" i="4"/>
  <c r="AN53" i="4"/>
  <c r="AM53" i="4"/>
  <c r="AJ53" i="4"/>
  <c r="AI53" i="4"/>
  <c r="AH53" i="4"/>
  <c r="AF53" i="4"/>
  <c r="AE53" i="4"/>
  <c r="AD53" i="4"/>
  <c r="M53" i="4"/>
  <c r="BB52" i="4"/>
  <c r="BA52" i="4"/>
  <c r="AZ52" i="4"/>
  <c r="AY52" i="4"/>
  <c r="AX52" i="4"/>
  <c r="AV52" i="4"/>
  <c r="AU52" i="4"/>
  <c r="AT52" i="4"/>
  <c r="AS52" i="4"/>
  <c r="AR52" i="4"/>
  <c r="AO52" i="4"/>
  <c r="AN52" i="4"/>
  <c r="AM52" i="4"/>
  <c r="AJ52" i="4"/>
  <c r="AI52" i="4"/>
  <c r="AH52" i="4"/>
  <c r="AF52" i="4"/>
  <c r="AE52" i="4"/>
  <c r="AD52" i="4"/>
  <c r="M52" i="4"/>
  <c r="BB51" i="4"/>
  <c r="BA51" i="4"/>
  <c r="AZ51" i="4"/>
  <c r="AY51" i="4"/>
  <c r="AX51" i="4"/>
  <c r="AV51" i="4"/>
  <c r="AU51" i="4"/>
  <c r="AT51" i="4"/>
  <c r="AS51" i="4"/>
  <c r="AR51" i="4"/>
  <c r="AO51" i="4"/>
  <c r="AN51" i="4"/>
  <c r="AM51" i="4"/>
  <c r="AJ51" i="4"/>
  <c r="AI51" i="4"/>
  <c r="AH51" i="4"/>
  <c r="AF51" i="4"/>
  <c r="AE51" i="4"/>
  <c r="AD51" i="4"/>
  <c r="M51" i="4"/>
  <c r="BB50" i="4"/>
  <c r="BA50" i="4"/>
  <c r="AZ50" i="4"/>
  <c r="AY50" i="4"/>
  <c r="AX50" i="4"/>
  <c r="AV50" i="4"/>
  <c r="AU50" i="4"/>
  <c r="AT50" i="4"/>
  <c r="AS50" i="4"/>
  <c r="AR50" i="4"/>
  <c r="AO50" i="4"/>
  <c r="AN50" i="4"/>
  <c r="AM50" i="4"/>
  <c r="AJ50" i="4"/>
  <c r="AI50" i="4"/>
  <c r="AH50" i="4"/>
  <c r="AF50" i="4"/>
  <c r="AE50" i="4"/>
  <c r="AD50" i="4"/>
  <c r="M50" i="4"/>
  <c r="BB49" i="4"/>
  <c r="BA49" i="4"/>
  <c r="AZ49" i="4"/>
  <c r="AY49" i="4"/>
  <c r="AX49" i="4"/>
  <c r="AV49" i="4"/>
  <c r="AU49" i="4"/>
  <c r="AT49" i="4"/>
  <c r="AS49" i="4"/>
  <c r="AR49" i="4"/>
  <c r="AO49" i="4"/>
  <c r="AN49" i="4"/>
  <c r="AM49" i="4"/>
  <c r="AJ49" i="4"/>
  <c r="AI49" i="4"/>
  <c r="AH49" i="4"/>
  <c r="AF49" i="4"/>
  <c r="AE49" i="4"/>
  <c r="AD49" i="4"/>
  <c r="M49" i="4"/>
  <c r="BB48" i="4"/>
  <c r="BA48" i="4"/>
  <c r="AZ48" i="4"/>
  <c r="AY48" i="4"/>
  <c r="AX48" i="4"/>
  <c r="AV48" i="4"/>
  <c r="AU48" i="4"/>
  <c r="AT48" i="4"/>
  <c r="AS48" i="4"/>
  <c r="AR48" i="4"/>
  <c r="AO48" i="4"/>
  <c r="AN48" i="4"/>
  <c r="AM48" i="4"/>
  <c r="AJ48" i="4"/>
  <c r="AI48" i="4"/>
  <c r="AH48" i="4"/>
  <c r="AF48" i="4"/>
  <c r="AE48" i="4"/>
  <c r="AD48" i="4"/>
  <c r="M48" i="4"/>
  <c r="BB47" i="4"/>
  <c r="BA47" i="4"/>
  <c r="AZ47" i="4"/>
  <c r="AY47" i="4"/>
  <c r="AX47" i="4"/>
  <c r="AV47" i="4"/>
  <c r="AU47" i="4"/>
  <c r="AT47" i="4"/>
  <c r="AS47" i="4"/>
  <c r="AR47" i="4"/>
  <c r="AO47" i="4"/>
  <c r="AN47" i="4"/>
  <c r="AM47" i="4"/>
  <c r="AJ47" i="4"/>
  <c r="AI47" i="4"/>
  <c r="AH47" i="4"/>
  <c r="AF47" i="4"/>
  <c r="AE47" i="4"/>
  <c r="AD47" i="4"/>
  <c r="M47" i="4"/>
  <c r="BB46" i="4"/>
  <c r="BA46" i="4"/>
  <c r="AZ46" i="4"/>
  <c r="AY46" i="4"/>
  <c r="AX46" i="4"/>
  <c r="AV46" i="4"/>
  <c r="AU46" i="4"/>
  <c r="AT46" i="4"/>
  <c r="AS46" i="4"/>
  <c r="AR46" i="4"/>
  <c r="AO46" i="4"/>
  <c r="AN46" i="4"/>
  <c r="AM46" i="4"/>
  <c r="AJ46" i="4"/>
  <c r="AI46" i="4"/>
  <c r="AH46" i="4"/>
  <c r="AF46" i="4"/>
  <c r="AE46" i="4"/>
  <c r="AD46" i="4"/>
  <c r="M46" i="4"/>
  <c r="BB45" i="4"/>
  <c r="BA45" i="4"/>
  <c r="AZ45" i="4"/>
  <c r="AY45" i="4"/>
  <c r="AX45" i="4"/>
  <c r="AV45" i="4"/>
  <c r="AU45" i="4"/>
  <c r="AT45" i="4"/>
  <c r="AS45" i="4"/>
  <c r="AR45" i="4"/>
  <c r="AO45" i="4"/>
  <c r="AN45" i="4"/>
  <c r="AM45" i="4"/>
  <c r="AJ45" i="4"/>
  <c r="AI45" i="4"/>
  <c r="AH45" i="4"/>
  <c r="AF45" i="4"/>
  <c r="AE45" i="4"/>
  <c r="AD45" i="4"/>
  <c r="M45" i="4"/>
  <c r="E45" i="4"/>
  <c r="BB44" i="4"/>
  <c r="BA44" i="4"/>
  <c r="AZ44" i="4"/>
  <c r="AY44" i="4"/>
  <c r="AX44" i="4"/>
  <c r="AV44" i="4"/>
  <c r="AU44" i="4"/>
  <c r="AT44" i="4"/>
  <c r="AS44" i="4"/>
  <c r="AR44" i="4"/>
  <c r="AO44" i="4"/>
  <c r="AN44" i="4"/>
  <c r="AM44" i="4"/>
  <c r="AJ44" i="4"/>
  <c r="AI44" i="4"/>
  <c r="AH44" i="4"/>
  <c r="AF44" i="4"/>
  <c r="AE44" i="4"/>
  <c r="AD44" i="4"/>
  <c r="M44" i="4"/>
  <c r="E44" i="4"/>
  <c r="BB43" i="4"/>
  <c r="BA43" i="4"/>
  <c r="AZ43" i="4"/>
  <c r="AY43" i="4"/>
  <c r="AX43" i="4"/>
  <c r="AV43" i="4"/>
  <c r="AU43" i="4"/>
  <c r="AT43" i="4"/>
  <c r="AS43" i="4"/>
  <c r="AR43" i="4"/>
  <c r="AO43" i="4"/>
  <c r="AN43" i="4"/>
  <c r="AM43" i="4"/>
  <c r="AJ43" i="4"/>
  <c r="AI43" i="4"/>
  <c r="AH43" i="4"/>
  <c r="AF43" i="4"/>
  <c r="AE43" i="4"/>
  <c r="AD43" i="4"/>
  <c r="M43" i="4"/>
  <c r="E43" i="4"/>
  <c r="BB42" i="4"/>
  <c r="BA42" i="4"/>
  <c r="AZ42" i="4"/>
  <c r="AY42" i="4"/>
  <c r="AX42" i="4"/>
  <c r="AV42" i="4"/>
  <c r="AU42" i="4"/>
  <c r="AT42" i="4"/>
  <c r="AS42" i="4"/>
  <c r="AR42" i="4"/>
  <c r="AO42" i="4"/>
  <c r="AN42" i="4"/>
  <c r="AM42" i="4"/>
  <c r="AJ42" i="4"/>
  <c r="AI42" i="4"/>
  <c r="AH42" i="4"/>
  <c r="AF42" i="4"/>
  <c r="AE42" i="4"/>
  <c r="AD42" i="4"/>
  <c r="M42" i="4"/>
  <c r="E42" i="4"/>
  <c r="BB41" i="4"/>
  <c r="BA41" i="4"/>
  <c r="AZ41" i="4"/>
  <c r="AY41" i="4"/>
  <c r="AX41" i="4"/>
  <c r="AV41" i="4"/>
  <c r="AU41" i="4"/>
  <c r="AT41" i="4"/>
  <c r="AS41" i="4"/>
  <c r="AR41" i="4"/>
  <c r="AO41" i="4"/>
  <c r="AN41" i="4"/>
  <c r="AM41" i="4"/>
  <c r="AJ41" i="4"/>
  <c r="AI41" i="4"/>
  <c r="AH41" i="4"/>
  <c r="AF41" i="4"/>
  <c r="AE41" i="4"/>
  <c r="AD41" i="4"/>
  <c r="M41" i="4"/>
  <c r="E41" i="4"/>
  <c r="BB40" i="4"/>
  <c r="BA40" i="4"/>
  <c r="AZ40" i="4"/>
  <c r="AY40" i="4"/>
  <c r="AX40" i="4"/>
  <c r="AV40" i="4"/>
  <c r="AU40" i="4"/>
  <c r="AT40" i="4"/>
  <c r="AS40" i="4"/>
  <c r="AR40" i="4"/>
  <c r="AO40" i="4"/>
  <c r="AN40" i="4"/>
  <c r="AM40" i="4"/>
  <c r="AJ40" i="4"/>
  <c r="AI40" i="4"/>
  <c r="AH40" i="4"/>
  <c r="AF40" i="4"/>
  <c r="AE40" i="4"/>
  <c r="AD40" i="4"/>
  <c r="M40" i="4"/>
  <c r="E40" i="4"/>
  <c r="BB39" i="4"/>
  <c r="BA39" i="4"/>
  <c r="AZ39" i="4"/>
  <c r="AY39" i="4"/>
  <c r="AX39" i="4"/>
  <c r="AV39" i="4"/>
  <c r="AU39" i="4"/>
  <c r="AT39" i="4"/>
  <c r="AS39" i="4"/>
  <c r="AR39" i="4"/>
  <c r="AO39" i="4"/>
  <c r="AN39" i="4"/>
  <c r="AM39" i="4"/>
  <c r="AJ39" i="4"/>
  <c r="AI39" i="4"/>
  <c r="AH39" i="4"/>
  <c r="AF39" i="4"/>
  <c r="AE39" i="4"/>
  <c r="AD39" i="4"/>
  <c r="M39" i="4"/>
  <c r="E39" i="4"/>
  <c r="BB38" i="4"/>
  <c r="BA38" i="4"/>
  <c r="AZ38" i="4"/>
  <c r="AY38" i="4"/>
  <c r="AX38" i="4"/>
  <c r="AV38" i="4"/>
  <c r="AU38" i="4"/>
  <c r="AT38" i="4"/>
  <c r="AS38" i="4"/>
  <c r="AR38" i="4"/>
  <c r="AO38" i="4"/>
  <c r="AN38" i="4"/>
  <c r="AM38" i="4"/>
  <c r="AJ38" i="4"/>
  <c r="AI38" i="4"/>
  <c r="AH38" i="4"/>
  <c r="AF38" i="4"/>
  <c r="AE38" i="4"/>
  <c r="AD38" i="4"/>
  <c r="M38" i="4"/>
  <c r="E38" i="4"/>
  <c r="BB37" i="4"/>
  <c r="BA37" i="4"/>
  <c r="AZ37" i="4"/>
  <c r="AY37" i="4"/>
  <c r="AX37" i="4"/>
  <c r="AV37" i="4"/>
  <c r="AU37" i="4"/>
  <c r="AT37" i="4"/>
  <c r="AS37" i="4"/>
  <c r="AR37" i="4"/>
  <c r="AO37" i="4"/>
  <c r="AN37" i="4"/>
  <c r="AM37" i="4"/>
  <c r="AJ37" i="4"/>
  <c r="AI37" i="4"/>
  <c r="AH37" i="4"/>
  <c r="AF37" i="4"/>
  <c r="AE37" i="4"/>
  <c r="AD37" i="4"/>
  <c r="M37" i="4"/>
  <c r="E37" i="4"/>
  <c r="BB36" i="4"/>
  <c r="BA36" i="4"/>
  <c r="AZ36" i="4"/>
  <c r="AY36" i="4"/>
  <c r="AX36" i="4"/>
  <c r="AV36" i="4"/>
  <c r="AU36" i="4"/>
  <c r="AT36" i="4"/>
  <c r="AS36" i="4"/>
  <c r="AR36" i="4"/>
  <c r="AO36" i="4"/>
  <c r="AN36" i="4"/>
  <c r="AM36" i="4"/>
  <c r="AJ36" i="4"/>
  <c r="AI36" i="4"/>
  <c r="AH36" i="4"/>
  <c r="AF36" i="4"/>
  <c r="AE36" i="4"/>
  <c r="AD36" i="4"/>
  <c r="M36" i="4"/>
  <c r="E36" i="4"/>
  <c r="BB35" i="4"/>
  <c r="BA35" i="4"/>
  <c r="AZ35" i="4"/>
  <c r="AY35" i="4"/>
  <c r="AX35" i="4"/>
  <c r="AV35" i="4"/>
  <c r="AU35" i="4"/>
  <c r="AT35" i="4"/>
  <c r="AS35" i="4"/>
  <c r="AR35" i="4"/>
  <c r="AO35" i="4"/>
  <c r="AN35" i="4"/>
  <c r="AM35" i="4"/>
  <c r="AJ35" i="4"/>
  <c r="AI35" i="4"/>
  <c r="AH35" i="4"/>
  <c r="AF35" i="4"/>
  <c r="AE35" i="4"/>
  <c r="AD35" i="4"/>
  <c r="M35" i="4"/>
  <c r="E35" i="4"/>
  <c r="BB34" i="4"/>
  <c r="BA34" i="4"/>
  <c r="AZ34" i="4"/>
  <c r="AY34" i="4"/>
  <c r="AX34" i="4"/>
  <c r="AV34" i="4"/>
  <c r="AU34" i="4"/>
  <c r="AT34" i="4"/>
  <c r="AS34" i="4"/>
  <c r="AR34" i="4"/>
  <c r="AO34" i="4"/>
  <c r="AN34" i="4"/>
  <c r="AM34" i="4"/>
  <c r="AJ34" i="4"/>
  <c r="AI34" i="4"/>
  <c r="AH34" i="4"/>
  <c r="AF34" i="4"/>
  <c r="AE34" i="4"/>
  <c r="AD34" i="4"/>
  <c r="M34" i="4"/>
  <c r="E34" i="4"/>
  <c r="BB33" i="4"/>
  <c r="BA33" i="4"/>
  <c r="AZ33" i="4"/>
  <c r="AY33" i="4"/>
  <c r="AX33" i="4"/>
  <c r="AV33" i="4"/>
  <c r="AU33" i="4"/>
  <c r="AT33" i="4"/>
  <c r="AS33" i="4"/>
  <c r="AR33" i="4"/>
  <c r="AO33" i="4"/>
  <c r="AN33" i="4"/>
  <c r="AM33" i="4"/>
  <c r="AJ33" i="4"/>
  <c r="AI33" i="4"/>
  <c r="AH33" i="4"/>
  <c r="AF33" i="4"/>
  <c r="AE33" i="4"/>
  <c r="AD33" i="4"/>
  <c r="M33" i="4"/>
  <c r="E33" i="4"/>
  <c r="BB32" i="4"/>
  <c r="BA32" i="4"/>
  <c r="AZ32" i="4"/>
  <c r="AY32" i="4"/>
  <c r="AX32" i="4"/>
  <c r="AV32" i="4"/>
  <c r="AU32" i="4"/>
  <c r="AT32" i="4"/>
  <c r="AS32" i="4"/>
  <c r="AR32" i="4"/>
  <c r="AO32" i="4"/>
  <c r="AN32" i="4"/>
  <c r="AM32" i="4"/>
  <c r="AJ32" i="4"/>
  <c r="AI32" i="4"/>
  <c r="AH32" i="4"/>
  <c r="AF32" i="4"/>
  <c r="AE32" i="4"/>
  <c r="AD32" i="4"/>
  <c r="M32" i="4"/>
  <c r="E32" i="4"/>
  <c r="BB31" i="4"/>
  <c r="BA31" i="4"/>
  <c r="AZ31" i="4"/>
  <c r="AY31" i="4"/>
  <c r="AX31" i="4"/>
  <c r="AV31" i="4"/>
  <c r="AU31" i="4"/>
  <c r="AT31" i="4"/>
  <c r="AS31" i="4"/>
  <c r="AR31" i="4"/>
  <c r="AO31" i="4"/>
  <c r="AN31" i="4"/>
  <c r="AM31" i="4"/>
  <c r="AJ31" i="4"/>
  <c r="AI31" i="4"/>
  <c r="AH31" i="4"/>
  <c r="AF31" i="4"/>
  <c r="AE31" i="4"/>
  <c r="AD31" i="4"/>
  <c r="M31" i="4"/>
  <c r="E31" i="4"/>
  <c r="BB30" i="4"/>
  <c r="BA30" i="4"/>
  <c r="AZ30" i="4"/>
  <c r="AY30" i="4"/>
  <c r="AX30" i="4"/>
  <c r="AV30" i="4"/>
  <c r="AU30" i="4"/>
  <c r="AT30" i="4"/>
  <c r="AS30" i="4"/>
  <c r="AR30" i="4"/>
  <c r="AO30" i="4"/>
  <c r="AN30" i="4"/>
  <c r="AM30" i="4"/>
  <c r="AJ30" i="4"/>
  <c r="AI30" i="4"/>
  <c r="AH30" i="4"/>
  <c r="AF30" i="4"/>
  <c r="AE30" i="4"/>
  <c r="AD30" i="4"/>
  <c r="M30" i="4"/>
  <c r="E30" i="4"/>
  <c r="BB29" i="4"/>
  <c r="BA29" i="4"/>
  <c r="AZ29" i="4"/>
  <c r="AY29" i="4"/>
  <c r="AX29" i="4"/>
  <c r="AV29" i="4"/>
  <c r="AU29" i="4"/>
  <c r="AT29" i="4"/>
  <c r="AS29" i="4"/>
  <c r="AR29" i="4"/>
  <c r="AO29" i="4"/>
  <c r="AN29" i="4"/>
  <c r="AJ29" i="4"/>
  <c r="AI29" i="4"/>
  <c r="AF29" i="4"/>
  <c r="M29" i="4"/>
  <c r="E29" i="4"/>
  <c r="BB28" i="4"/>
  <c r="BA28" i="4"/>
  <c r="AZ28" i="4"/>
  <c r="AY28" i="4"/>
  <c r="AX28" i="4"/>
  <c r="AV28" i="4"/>
  <c r="AU28" i="4"/>
  <c r="AT28" i="4"/>
  <c r="AS28" i="4"/>
  <c r="AR28" i="4"/>
  <c r="AO28" i="4"/>
  <c r="AM29" i="4" s="1"/>
  <c r="AE29" i="4" s="1"/>
  <c r="AN28" i="4"/>
  <c r="AM28" i="4"/>
  <c r="AJ28" i="4"/>
  <c r="AH29" i="4" s="1"/>
  <c r="AD29" i="4" s="1"/>
  <c r="AI28" i="4"/>
  <c r="AH28" i="4"/>
  <c r="AF28" i="4"/>
  <c r="AE28" i="4"/>
  <c r="AD28" i="4"/>
  <c r="M28" i="4"/>
  <c r="E28" i="4"/>
  <c r="BB27" i="4"/>
  <c r="BA27" i="4"/>
  <c r="AZ27" i="4"/>
  <c r="AY27" i="4"/>
  <c r="AX27" i="4"/>
  <c r="AV27" i="4"/>
  <c r="AU27" i="4"/>
  <c r="AT27" i="4"/>
  <c r="AS27" i="4"/>
  <c r="AR27" i="4"/>
  <c r="AO27" i="4"/>
  <c r="AN27" i="4"/>
  <c r="AM27" i="4"/>
  <c r="AJ27" i="4"/>
  <c r="AI27" i="4"/>
  <c r="AH27" i="4"/>
  <c r="AF27" i="4"/>
  <c r="AE27" i="4"/>
  <c r="AD27" i="4"/>
  <c r="M27" i="4"/>
  <c r="BB26" i="4"/>
  <c r="BA26" i="4"/>
  <c r="AZ26" i="4"/>
  <c r="AY26" i="4"/>
  <c r="AX26" i="4"/>
  <c r="AV26" i="4"/>
  <c r="AU26" i="4"/>
  <c r="AT26" i="4"/>
  <c r="AS26" i="4"/>
  <c r="AR26" i="4"/>
  <c r="AO26" i="4"/>
  <c r="AN26" i="4"/>
  <c r="AM26" i="4"/>
  <c r="AJ26" i="4"/>
  <c r="AI26" i="4"/>
  <c r="AH26" i="4"/>
  <c r="AF26" i="4"/>
  <c r="AE26" i="4"/>
  <c r="AD26" i="4"/>
  <c r="M26" i="4"/>
  <c r="E26" i="4"/>
  <c r="BB25" i="4"/>
  <c r="BA25" i="4"/>
  <c r="AZ25" i="4"/>
  <c r="AY25" i="4"/>
  <c r="AX25" i="4"/>
  <c r="AV25" i="4"/>
  <c r="AU25" i="4"/>
  <c r="AT25" i="4"/>
  <c r="AS25" i="4"/>
  <c r="AR25" i="4"/>
  <c r="AO25" i="4"/>
  <c r="AN25" i="4"/>
  <c r="AM25" i="4"/>
  <c r="AJ25" i="4"/>
  <c r="AI25" i="4"/>
  <c r="AH25" i="4"/>
  <c r="AF25" i="4"/>
  <c r="AE25" i="4"/>
  <c r="AD25" i="4"/>
  <c r="M25" i="4"/>
  <c r="E25" i="4"/>
  <c r="BB24" i="4"/>
  <c r="BA24" i="4"/>
  <c r="AZ24" i="4"/>
  <c r="AY24" i="4"/>
  <c r="AX24" i="4"/>
  <c r="AV24" i="4"/>
  <c r="AU24" i="4"/>
  <c r="AT24" i="4"/>
  <c r="AS24" i="4"/>
  <c r="AR24" i="4"/>
  <c r="AO24" i="4"/>
  <c r="AN24" i="4"/>
  <c r="AM24" i="4"/>
  <c r="AJ24" i="4"/>
  <c r="AI24" i="4"/>
  <c r="AH24" i="4"/>
  <c r="AF24" i="4"/>
  <c r="AE24" i="4"/>
  <c r="AD24" i="4"/>
  <c r="M24" i="4"/>
  <c r="E24" i="4"/>
  <c r="BB23" i="4"/>
  <c r="BA23" i="4"/>
  <c r="AZ23" i="4"/>
  <c r="AY23" i="4"/>
  <c r="AX23" i="4"/>
  <c r="AV23" i="4"/>
  <c r="AU23" i="4"/>
  <c r="AT23" i="4"/>
  <c r="AS23" i="4"/>
  <c r="AR23" i="4"/>
  <c r="AO23" i="4"/>
  <c r="AN23" i="4"/>
  <c r="AM23" i="4"/>
  <c r="AJ23" i="4"/>
  <c r="AI23" i="4"/>
  <c r="AH23" i="4"/>
  <c r="AF23" i="4"/>
  <c r="AE23" i="4"/>
  <c r="AD23" i="4"/>
  <c r="M23" i="4"/>
  <c r="E23" i="4"/>
  <c r="BB22" i="4"/>
  <c r="BA22" i="4"/>
  <c r="AZ22" i="4"/>
  <c r="AY22" i="4"/>
  <c r="AX22" i="4"/>
  <c r="AV22" i="4"/>
  <c r="AU22" i="4"/>
  <c r="AT22" i="4"/>
  <c r="AS22" i="4"/>
  <c r="AR22" i="4"/>
  <c r="AO22" i="4"/>
  <c r="AN22" i="4"/>
  <c r="AM22" i="4"/>
  <c r="AJ22" i="4"/>
  <c r="AI22" i="4"/>
  <c r="AH22" i="4"/>
  <c r="AF22" i="4"/>
  <c r="AE22" i="4"/>
  <c r="AD22" i="4"/>
  <c r="M22" i="4"/>
  <c r="E22" i="4"/>
  <c r="BB21" i="4"/>
  <c r="BA21" i="4"/>
  <c r="AZ21" i="4"/>
  <c r="AY21" i="4"/>
  <c r="AX21" i="4"/>
  <c r="AV21" i="4"/>
  <c r="AU21" i="4"/>
  <c r="AT21" i="4"/>
  <c r="AS21" i="4"/>
  <c r="AR21" i="4"/>
  <c r="AO21" i="4"/>
  <c r="AN21" i="4"/>
  <c r="AM21" i="4"/>
  <c r="AJ21" i="4"/>
  <c r="AI21" i="4"/>
  <c r="AH21" i="4"/>
  <c r="AF21" i="4"/>
  <c r="AE21" i="4"/>
  <c r="AD21" i="4"/>
  <c r="M21" i="4"/>
  <c r="E21" i="4"/>
  <c r="BB20" i="4"/>
  <c r="BA20" i="4"/>
  <c r="AZ20" i="4"/>
  <c r="AY20" i="4"/>
  <c r="AX20" i="4"/>
  <c r="AV20" i="4"/>
  <c r="AU20" i="4"/>
  <c r="AT20" i="4"/>
  <c r="AS20" i="4"/>
  <c r="AR20" i="4"/>
  <c r="AO20" i="4"/>
  <c r="AN20" i="4"/>
  <c r="AM20" i="4"/>
  <c r="AJ20" i="4"/>
  <c r="AI20" i="4"/>
  <c r="AH20" i="4"/>
  <c r="AF20" i="4"/>
  <c r="AE20" i="4"/>
  <c r="AD20" i="4"/>
  <c r="M20" i="4"/>
  <c r="E20" i="4"/>
  <c r="BB19" i="4"/>
  <c r="BA19" i="4"/>
  <c r="AZ19" i="4"/>
  <c r="AY19" i="4"/>
  <c r="AX19" i="4"/>
  <c r="AV19" i="4"/>
  <c r="AU19" i="4"/>
  <c r="AT19" i="4"/>
  <c r="AS19" i="4"/>
  <c r="AR19" i="4"/>
  <c r="AO19" i="4"/>
  <c r="AN19" i="4"/>
  <c r="AM19" i="4"/>
  <c r="AJ19" i="4"/>
  <c r="AI19" i="4"/>
  <c r="AH19" i="4"/>
  <c r="AF19" i="4"/>
  <c r="AE19" i="4"/>
  <c r="AD19" i="4"/>
  <c r="M19" i="4"/>
  <c r="E19" i="4"/>
  <c r="BB18" i="4"/>
  <c r="BA18" i="4"/>
  <c r="AZ18" i="4"/>
  <c r="AY18" i="4"/>
  <c r="AX18" i="4"/>
  <c r="AV18" i="4"/>
  <c r="AU18" i="4"/>
  <c r="AT18" i="4"/>
  <c r="AS18" i="4"/>
  <c r="AR18" i="4"/>
  <c r="AO18" i="4"/>
  <c r="AN18" i="4"/>
  <c r="AM18" i="4"/>
  <c r="AJ18" i="4"/>
  <c r="AI18" i="4"/>
  <c r="AH18" i="4"/>
  <c r="AF18" i="4"/>
  <c r="AE18" i="4"/>
  <c r="AD18" i="4"/>
  <c r="M18" i="4"/>
  <c r="BB17" i="4"/>
  <c r="BA17" i="4"/>
  <c r="AZ17" i="4"/>
  <c r="AY17" i="4"/>
  <c r="AX17" i="4"/>
  <c r="AV17" i="4"/>
  <c r="AU17" i="4"/>
  <c r="AT17" i="4"/>
  <c r="AS17" i="4"/>
  <c r="AR17" i="4"/>
  <c r="AO17" i="4"/>
  <c r="AN17" i="4"/>
  <c r="AM17" i="4"/>
  <c r="AJ17" i="4"/>
  <c r="AI17" i="4"/>
  <c r="AH17" i="4"/>
  <c r="AF17" i="4"/>
  <c r="AE17" i="4"/>
  <c r="AD17" i="4"/>
  <c r="M17" i="4"/>
  <c r="BB16" i="4"/>
  <c r="BA16" i="4"/>
  <c r="AZ16" i="4"/>
  <c r="AY16" i="4"/>
  <c r="AX16" i="4"/>
  <c r="AV16" i="4"/>
  <c r="AU16" i="4"/>
  <c r="AT16" i="4"/>
  <c r="AS16" i="4"/>
  <c r="AR16" i="4"/>
  <c r="AO16" i="4"/>
  <c r="AN16" i="4"/>
  <c r="AJ16" i="4"/>
  <c r="AI16" i="4"/>
  <c r="AF16" i="4"/>
  <c r="M16" i="4"/>
  <c r="E16" i="4"/>
  <c r="BB15" i="4"/>
  <c r="BA15" i="4"/>
  <c r="AZ15" i="4"/>
  <c r="AY15" i="4"/>
  <c r="AX15" i="4"/>
  <c r="AV15" i="4"/>
  <c r="AU15" i="4"/>
  <c r="AT15" i="4"/>
  <c r="AS15" i="4"/>
  <c r="AR15" i="4"/>
  <c r="AO15" i="4"/>
  <c r="AM16" i="4" s="1"/>
  <c r="AE16" i="4" s="1"/>
  <c r="AN15" i="4"/>
  <c r="AM15" i="4"/>
  <c r="AJ15" i="4"/>
  <c r="AH16" i="4" s="1"/>
  <c r="AD16" i="4" s="1"/>
  <c r="AI15" i="4"/>
  <c r="AH15" i="4"/>
  <c r="AF15" i="4"/>
  <c r="AE15" i="4"/>
  <c r="AD15" i="4"/>
  <c r="M15" i="4"/>
  <c r="E15" i="4"/>
  <c r="BB14" i="4"/>
  <c r="BA14" i="4"/>
  <c r="AZ14" i="4"/>
  <c r="AY14" i="4"/>
  <c r="AX14" i="4"/>
  <c r="AV14" i="4"/>
  <c r="AU14" i="4"/>
  <c r="AT14" i="4"/>
  <c r="AS14" i="4"/>
  <c r="AR14" i="4"/>
  <c r="AO14" i="4"/>
  <c r="AN14" i="4"/>
  <c r="AJ14" i="4"/>
  <c r="AI14" i="4"/>
  <c r="AF14" i="4"/>
  <c r="M14" i="4"/>
  <c r="E14" i="4"/>
  <c r="BB13" i="4"/>
  <c r="BA13" i="4"/>
  <c r="AZ13" i="4"/>
  <c r="AY13" i="4"/>
  <c r="AX13" i="4"/>
  <c r="AV13" i="4"/>
  <c r="AU13" i="4"/>
  <c r="AT13" i="4"/>
  <c r="AS13" i="4"/>
  <c r="AR13" i="4"/>
  <c r="AO13" i="4"/>
  <c r="AM14" i="4" s="1"/>
  <c r="AE14" i="4" s="1"/>
  <c r="AN13" i="4"/>
  <c r="AM13" i="4"/>
  <c r="AJ13" i="4"/>
  <c r="AH14" i="4" s="1"/>
  <c r="AD14" i="4" s="1"/>
  <c r="AI13" i="4"/>
  <c r="AH13" i="4"/>
  <c r="AF13" i="4"/>
  <c r="AE13" i="4"/>
  <c r="AD13" i="4"/>
  <c r="M13" i="4"/>
  <c r="E13" i="4"/>
  <c r="BB12" i="4"/>
  <c r="BA12" i="4"/>
  <c r="AZ12" i="4"/>
  <c r="AY12" i="4"/>
  <c r="AX12" i="4"/>
  <c r="AV12" i="4"/>
  <c r="AU12" i="4"/>
  <c r="AT12" i="4"/>
  <c r="AS12" i="4"/>
  <c r="AR12" i="4"/>
  <c r="AO12" i="4"/>
  <c r="AN12" i="4"/>
  <c r="AM12" i="4"/>
  <c r="AJ12" i="4"/>
  <c r="AI12" i="4"/>
  <c r="AH12" i="4"/>
  <c r="AF12" i="4"/>
  <c r="AE12" i="4"/>
  <c r="AD12" i="4"/>
  <c r="M12" i="4"/>
  <c r="E12" i="4"/>
  <c r="BB11" i="4"/>
  <c r="BA11" i="4"/>
  <c r="AZ11" i="4"/>
  <c r="AY11" i="4"/>
  <c r="AX11" i="4"/>
  <c r="AV11" i="4"/>
  <c r="AU11" i="4"/>
  <c r="AT11" i="4"/>
  <c r="AS11" i="4"/>
  <c r="AR11" i="4"/>
  <c r="AO11" i="4"/>
  <c r="AN11" i="4"/>
  <c r="AJ11" i="4"/>
  <c r="AI11" i="4"/>
  <c r="AF11" i="4"/>
  <c r="M11" i="4"/>
  <c r="E11" i="4"/>
  <c r="BB10" i="4"/>
  <c r="BA10" i="4"/>
  <c r="AZ10" i="4"/>
  <c r="AY10" i="4"/>
  <c r="AX10" i="4"/>
  <c r="AV10" i="4"/>
  <c r="AU10" i="4"/>
  <c r="AT10" i="4"/>
  <c r="AS10" i="4"/>
  <c r="AR10" i="4"/>
  <c r="AO10" i="4"/>
  <c r="AM11" i="4" s="1"/>
  <c r="AE11" i="4" s="1"/>
  <c r="AN10" i="4"/>
  <c r="AM10" i="4"/>
  <c r="AJ10" i="4"/>
  <c r="AH11" i="4" s="1"/>
  <c r="AD11" i="4" s="1"/>
  <c r="AI10" i="4"/>
  <c r="AH10" i="4"/>
  <c r="AF10" i="4"/>
  <c r="AE10" i="4"/>
  <c r="AD10" i="4"/>
  <c r="M10" i="4"/>
  <c r="E10" i="4"/>
  <c r="BB9" i="4"/>
  <c r="BA9" i="4"/>
  <c r="AZ9" i="4"/>
  <c r="AY9" i="4"/>
  <c r="AX9" i="4"/>
  <c r="AV9" i="4"/>
  <c r="AU9" i="4"/>
  <c r="AT9" i="4"/>
  <c r="AS9" i="4"/>
  <c r="AR9" i="4"/>
  <c r="AO9" i="4"/>
  <c r="AN9" i="4"/>
  <c r="AM9" i="4"/>
  <c r="AJ9" i="4"/>
  <c r="AI9" i="4"/>
  <c r="AH9" i="4"/>
  <c r="AF9" i="4"/>
  <c r="AE9" i="4"/>
  <c r="AD9" i="4"/>
  <c r="M9" i="4"/>
  <c r="E9" i="4"/>
  <c r="BB8" i="4"/>
  <c r="BA8" i="4"/>
  <c r="AZ8" i="4"/>
  <c r="AY8" i="4"/>
  <c r="AX8" i="4"/>
  <c r="AV8" i="4"/>
  <c r="AU8" i="4"/>
  <c r="AT8" i="4"/>
  <c r="AS8" i="4"/>
  <c r="AR8" i="4"/>
  <c r="AO8" i="4"/>
  <c r="AN8" i="4"/>
  <c r="AM8" i="4"/>
  <c r="AJ8" i="4"/>
  <c r="AI8" i="4"/>
  <c r="AH8" i="4"/>
  <c r="AF8" i="4"/>
  <c r="AE8" i="4"/>
  <c r="AD8" i="4"/>
  <c r="M8" i="4"/>
  <c r="E8" i="4"/>
  <c r="BB6" i="4"/>
  <c r="BA6" i="4"/>
  <c r="AZ6" i="4"/>
  <c r="AY6" i="4"/>
  <c r="AX6" i="4"/>
  <c r="AV6" i="4"/>
  <c r="AU6" i="4"/>
  <c r="AT6" i="4"/>
  <c r="AS6" i="4"/>
  <c r="AR6" i="4"/>
  <c r="AO6" i="4"/>
  <c r="AN6" i="4"/>
  <c r="AM6" i="4"/>
  <c r="AJ6" i="4"/>
  <c r="AI6" i="4"/>
  <c r="AH6" i="4"/>
  <c r="AF6" i="4"/>
  <c r="AE6" i="4"/>
  <c r="AD6" i="4"/>
  <c r="M6" i="4"/>
  <c r="E6" i="4"/>
  <c r="BB5" i="4"/>
  <c r="BA5" i="4"/>
  <c r="AZ5" i="4"/>
  <c r="AY5" i="4"/>
  <c r="AX5" i="4"/>
  <c r="AV5" i="4"/>
  <c r="AU5" i="4"/>
  <c r="AT5" i="4"/>
  <c r="AS5" i="4"/>
  <c r="AR5" i="4"/>
  <c r="AO5" i="4"/>
  <c r="AN5" i="4"/>
  <c r="AM5" i="4"/>
  <c r="AJ5" i="4"/>
  <c r="AI5" i="4"/>
  <c r="AH5" i="4"/>
  <c r="AF5" i="4"/>
  <c r="AE5" i="4"/>
  <c r="AD5" i="4"/>
  <c r="M5" i="4"/>
  <c r="E5" i="4"/>
  <c r="BB4" i="4"/>
  <c r="BA4" i="4"/>
  <c r="AZ4" i="4"/>
  <c r="AY4" i="4"/>
  <c r="AX4" i="4"/>
  <c r="AV4" i="4"/>
  <c r="AU4" i="4"/>
  <c r="AT4" i="4"/>
  <c r="AS4" i="4"/>
  <c r="AR4" i="4"/>
  <c r="AO4" i="4"/>
  <c r="AN4" i="4"/>
  <c r="AJ4" i="4"/>
  <c r="AI4" i="4"/>
  <c r="AF4" i="4"/>
  <c r="E4" i="4"/>
  <c r="BB3" i="4"/>
  <c r="BA3" i="4"/>
  <c r="AZ3" i="4"/>
  <c r="AY3" i="4"/>
  <c r="AX3" i="4"/>
  <c r="AV3" i="4"/>
  <c r="AU3" i="4"/>
  <c r="AT3" i="4"/>
  <c r="AS3" i="4"/>
  <c r="AR3" i="4"/>
  <c r="AO3" i="4"/>
  <c r="AM4" i="4" s="1"/>
  <c r="AE4" i="4" s="1"/>
  <c r="AN3" i="4"/>
  <c r="AM3" i="4"/>
  <c r="AJ3" i="4"/>
  <c r="AH4" i="4" s="1"/>
  <c r="AD4" i="4" s="1"/>
  <c r="AI3" i="4"/>
  <c r="AH3" i="4"/>
  <c r="AF3" i="4"/>
  <c r="AE3" i="4"/>
  <c r="AD3" i="4"/>
  <c r="M3" i="4"/>
  <c r="E3" i="4"/>
  <c r="F3" i="4" s="1"/>
  <c r="J146" i="3"/>
  <c r="J148" i="3" s="1"/>
  <c r="G17" i="13" s="1"/>
  <c r="AZ81" i="3"/>
  <c r="AY81" i="3"/>
  <c r="AX81" i="3"/>
  <c r="AW81" i="3"/>
  <c r="AV81" i="3"/>
  <c r="AT81" i="3"/>
  <c r="AS81" i="3"/>
  <c r="AR81" i="3"/>
  <c r="AQ81" i="3"/>
  <c r="AP81" i="3"/>
  <c r="AM81" i="3"/>
  <c r="AL81" i="3"/>
  <c r="AK81" i="3"/>
  <c r="AH81" i="3"/>
  <c r="AG81" i="3"/>
  <c r="AF81" i="3"/>
  <c r="AD81" i="3"/>
  <c r="AC81" i="3"/>
  <c r="AB81" i="3"/>
  <c r="K81" i="3"/>
  <c r="AZ80" i="3"/>
  <c r="AY80" i="3"/>
  <c r="AX80" i="3"/>
  <c r="AW80" i="3"/>
  <c r="AV80" i="3"/>
  <c r="AT80" i="3"/>
  <c r="AS80" i="3"/>
  <c r="AR80" i="3"/>
  <c r="AQ80" i="3"/>
  <c r="AP80" i="3"/>
  <c r="AM80" i="3"/>
  <c r="AL80" i="3"/>
  <c r="AK80" i="3"/>
  <c r="AH80" i="3"/>
  <c r="AG80" i="3"/>
  <c r="AF80" i="3"/>
  <c r="AD80" i="3"/>
  <c r="AC80" i="3"/>
  <c r="AB80" i="3"/>
  <c r="K80" i="3"/>
  <c r="AZ79" i="3"/>
  <c r="AY79" i="3"/>
  <c r="AX79" i="3"/>
  <c r="AW79" i="3"/>
  <c r="AV79" i="3"/>
  <c r="AT79" i="3"/>
  <c r="AS79" i="3"/>
  <c r="AR79" i="3"/>
  <c r="AQ79" i="3"/>
  <c r="AP79" i="3"/>
  <c r="AM79" i="3"/>
  <c r="AL79" i="3"/>
  <c r="AK79" i="3"/>
  <c r="AH79" i="3"/>
  <c r="AG79" i="3"/>
  <c r="AF79" i="3"/>
  <c r="AD79" i="3"/>
  <c r="AC79" i="3"/>
  <c r="AB79" i="3"/>
  <c r="K79" i="3"/>
  <c r="AZ78" i="3"/>
  <c r="AY78" i="3"/>
  <c r="AX78" i="3"/>
  <c r="AW78" i="3"/>
  <c r="AV78" i="3"/>
  <c r="AT78" i="3"/>
  <c r="AS78" i="3"/>
  <c r="AR78" i="3"/>
  <c r="AQ78" i="3"/>
  <c r="AP78" i="3"/>
  <c r="AM78" i="3"/>
  <c r="AL78" i="3"/>
  <c r="AK78" i="3"/>
  <c r="AH78" i="3"/>
  <c r="AG78" i="3"/>
  <c r="AF78" i="3"/>
  <c r="AD78" i="3"/>
  <c r="AC78" i="3"/>
  <c r="AB78" i="3"/>
  <c r="K78" i="3"/>
  <c r="AZ77" i="3"/>
  <c r="AY77" i="3"/>
  <c r="AX77" i="3"/>
  <c r="AW77" i="3"/>
  <c r="AV77" i="3"/>
  <c r="AT77" i="3"/>
  <c r="AS77" i="3"/>
  <c r="AR77" i="3"/>
  <c r="AQ77" i="3"/>
  <c r="AP77" i="3"/>
  <c r="AM77" i="3"/>
  <c r="AL77" i="3"/>
  <c r="AK77" i="3"/>
  <c r="AH77" i="3"/>
  <c r="AG77" i="3"/>
  <c r="AF77" i="3"/>
  <c r="AD77" i="3"/>
  <c r="AC77" i="3"/>
  <c r="AB77" i="3"/>
  <c r="K77" i="3"/>
  <c r="AZ76" i="3"/>
  <c r="AY76" i="3"/>
  <c r="AX76" i="3"/>
  <c r="AW76" i="3"/>
  <c r="AV76" i="3"/>
  <c r="AT76" i="3"/>
  <c r="AS76" i="3"/>
  <c r="AR76" i="3"/>
  <c r="AQ76" i="3"/>
  <c r="AP76" i="3"/>
  <c r="AM76" i="3"/>
  <c r="AL76" i="3"/>
  <c r="AK76" i="3"/>
  <c r="AH76" i="3"/>
  <c r="AG76" i="3"/>
  <c r="AF76" i="3"/>
  <c r="AD76" i="3"/>
  <c r="AC76" i="3"/>
  <c r="AB76" i="3"/>
  <c r="K76" i="3"/>
  <c r="AZ75" i="3"/>
  <c r="AY75" i="3"/>
  <c r="AX75" i="3"/>
  <c r="AW75" i="3"/>
  <c r="AV75" i="3"/>
  <c r="AT75" i="3"/>
  <c r="AS75" i="3"/>
  <c r="AR75" i="3"/>
  <c r="AQ75" i="3"/>
  <c r="AP75" i="3"/>
  <c r="AM75" i="3"/>
  <c r="AL75" i="3"/>
  <c r="AK75" i="3"/>
  <c r="AH75" i="3"/>
  <c r="AG75" i="3"/>
  <c r="AF75" i="3"/>
  <c r="AD75" i="3"/>
  <c r="AC75" i="3"/>
  <c r="AB75" i="3"/>
  <c r="K75" i="3"/>
  <c r="AZ74" i="3"/>
  <c r="AY74" i="3"/>
  <c r="AX74" i="3"/>
  <c r="AW74" i="3"/>
  <c r="AV74" i="3"/>
  <c r="AT74" i="3"/>
  <c r="AS74" i="3"/>
  <c r="AR74" i="3"/>
  <c r="AQ74" i="3"/>
  <c r="AP74" i="3"/>
  <c r="AM74" i="3"/>
  <c r="AL74" i="3"/>
  <c r="AK74" i="3"/>
  <c r="AH74" i="3"/>
  <c r="AG74" i="3"/>
  <c r="AF74" i="3"/>
  <c r="AD74" i="3"/>
  <c r="AC74" i="3"/>
  <c r="AB74" i="3"/>
  <c r="K74" i="3"/>
  <c r="AZ73" i="3"/>
  <c r="AY73" i="3"/>
  <c r="AX73" i="3"/>
  <c r="AW73" i="3"/>
  <c r="AV73" i="3"/>
  <c r="AT73" i="3"/>
  <c r="AS73" i="3"/>
  <c r="AR73" i="3"/>
  <c r="AQ73" i="3"/>
  <c r="AP73" i="3"/>
  <c r="AM73" i="3"/>
  <c r="AL73" i="3"/>
  <c r="AK73" i="3"/>
  <c r="AH73" i="3"/>
  <c r="AG73" i="3"/>
  <c r="AF73" i="3"/>
  <c r="AD73" i="3"/>
  <c r="AC73" i="3"/>
  <c r="AB73" i="3"/>
  <c r="K73" i="3"/>
  <c r="AZ72" i="3"/>
  <c r="AY72" i="3"/>
  <c r="AX72" i="3"/>
  <c r="AW72" i="3"/>
  <c r="AV72" i="3"/>
  <c r="AT72" i="3"/>
  <c r="AS72" i="3"/>
  <c r="AR72" i="3"/>
  <c r="AQ72" i="3"/>
  <c r="AP72" i="3"/>
  <c r="AM72" i="3"/>
  <c r="AL72" i="3"/>
  <c r="AK72" i="3"/>
  <c r="AH72" i="3"/>
  <c r="AG72" i="3"/>
  <c r="AF72" i="3"/>
  <c r="AD72" i="3"/>
  <c r="AC72" i="3"/>
  <c r="AB72" i="3"/>
  <c r="K72" i="3"/>
  <c r="AZ71" i="3"/>
  <c r="AY71" i="3"/>
  <c r="AX71" i="3"/>
  <c r="AW71" i="3"/>
  <c r="AV71" i="3"/>
  <c r="AT71" i="3"/>
  <c r="AS71" i="3"/>
  <c r="AR71" i="3"/>
  <c r="AQ71" i="3"/>
  <c r="AP71" i="3"/>
  <c r="AM71" i="3"/>
  <c r="AL71" i="3"/>
  <c r="AK71" i="3"/>
  <c r="AH71" i="3"/>
  <c r="AG71" i="3"/>
  <c r="AF71" i="3"/>
  <c r="AD71" i="3"/>
  <c r="AC71" i="3"/>
  <c r="AB71" i="3"/>
  <c r="K71" i="3"/>
  <c r="AZ70" i="3"/>
  <c r="AY70" i="3"/>
  <c r="AX70" i="3"/>
  <c r="AW70" i="3"/>
  <c r="AV70" i="3"/>
  <c r="AT70" i="3"/>
  <c r="AS70" i="3"/>
  <c r="AR70" i="3"/>
  <c r="AQ70" i="3"/>
  <c r="AP70" i="3"/>
  <c r="AM70" i="3"/>
  <c r="AL70" i="3"/>
  <c r="AK70" i="3"/>
  <c r="AH70" i="3"/>
  <c r="AG70" i="3"/>
  <c r="AF70" i="3"/>
  <c r="AD70" i="3"/>
  <c r="AC70" i="3"/>
  <c r="AB70" i="3"/>
  <c r="K70" i="3"/>
  <c r="AZ69" i="3"/>
  <c r="AY69" i="3"/>
  <c r="AX69" i="3"/>
  <c r="AW69" i="3"/>
  <c r="AV69" i="3"/>
  <c r="AT69" i="3"/>
  <c r="AS69" i="3"/>
  <c r="AR69" i="3"/>
  <c r="AQ69" i="3"/>
  <c r="AP69" i="3"/>
  <c r="AM69" i="3"/>
  <c r="AL69" i="3"/>
  <c r="AK69" i="3"/>
  <c r="AH69" i="3"/>
  <c r="AG69" i="3"/>
  <c r="AF69" i="3"/>
  <c r="AD69" i="3"/>
  <c r="AC69" i="3"/>
  <c r="AB69" i="3"/>
  <c r="K69" i="3"/>
  <c r="AZ68" i="3"/>
  <c r="AY68" i="3"/>
  <c r="AX68" i="3"/>
  <c r="AW68" i="3"/>
  <c r="AV68" i="3"/>
  <c r="AT68" i="3"/>
  <c r="AS68" i="3"/>
  <c r="AR68" i="3"/>
  <c r="AQ68" i="3"/>
  <c r="AP68" i="3"/>
  <c r="AM68" i="3"/>
  <c r="AL68" i="3"/>
  <c r="AK68" i="3"/>
  <c r="AH68" i="3"/>
  <c r="AG68" i="3"/>
  <c r="AF68" i="3"/>
  <c r="AD68" i="3"/>
  <c r="AC68" i="3"/>
  <c r="AB68" i="3"/>
  <c r="K68" i="3"/>
  <c r="AZ67" i="3"/>
  <c r="AY67" i="3"/>
  <c r="AX67" i="3"/>
  <c r="AW67" i="3"/>
  <c r="AV67" i="3"/>
  <c r="AT67" i="3"/>
  <c r="AS67" i="3"/>
  <c r="AR67" i="3"/>
  <c r="AQ67" i="3"/>
  <c r="AP67" i="3"/>
  <c r="AM67" i="3"/>
  <c r="AL67" i="3"/>
  <c r="AK67" i="3"/>
  <c r="AH67" i="3"/>
  <c r="AG67" i="3"/>
  <c r="AF67" i="3"/>
  <c r="AD67" i="3"/>
  <c r="AC67" i="3"/>
  <c r="AB67" i="3"/>
  <c r="K67" i="3"/>
  <c r="AZ66" i="3"/>
  <c r="AY66" i="3"/>
  <c r="AX66" i="3"/>
  <c r="AW66" i="3"/>
  <c r="AV66" i="3"/>
  <c r="AT66" i="3"/>
  <c r="AS66" i="3"/>
  <c r="AR66" i="3"/>
  <c r="AQ66" i="3"/>
  <c r="AP66" i="3"/>
  <c r="AM66" i="3"/>
  <c r="AL66" i="3"/>
  <c r="AK66" i="3"/>
  <c r="AH66" i="3"/>
  <c r="AG66" i="3"/>
  <c r="AF66" i="3"/>
  <c r="AD66" i="3"/>
  <c r="AC66" i="3"/>
  <c r="AB66" i="3"/>
  <c r="K66" i="3"/>
  <c r="AZ65" i="3"/>
  <c r="AY65" i="3"/>
  <c r="AX65" i="3"/>
  <c r="AW65" i="3"/>
  <c r="AV65" i="3"/>
  <c r="AT65" i="3"/>
  <c r="AS65" i="3"/>
  <c r="AR65" i="3"/>
  <c r="AQ65" i="3"/>
  <c r="AP65" i="3"/>
  <c r="AM65" i="3"/>
  <c r="AL65" i="3"/>
  <c r="AK65" i="3"/>
  <c r="AH65" i="3"/>
  <c r="AG65" i="3"/>
  <c r="AF65" i="3"/>
  <c r="AD65" i="3"/>
  <c r="AC65" i="3"/>
  <c r="AB65" i="3"/>
  <c r="K65" i="3"/>
  <c r="AZ64" i="3"/>
  <c r="AY64" i="3"/>
  <c r="AX64" i="3"/>
  <c r="AW64" i="3"/>
  <c r="AV64" i="3"/>
  <c r="AT64" i="3"/>
  <c r="AS64" i="3"/>
  <c r="AR64" i="3"/>
  <c r="AQ64" i="3"/>
  <c r="AP64" i="3"/>
  <c r="AM64" i="3"/>
  <c r="AL64" i="3"/>
  <c r="AK64" i="3"/>
  <c r="AH64" i="3"/>
  <c r="AG64" i="3"/>
  <c r="AF64" i="3"/>
  <c r="AD64" i="3"/>
  <c r="AC64" i="3"/>
  <c r="AB64" i="3"/>
  <c r="K64" i="3"/>
  <c r="AZ63" i="3"/>
  <c r="AY63" i="3"/>
  <c r="AX63" i="3"/>
  <c r="AW63" i="3"/>
  <c r="AV63" i="3"/>
  <c r="AT63" i="3"/>
  <c r="AS63" i="3"/>
  <c r="AR63" i="3"/>
  <c r="AQ63" i="3"/>
  <c r="AP63" i="3"/>
  <c r="AM63" i="3"/>
  <c r="AL63" i="3"/>
  <c r="AK63" i="3"/>
  <c r="AH63" i="3"/>
  <c r="AG63" i="3"/>
  <c r="AF63" i="3"/>
  <c r="AD63" i="3"/>
  <c r="AC63" i="3"/>
  <c r="AB63" i="3"/>
  <c r="K63" i="3"/>
  <c r="AZ62" i="3"/>
  <c r="AY62" i="3"/>
  <c r="AX62" i="3"/>
  <c r="AW62" i="3"/>
  <c r="AV62" i="3"/>
  <c r="AT62" i="3"/>
  <c r="AS62" i="3"/>
  <c r="AR62" i="3"/>
  <c r="AQ62" i="3"/>
  <c r="AP62" i="3"/>
  <c r="AM62" i="3"/>
  <c r="AL62" i="3"/>
  <c r="AK62" i="3"/>
  <c r="AH62" i="3"/>
  <c r="AG62" i="3"/>
  <c r="AF62" i="3"/>
  <c r="AD62" i="3"/>
  <c r="AC62" i="3"/>
  <c r="AB62" i="3"/>
  <c r="K62" i="3"/>
  <c r="AZ61" i="3"/>
  <c r="AY61" i="3"/>
  <c r="AX61" i="3"/>
  <c r="AW61" i="3"/>
  <c r="AV61" i="3"/>
  <c r="AT61" i="3"/>
  <c r="AS61" i="3"/>
  <c r="AR61" i="3"/>
  <c r="AQ61" i="3"/>
  <c r="AP61" i="3"/>
  <c r="AM61" i="3"/>
  <c r="AL61" i="3"/>
  <c r="AK61" i="3"/>
  <c r="AH61" i="3"/>
  <c r="AG61" i="3"/>
  <c r="AF61" i="3"/>
  <c r="AD61" i="3"/>
  <c r="AC61" i="3"/>
  <c r="AB61" i="3"/>
  <c r="K61" i="3"/>
  <c r="AZ60" i="3"/>
  <c r="AY60" i="3"/>
  <c r="AX60" i="3"/>
  <c r="AW60" i="3"/>
  <c r="AV60" i="3"/>
  <c r="AT60" i="3"/>
  <c r="AS60" i="3"/>
  <c r="AR60" i="3"/>
  <c r="AQ60" i="3"/>
  <c r="AP60" i="3"/>
  <c r="AM60" i="3"/>
  <c r="AL60" i="3"/>
  <c r="AK60" i="3"/>
  <c r="AH60" i="3"/>
  <c r="AG60" i="3"/>
  <c r="AF60" i="3"/>
  <c r="AD60" i="3"/>
  <c r="AC60" i="3"/>
  <c r="AB60" i="3"/>
  <c r="K60" i="3"/>
  <c r="AZ59" i="3"/>
  <c r="AY59" i="3"/>
  <c r="AX59" i="3"/>
  <c r="AW59" i="3"/>
  <c r="AV59" i="3"/>
  <c r="AT59" i="3"/>
  <c r="AS59" i="3"/>
  <c r="AR59" i="3"/>
  <c r="AQ59" i="3"/>
  <c r="AP59" i="3"/>
  <c r="AM59" i="3"/>
  <c r="AL59" i="3"/>
  <c r="AK59" i="3"/>
  <c r="AH59" i="3"/>
  <c r="AG59" i="3"/>
  <c r="AF59" i="3"/>
  <c r="AD59" i="3"/>
  <c r="AC59" i="3"/>
  <c r="AB59" i="3"/>
  <c r="K59" i="3"/>
  <c r="AZ58" i="3"/>
  <c r="AY58" i="3"/>
  <c r="AX58" i="3"/>
  <c r="AW58" i="3"/>
  <c r="AV58" i="3"/>
  <c r="AT58" i="3"/>
  <c r="AS58" i="3"/>
  <c r="AR58" i="3"/>
  <c r="AQ58" i="3"/>
  <c r="AP58" i="3"/>
  <c r="AM58" i="3"/>
  <c r="AL58" i="3"/>
  <c r="AK58" i="3"/>
  <c r="AH58" i="3"/>
  <c r="AG58" i="3"/>
  <c r="AF58" i="3"/>
  <c r="AD58" i="3"/>
  <c r="AC58" i="3"/>
  <c r="AB58" i="3"/>
  <c r="K58" i="3"/>
  <c r="AZ57" i="3"/>
  <c r="AY57" i="3"/>
  <c r="AX57" i="3"/>
  <c r="AW57" i="3"/>
  <c r="AV57" i="3"/>
  <c r="AT57" i="3"/>
  <c r="AS57" i="3"/>
  <c r="AR57" i="3"/>
  <c r="AQ57" i="3"/>
  <c r="AP57" i="3"/>
  <c r="AM57" i="3"/>
  <c r="AL57" i="3"/>
  <c r="AK57" i="3"/>
  <c r="AH57" i="3"/>
  <c r="AG57" i="3"/>
  <c r="AF57" i="3"/>
  <c r="AD57" i="3"/>
  <c r="AC57" i="3"/>
  <c r="AB57" i="3"/>
  <c r="K57" i="3"/>
  <c r="AZ56" i="3"/>
  <c r="AY56" i="3"/>
  <c r="AX56" i="3"/>
  <c r="AW56" i="3"/>
  <c r="AV56" i="3"/>
  <c r="AT56" i="3"/>
  <c r="AS56" i="3"/>
  <c r="AR56" i="3"/>
  <c r="AQ56" i="3"/>
  <c r="AP56" i="3"/>
  <c r="AM56" i="3"/>
  <c r="AL56" i="3"/>
  <c r="AK56" i="3"/>
  <c r="AH56" i="3"/>
  <c r="AG56" i="3"/>
  <c r="AF56" i="3"/>
  <c r="AD56" i="3"/>
  <c r="AC56" i="3"/>
  <c r="AB56" i="3"/>
  <c r="K56" i="3"/>
  <c r="AZ55" i="3"/>
  <c r="AY55" i="3"/>
  <c r="AX55" i="3"/>
  <c r="AW55" i="3"/>
  <c r="AV55" i="3"/>
  <c r="AT55" i="3"/>
  <c r="AS55" i="3"/>
  <c r="AR55" i="3"/>
  <c r="AQ55" i="3"/>
  <c r="AP55" i="3"/>
  <c r="AM55" i="3"/>
  <c r="AL55" i="3"/>
  <c r="AK55" i="3"/>
  <c r="AH55" i="3"/>
  <c r="AG55" i="3"/>
  <c r="AF55" i="3"/>
  <c r="AD55" i="3"/>
  <c r="AC55" i="3"/>
  <c r="AB55" i="3"/>
  <c r="K55" i="3"/>
  <c r="AZ54" i="3"/>
  <c r="AY54" i="3"/>
  <c r="AX54" i="3"/>
  <c r="AW54" i="3"/>
  <c r="AV54" i="3"/>
  <c r="AT54" i="3"/>
  <c r="AS54" i="3"/>
  <c r="AR54" i="3"/>
  <c r="AQ54" i="3"/>
  <c r="AP54" i="3"/>
  <c r="AM54" i="3"/>
  <c r="AL54" i="3"/>
  <c r="AK54" i="3"/>
  <c r="AH54" i="3"/>
  <c r="AG54" i="3"/>
  <c r="AF54" i="3"/>
  <c r="AD54" i="3"/>
  <c r="AC54" i="3"/>
  <c r="AB54" i="3"/>
  <c r="K54" i="3"/>
  <c r="AZ53" i="3"/>
  <c r="AY53" i="3"/>
  <c r="AX53" i="3"/>
  <c r="AW53" i="3"/>
  <c r="AV53" i="3"/>
  <c r="AT53" i="3"/>
  <c r="AS53" i="3"/>
  <c r="AR53" i="3"/>
  <c r="AQ53" i="3"/>
  <c r="AP53" i="3"/>
  <c r="AM53" i="3"/>
  <c r="AL53" i="3"/>
  <c r="AK53" i="3"/>
  <c r="AH53" i="3"/>
  <c r="AG53" i="3"/>
  <c r="AF53" i="3"/>
  <c r="AD53" i="3"/>
  <c r="AC53" i="3"/>
  <c r="AB53" i="3"/>
  <c r="K53" i="3"/>
  <c r="AZ52" i="3"/>
  <c r="AY52" i="3"/>
  <c r="AX52" i="3"/>
  <c r="AW52" i="3"/>
  <c r="AV52" i="3"/>
  <c r="AT52" i="3"/>
  <c r="AS52" i="3"/>
  <c r="AR52" i="3"/>
  <c r="AQ52" i="3"/>
  <c r="AP52" i="3"/>
  <c r="AM52" i="3"/>
  <c r="AL52" i="3"/>
  <c r="AK52" i="3"/>
  <c r="AH52" i="3"/>
  <c r="AG52" i="3"/>
  <c r="AF52" i="3"/>
  <c r="AD52" i="3"/>
  <c r="AC52" i="3"/>
  <c r="AB52" i="3"/>
  <c r="K52" i="3"/>
  <c r="AZ51" i="3"/>
  <c r="AY51" i="3"/>
  <c r="AX51" i="3"/>
  <c r="AW51" i="3"/>
  <c r="AV51" i="3"/>
  <c r="AT51" i="3"/>
  <c r="AS51" i="3"/>
  <c r="AR51" i="3"/>
  <c r="AQ51" i="3"/>
  <c r="AP51" i="3"/>
  <c r="AM51" i="3"/>
  <c r="AL51" i="3"/>
  <c r="AK51" i="3"/>
  <c r="AH51" i="3"/>
  <c r="AG51" i="3"/>
  <c r="AF51" i="3"/>
  <c r="AD51" i="3"/>
  <c r="AC51" i="3"/>
  <c r="AB51" i="3"/>
  <c r="K51" i="3"/>
  <c r="AZ50" i="3"/>
  <c r="AY50" i="3"/>
  <c r="AX50" i="3"/>
  <c r="AW50" i="3"/>
  <c r="AV50" i="3"/>
  <c r="AT50" i="3"/>
  <c r="AS50" i="3"/>
  <c r="AR50" i="3"/>
  <c r="AQ50" i="3"/>
  <c r="AP50" i="3"/>
  <c r="AM50" i="3"/>
  <c r="AL50" i="3"/>
  <c r="AK50" i="3"/>
  <c r="AH50" i="3"/>
  <c r="AG50" i="3"/>
  <c r="AF50" i="3"/>
  <c r="AD50" i="3"/>
  <c r="AC50" i="3"/>
  <c r="AB50" i="3"/>
  <c r="K50" i="3"/>
  <c r="AZ49" i="3"/>
  <c r="AY49" i="3"/>
  <c r="AX49" i="3"/>
  <c r="AW49" i="3"/>
  <c r="AV49" i="3"/>
  <c r="AT49" i="3"/>
  <c r="AS49" i="3"/>
  <c r="AR49" i="3"/>
  <c r="AQ49" i="3"/>
  <c r="AP49" i="3"/>
  <c r="AM49" i="3"/>
  <c r="AL49" i="3"/>
  <c r="AK49" i="3"/>
  <c r="AH49" i="3"/>
  <c r="AG49" i="3"/>
  <c r="AF49" i="3"/>
  <c r="AD49" i="3"/>
  <c r="AC49" i="3"/>
  <c r="AB49" i="3"/>
  <c r="K49" i="3"/>
  <c r="AZ48" i="3"/>
  <c r="AY48" i="3"/>
  <c r="AX48" i="3"/>
  <c r="AW48" i="3"/>
  <c r="AV48" i="3"/>
  <c r="AT48" i="3"/>
  <c r="AS48" i="3"/>
  <c r="AR48" i="3"/>
  <c r="AQ48" i="3"/>
  <c r="AP48" i="3"/>
  <c r="AM48" i="3"/>
  <c r="AL48" i="3"/>
  <c r="AK48" i="3"/>
  <c r="AH48" i="3"/>
  <c r="AG48" i="3"/>
  <c r="AF48" i="3"/>
  <c r="AD48" i="3"/>
  <c r="AC48" i="3"/>
  <c r="AB48" i="3"/>
  <c r="K48" i="3"/>
  <c r="AZ47" i="3"/>
  <c r="AY47" i="3"/>
  <c r="AX47" i="3"/>
  <c r="AW47" i="3"/>
  <c r="AV47" i="3"/>
  <c r="AT47" i="3"/>
  <c r="AS47" i="3"/>
  <c r="AR47" i="3"/>
  <c r="AQ47" i="3"/>
  <c r="AP47" i="3"/>
  <c r="AM47" i="3"/>
  <c r="AL47" i="3"/>
  <c r="AK47" i="3"/>
  <c r="AH47" i="3"/>
  <c r="AG47" i="3"/>
  <c r="AF47" i="3"/>
  <c r="AD47" i="3"/>
  <c r="AC47" i="3"/>
  <c r="AB47" i="3"/>
  <c r="K47" i="3"/>
  <c r="AZ46" i="3"/>
  <c r="AY46" i="3"/>
  <c r="AX46" i="3"/>
  <c r="AW46" i="3"/>
  <c r="AV46" i="3"/>
  <c r="AT46" i="3"/>
  <c r="AS46" i="3"/>
  <c r="AR46" i="3"/>
  <c r="AQ46" i="3"/>
  <c r="AP46" i="3"/>
  <c r="AM46" i="3"/>
  <c r="AL46" i="3"/>
  <c r="AK46" i="3"/>
  <c r="AH46" i="3"/>
  <c r="AG46" i="3"/>
  <c r="AF46" i="3"/>
  <c r="AD46" i="3"/>
  <c r="AC46" i="3"/>
  <c r="AB46" i="3"/>
  <c r="K46" i="3"/>
  <c r="AZ45" i="3"/>
  <c r="AY45" i="3"/>
  <c r="AX45" i="3"/>
  <c r="AW45" i="3"/>
  <c r="AV45" i="3"/>
  <c r="AT45" i="3"/>
  <c r="AS45" i="3"/>
  <c r="AR45" i="3"/>
  <c r="AQ45" i="3"/>
  <c r="AP45" i="3"/>
  <c r="AM45" i="3"/>
  <c r="AL45" i="3"/>
  <c r="AK45" i="3"/>
  <c r="AH45" i="3"/>
  <c r="AG45" i="3"/>
  <c r="AF45" i="3"/>
  <c r="AD45" i="3"/>
  <c r="AC45" i="3"/>
  <c r="AB45" i="3"/>
  <c r="K45" i="3"/>
  <c r="AZ44" i="3"/>
  <c r="AY44" i="3"/>
  <c r="AX44" i="3"/>
  <c r="AW44" i="3"/>
  <c r="AV44" i="3"/>
  <c r="AT44" i="3"/>
  <c r="AS44" i="3"/>
  <c r="AR44" i="3"/>
  <c r="AQ44" i="3"/>
  <c r="AP44" i="3"/>
  <c r="AM44" i="3"/>
  <c r="AL44" i="3"/>
  <c r="AK44" i="3"/>
  <c r="AH44" i="3"/>
  <c r="AG44" i="3"/>
  <c r="AF44" i="3"/>
  <c r="AD44" i="3"/>
  <c r="AC44" i="3"/>
  <c r="AB44" i="3"/>
  <c r="K44" i="3"/>
  <c r="AZ43" i="3"/>
  <c r="AY43" i="3"/>
  <c r="AX43" i="3"/>
  <c r="AW43" i="3"/>
  <c r="AV43" i="3"/>
  <c r="AT43" i="3"/>
  <c r="AS43" i="3"/>
  <c r="AR43" i="3"/>
  <c r="AQ43" i="3"/>
  <c r="AP43" i="3"/>
  <c r="AM43" i="3"/>
  <c r="AL43" i="3"/>
  <c r="AK43" i="3"/>
  <c r="AH43" i="3"/>
  <c r="AG43" i="3"/>
  <c r="AF43" i="3"/>
  <c r="AD43" i="3"/>
  <c r="AC43" i="3"/>
  <c r="AB43" i="3"/>
  <c r="K43" i="3"/>
  <c r="AZ42" i="3"/>
  <c r="AY42" i="3"/>
  <c r="AX42" i="3"/>
  <c r="AW42" i="3"/>
  <c r="AV42" i="3"/>
  <c r="AT42" i="3"/>
  <c r="AS42" i="3"/>
  <c r="AR42" i="3"/>
  <c r="AQ42" i="3"/>
  <c r="AP42" i="3"/>
  <c r="AM42" i="3"/>
  <c r="AL42" i="3"/>
  <c r="AK42" i="3"/>
  <c r="AH42" i="3"/>
  <c r="AG42" i="3"/>
  <c r="AF42" i="3"/>
  <c r="AD42" i="3"/>
  <c r="AC42" i="3"/>
  <c r="AB42" i="3"/>
  <c r="K42" i="3"/>
  <c r="AZ41" i="3"/>
  <c r="AY41" i="3"/>
  <c r="AX41" i="3"/>
  <c r="AW41" i="3"/>
  <c r="AV41" i="3"/>
  <c r="AT41" i="3"/>
  <c r="AS41" i="3"/>
  <c r="AR41" i="3"/>
  <c r="AQ41" i="3"/>
  <c r="AP41" i="3"/>
  <c r="AM41" i="3"/>
  <c r="AL41" i="3"/>
  <c r="AK41" i="3"/>
  <c r="AH41" i="3"/>
  <c r="AG41" i="3"/>
  <c r="AF41" i="3"/>
  <c r="AD41" i="3"/>
  <c r="AC41" i="3"/>
  <c r="AB41" i="3"/>
  <c r="K41" i="3"/>
  <c r="AZ40" i="3"/>
  <c r="AY40" i="3"/>
  <c r="AX40" i="3"/>
  <c r="AW40" i="3"/>
  <c r="AV40" i="3"/>
  <c r="AT40" i="3"/>
  <c r="AS40" i="3"/>
  <c r="AR40" i="3"/>
  <c r="AQ40" i="3"/>
  <c r="AP40" i="3"/>
  <c r="AM40" i="3"/>
  <c r="AL40" i="3"/>
  <c r="AK40" i="3"/>
  <c r="AH40" i="3"/>
  <c r="AG40" i="3"/>
  <c r="AF40" i="3"/>
  <c r="AD40" i="3"/>
  <c r="AC40" i="3"/>
  <c r="AB40" i="3"/>
  <c r="K40" i="3"/>
  <c r="AZ39" i="3"/>
  <c r="AY39" i="3"/>
  <c r="AX39" i="3"/>
  <c r="AW39" i="3"/>
  <c r="AV39" i="3"/>
  <c r="AT39" i="3"/>
  <c r="AS39" i="3"/>
  <c r="AR39" i="3"/>
  <c r="AQ39" i="3"/>
  <c r="AP39" i="3"/>
  <c r="AM39" i="3"/>
  <c r="AL39" i="3"/>
  <c r="AK39" i="3"/>
  <c r="AH39" i="3"/>
  <c r="AG39" i="3"/>
  <c r="AF39" i="3"/>
  <c r="AD39" i="3"/>
  <c r="AC39" i="3"/>
  <c r="AB39" i="3"/>
  <c r="K39" i="3"/>
  <c r="AZ38" i="3"/>
  <c r="AY38" i="3"/>
  <c r="AX38" i="3"/>
  <c r="AW38" i="3"/>
  <c r="AV38" i="3"/>
  <c r="AT38" i="3"/>
  <c r="AS38" i="3"/>
  <c r="AR38" i="3"/>
  <c r="AQ38" i="3"/>
  <c r="AP38" i="3"/>
  <c r="AM38" i="3"/>
  <c r="AL38" i="3"/>
  <c r="AK38" i="3"/>
  <c r="AH38" i="3"/>
  <c r="AG38" i="3"/>
  <c r="AF38" i="3"/>
  <c r="AD38" i="3"/>
  <c r="AC38" i="3"/>
  <c r="AB38" i="3"/>
  <c r="K38" i="3"/>
  <c r="AZ37" i="3"/>
  <c r="AY37" i="3"/>
  <c r="AX37" i="3"/>
  <c r="AW37" i="3"/>
  <c r="AV37" i="3"/>
  <c r="AT37" i="3"/>
  <c r="AS37" i="3"/>
  <c r="AR37" i="3"/>
  <c r="AQ37" i="3"/>
  <c r="AP37" i="3"/>
  <c r="AM37" i="3"/>
  <c r="AL37" i="3"/>
  <c r="AK37" i="3"/>
  <c r="AH37" i="3"/>
  <c r="AG37" i="3"/>
  <c r="AF37" i="3"/>
  <c r="AD37" i="3"/>
  <c r="AC37" i="3"/>
  <c r="AB37" i="3"/>
  <c r="K37" i="3"/>
  <c r="AZ36" i="3"/>
  <c r="AY36" i="3"/>
  <c r="AX36" i="3"/>
  <c r="AW36" i="3"/>
  <c r="AV36" i="3"/>
  <c r="AT36" i="3"/>
  <c r="AS36" i="3"/>
  <c r="AR36" i="3"/>
  <c r="AQ36" i="3"/>
  <c r="AP36" i="3"/>
  <c r="AM36" i="3"/>
  <c r="AL36" i="3"/>
  <c r="AK36" i="3"/>
  <c r="AH36" i="3"/>
  <c r="AG36" i="3"/>
  <c r="AF36" i="3"/>
  <c r="AD36" i="3"/>
  <c r="AC36" i="3"/>
  <c r="AB36" i="3"/>
  <c r="K36" i="3"/>
  <c r="AZ35" i="3"/>
  <c r="AY35" i="3"/>
  <c r="AX35" i="3"/>
  <c r="AW35" i="3"/>
  <c r="AV35" i="3"/>
  <c r="AT35" i="3"/>
  <c r="AS35" i="3"/>
  <c r="AR35" i="3"/>
  <c r="AQ35" i="3"/>
  <c r="AP35" i="3"/>
  <c r="AM35" i="3"/>
  <c r="AL35" i="3"/>
  <c r="AK35" i="3"/>
  <c r="AH35" i="3"/>
  <c r="AG35" i="3"/>
  <c r="AF35" i="3"/>
  <c r="AD35" i="3"/>
  <c r="AC35" i="3"/>
  <c r="AB35" i="3"/>
  <c r="K35" i="3"/>
  <c r="AZ34" i="3"/>
  <c r="AY34" i="3"/>
  <c r="AX34" i="3"/>
  <c r="AW34" i="3"/>
  <c r="AV34" i="3"/>
  <c r="AT34" i="3"/>
  <c r="AS34" i="3"/>
  <c r="AR34" i="3"/>
  <c r="AQ34" i="3"/>
  <c r="AP34" i="3"/>
  <c r="AM34" i="3"/>
  <c r="AL34" i="3"/>
  <c r="AK34" i="3"/>
  <c r="AH34" i="3"/>
  <c r="AG34" i="3"/>
  <c r="AF34" i="3"/>
  <c r="AD34" i="3"/>
  <c r="AC34" i="3"/>
  <c r="AB34" i="3"/>
  <c r="K34" i="3"/>
  <c r="AZ33" i="3"/>
  <c r="AY33" i="3"/>
  <c r="AX33" i="3"/>
  <c r="AW33" i="3"/>
  <c r="AV33" i="3"/>
  <c r="AT33" i="3"/>
  <c r="AS33" i="3"/>
  <c r="AR33" i="3"/>
  <c r="AQ33" i="3"/>
  <c r="AP33" i="3"/>
  <c r="AM33" i="3"/>
  <c r="AL33" i="3"/>
  <c r="AK33" i="3"/>
  <c r="AH33" i="3"/>
  <c r="AG33" i="3"/>
  <c r="AF33" i="3"/>
  <c r="AD33" i="3"/>
  <c r="AC33" i="3"/>
  <c r="AB33" i="3"/>
  <c r="K33" i="3"/>
  <c r="AZ32" i="3"/>
  <c r="AY32" i="3"/>
  <c r="AX32" i="3"/>
  <c r="AW32" i="3"/>
  <c r="AV32" i="3"/>
  <c r="AT32" i="3"/>
  <c r="AS32" i="3"/>
  <c r="AR32" i="3"/>
  <c r="AQ32" i="3"/>
  <c r="AP32" i="3"/>
  <c r="AM32" i="3"/>
  <c r="AL32" i="3"/>
  <c r="AK32" i="3"/>
  <c r="AH32" i="3"/>
  <c r="AG32" i="3"/>
  <c r="AF32" i="3"/>
  <c r="AD32" i="3"/>
  <c r="AC32" i="3"/>
  <c r="AB32" i="3"/>
  <c r="K32" i="3"/>
  <c r="AZ31" i="3"/>
  <c r="AY31" i="3"/>
  <c r="AX31" i="3"/>
  <c r="AW31" i="3"/>
  <c r="AV31" i="3"/>
  <c r="AT31" i="3"/>
  <c r="AS31" i="3"/>
  <c r="AR31" i="3"/>
  <c r="AQ31" i="3"/>
  <c r="AP31" i="3"/>
  <c r="AM31" i="3"/>
  <c r="AL31" i="3"/>
  <c r="AK31" i="3"/>
  <c r="AH31" i="3"/>
  <c r="AG31" i="3"/>
  <c r="AF31" i="3"/>
  <c r="AD31" i="3"/>
  <c r="AC31" i="3"/>
  <c r="AB31" i="3"/>
  <c r="K31" i="3"/>
  <c r="AZ30" i="3"/>
  <c r="AY30" i="3"/>
  <c r="AX30" i="3"/>
  <c r="AW30" i="3"/>
  <c r="AV30" i="3"/>
  <c r="AT30" i="3"/>
  <c r="AS30" i="3"/>
  <c r="AR30" i="3"/>
  <c r="AQ30" i="3"/>
  <c r="AP30" i="3"/>
  <c r="AM30" i="3"/>
  <c r="AL30" i="3"/>
  <c r="AK30" i="3"/>
  <c r="AH30" i="3"/>
  <c r="AG30" i="3"/>
  <c r="AF30" i="3"/>
  <c r="AD30" i="3"/>
  <c r="AC30" i="3"/>
  <c r="AB30" i="3"/>
  <c r="K30" i="3"/>
  <c r="AZ29" i="3"/>
  <c r="AY29" i="3"/>
  <c r="AX29" i="3"/>
  <c r="AW29" i="3"/>
  <c r="AV29" i="3"/>
  <c r="AT29" i="3"/>
  <c r="AS29" i="3"/>
  <c r="AR29" i="3"/>
  <c r="AQ29" i="3"/>
  <c r="AP29" i="3"/>
  <c r="AM29" i="3"/>
  <c r="AL29" i="3"/>
  <c r="AH29" i="3"/>
  <c r="AG29" i="3"/>
  <c r="AD29" i="3"/>
  <c r="K29" i="3"/>
  <c r="AZ28" i="3"/>
  <c r="AY28" i="3"/>
  <c r="AX28" i="3"/>
  <c r="AW28" i="3"/>
  <c r="AV28" i="3"/>
  <c r="AT28" i="3"/>
  <c r="AS28" i="3"/>
  <c r="AR28" i="3"/>
  <c r="AQ28" i="3"/>
  <c r="AP28" i="3"/>
  <c r="AM28" i="3"/>
  <c r="AK29" i="3" s="1"/>
  <c r="AC29" i="3" s="1"/>
  <c r="AL28" i="3"/>
  <c r="AK28" i="3"/>
  <c r="AH28" i="3"/>
  <c r="AF29" i="3" s="1"/>
  <c r="AB29" i="3" s="1"/>
  <c r="AG28" i="3"/>
  <c r="AF28" i="3"/>
  <c r="AD28" i="3"/>
  <c r="AC28" i="3"/>
  <c r="AB28" i="3"/>
  <c r="K28" i="3"/>
  <c r="AZ27" i="3"/>
  <c r="AY27" i="3"/>
  <c r="AX27" i="3"/>
  <c r="AW27" i="3"/>
  <c r="AV27" i="3"/>
  <c r="AT27" i="3"/>
  <c r="AS27" i="3"/>
  <c r="AR27" i="3"/>
  <c r="AQ27" i="3"/>
  <c r="AP27" i="3"/>
  <c r="AM27" i="3"/>
  <c r="AL27" i="3"/>
  <c r="AK27" i="3"/>
  <c r="AH27" i="3"/>
  <c r="AG27" i="3"/>
  <c r="AF27" i="3"/>
  <c r="AD27" i="3"/>
  <c r="AC27" i="3"/>
  <c r="AB27" i="3"/>
  <c r="K27" i="3"/>
  <c r="AZ26" i="3"/>
  <c r="AY26" i="3"/>
  <c r="AX26" i="3"/>
  <c r="AW26" i="3"/>
  <c r="AV26" i="3"/>
  <c r="AT26" i="3"/>
  <c r="AS26" i="3"/>
  <c r="AR26" i="3"/>
  <c r="AQ26" i="3"/>
  <c r="AP26" i="3"/>
  <c r="AM26" i="3"/>
  <c r="AL26" i="3"/>
  <c r="AK26" i="3"/>
  <c r="AH26" i="3"/>
  <c r="AG26" i="3"/>
  <c r="AF26" i="3"/>
  <c r="AD26" i="3"/>
  <c r="AC26" i="3"/>
  <c r="AB26" i="3"/>
  <c r="K26" i="3"/>
  <c r="AZ25" i="3"/>
  <c r="AY25" i="3"/>
  <c r="AX25" i="3"/>
  <c r="AW25" i="3"/>
  <c r="AV25" i="3"/>
  <c r="AT25" i="3"/>
  <c r="AS25" i="3"/>
  <c r="AR25" i="3"/>
  <c r="AQ25" i="3"/>
  <c r="AP25" i="3"/>
  <c r="AM25" i="3"/>
  <c r="AL25" i="3"/>
  <c r="AK25" i="3"/>
  <c r="AH25" i="3"/>
  <c r="AG25" i="3"/>
  <c r="AF25" i="3"/>
  <c r="AD25" i="3"/>
  <c r="AC25" i="3"/>
  <c r="AB25" i="3"/>
  <c r="K25" i="3"/>
  <c r="AZ24" i="3"/>
  <c r="AY24" i="3"/>
  <c r="AX24" i="3"/>
  <c r="AW24" i="3"/>
  <c r="AV24" i="3"/>
  <c r="AT24" i="3"/>
  <c r="AS24" i="3"/>
  <c r="AR24" i="3"/>
  <c r="AQ24" i="3"/>
  <c r="AP24" i="3"/>
  <c r="AM24" i="3"/>
  <c r="AL24" i="3"/>
  <c r="AK24" i="3"/>
  <c r="AH24" i="3"/>
  <c r="AG24" i="3"/>
  <c r="AF24" i="3"/>
  <c r="AD24" i="3"/>
  <c r="AC24" i="3"/>
  <c r="AB24" i="3"/>
  <c r="K24" i="3"/>
  <c r="AZ23" i="3"/>
  <c r="AY23" i="3"/>
  <c r="AX23" i="3"/>
  <c r="AW23" i="3"/>
  <c r="AV23" i="3"/>
  <c r="AT23" i="3"/>
  <c r="AS23" i="3"/>
  <c r="AR23" i="3"/>
  <c r="AQ23" i="3"/>
  <c r="AP23" i="3"/>
  <c r="AM23" i="3"/>
  <c r="AL23" i="3"/>
  <c r="AK23" i="3"/>
  <c r="AH23" i="3"/>
  <c r="AG23" i="3"/>
  <c r="AF23" i="3"/>
  <c r="AD23" i="3"/>
  <c r="AC23" i="3"/>
  <c r="AB23" i="3"/>
  <c r="K23" i="3"/>
  <c r="AZ22" i="3"/>
  <c r="AY22" i="3"/>
  <c r="AX22" i="3"/>
  <c r="AW22" i="3"/>
  <c r="AV22" i="3"/>
  <c r="AT22" i="3"/>
  <c r="AS22" i="3"/>
  <c r="AR22" i="3"/>
  <c r="AQ22" i="3"/>
  <c r="AP22" i="3"/>
  <c r="AM22" i="3"/>
  <c r="AL22" i="3"/>
  <c r="AK22" i="3"/>
  <c r="AH22" i="3"/>
  <c r="AG22" i="3"/>
  <c r="AF22" i="3"/>
  <c r="AD22" i="3"/>
  <c r="AC22" i="3"/>
  <c r="AB22" i="3"/>
  <c r="K22" i="3"/>
  <c r="AZ21" i="3"/>
  <c r="AY21" i="3"/>
  <c r="AX21" i="3"/>
  <c r="AW21" i="3"/>
  <c r="AV21" i="3"/>
  <c r="AT21" i="3"/>
  <c r="AS21" i="3"/>
  <c r="AR21" i="3"/>
  <c r="AQ21" i="3"/>
  <c r="AP21" i="3"/>
  <c r="AM21" i="3"/>
  <c r="AL21" i="3"/>
  <c r="AK21" i="3"/>
  <c r="AH21" i="3"/>
  <c r="AG21" i="3"/>
  <c r="AF21" i="3"/>
  <c r="AD21" i="3"/>
  <c r="AC21" i="3"/>
  <c r="AB21" i="3"/>
  <c r="K21" i="3"/>
  <c r="AZ20" i="3"/>
  <c r="AY20" i="3"/>
  <c r="AX20" i="3"/>
  <c r="AW20" i="3"/>
  <c r="AV20" i="3"/>
  <c r="AT20" i="3"/>
  <c r="AS20" i="3"/>
  <c r="AR20" i="3"/>
  <c r="AQ20" i="3"/>
  <c r="AP20" i="3"/>
  <c r="AM20" i="3"/>
  <c r="AL20" i="3"/>
  <c r="AK20" i="3"/>
  <c r="AH20" i="3"/>
  <c r="AG20" i="3"/>
  <c r="AF20" i="3"/>
  <c r="AD20" i="3"/>
  <c r="AC20" i="3"/>
  <c r="AB20" i="3"/>
  <c r="K20" i="3"/>
  <c r="AZ19" i="3"/>
  <c r="AY19" i="3"/>
  <c r="AX19" i="3"/>
  <c r="AW19" i="3"/>
  <c r="AV19" i="3"/>
  <c r="AT19" i="3"/>
  <c r="AS19" i="3"/>
  <c r="AR19" i="3"/>
  <c r="AQ19" i="3"/>
  <c r="AP19" i="3"/>
  <c r="AM19" i="3"/>
  <c r="AL19" i="3"/>
  <c r="AK19" i="3"/>
  <c r="AH19" i="3"/>
  <c r="AG19" i="3"/>
  <c r="AF19" i="3"/>
  <c r="AD19" i="3"/>
  <c r="AC19" i="3"/>
  <c r="AB19" i="3"/>
  <c r="K19" i="3"/>
  <c r="AZ18" i="3"/>
  <c r="AY18" i="3"/>
  <c r="AX18" i="3"/>
  <c r="AW18" i="3"/>
  <c r="AV18" i="3"/>
  <c r="AT18" i="3"/>
  <c r="AS18" i="3"/>
  <c r="AR18" i="3"/>
  <c r="AQ18" i="3"/>
  <c r="AP18" i="3"/>
  <c r="AM18" i="3"/>
  <c r="AL18" i="3"/>
  <c r="AK18" i="3"/>
  <c r="AH18" i="3"/>
  <c r="AG18" i="3"/>
  <c r="AF18" i="3"/>
  <c r="AD18" i="3"/>
  <c r="AC18" i="3"/>
  <c r="AB18" i="3"/>
  <c r="K18" i="3"/>
  <c r="AZ17" i="3"/>
  <c r="AY17" i="3"/>
  <c r="AX17" i="3"/>
  <c r="AW17" i="3"/>
  <c r="AV17" i="3"/>
  <c r="AT17" i="3"/>
  <c r="AS17" i="3"/>
  <c r="AR17" i="3"/>
  <c r="AQ17" i="3"/>
  <c r="AP17" i="3"/>
  <c r="AM17" i="3"/>
  <c r="AL17" i="3"/>
  <c r="AK17" i="3"/>
  <c r="AH17" i="3"/>
  <c r="AG17" i="3"/>
  <c r="AF17" i="3"/>
  <c r="AD17" i="3"/>
  <c r="AC17" i="3"/>
  <c r="AB17" i="3"/>
  <c r="K17" i="3"/>
  <c r="AZ16" i="3"/>
  <c r="AY16" i="3"/>
  <c r="AX16" i="3"/>
  <c r="AW16" i="3"/>
  <c r="AV16" i="3"/>
  <c r="AT16" i="3"/>
  <c r="AS16" i="3"/>
  <c r="AR16" i="3"/>
  <c r="AQ16" i="3"/>
  <c r="AP16" i="3"/>
  <c r="AM16" i="3"/>
  <c r="AL16" i="3"/>
  <c r="AH16" i="3"/>
  <c r="AG16" i="3"/>
  <c r="AD16" i="3"/>
  <c r="K16" i="3"/>
  <c r="AZ15" i="3"/>
  <c r="AY15" i="3"/>
  <c r="AX15" i="3"/>
  <c r="AW15" i="3"/>
  <c r="AV15" i="3"/>
  <c r="AT15" i="3"/>
  <c r="AS15" i="3"/>
  <c r="AR15" i="3"/>
  <c r="AQ15" i="3"/>
  <c r="AP15" i="3"/>
  <c r="AM15" i="3"/>
  <c r="AK16" i="3" s="1"/>
  <c r="AC16" i="3" s="1"/>
  <c r="AL15" i="3"/>
  <c r="AK15" i="3"/>
  <c r="AH15" i="3"/>
  <c r="AF16" i="3" s="1"/>
  <c r="AB16" i="3" s="1"/>
  <c r="AG15" i="3"/>
  <c r="AF15" i="3"/>
  <c r="AD15" i="3"/>
  <c r="AC15" i="3"/>
  <c r="AB15" i="3"/>
  <c r="K15" i="3"/>
  <c r="AZ14" i="3"/>
  <c r="AY14" i="3"/>
  <c r="AX14" i="3"/>
  <c r="AW14" i="3"/>
  <c r="AV14" i="3"/>
  <c r="AT14" i="3"/>
  <c r="AS14" i="3"/>
  <c r="AR14" i="3"/>
  <c r="AQ14" i="3"/>
  <c r="AP14" i="3"/>
  <c r="AM14" i="3"/>
  <c r="AL14" i="3"/>
  <c r="AH14" i="3"/>
  <c r="AG14" i="3"/>
  <c r="AD14" i="3"/>
  <c r="K14" i="3"/>
  <c r="AZ13" i="3"/>
  <c r="AY13" i="3"/>
  <c r="AX13" i="3"/>
  <c r="AW13" i="3"/>
  <c r="AV13" i="3"/>
  <c r="AT13" i="3"/>
  <c r="AS13" i="3"/>
  <c r="AR13" i="3"/>
  <c r="AQ13" i="3"/>
  <c r="AP13" i="3"/>
  <c r="AM13" i="3"/>
  <c r="AK14" i="3" s="1"/>
  <c r="AC14" i="3" s="1"/>
  <c r="AL13" i="3"/>
  <c r="AK13" i="3"/>
  <c r="AH13" i="3"/>
  <c r="AF14" i="3" s="1"/>
  <c r="AB14" i="3" s="1"/>
  <c r="AG13" i="3"/>
  <c r="AF13" i="3"/>
  <c r="AD13" i="3"/>
  <c r="AC13" i="3"/>
  <c r="AB13" i="3"/>
  <c r="K13" i="3"/>
  <c r="AZ12" i="3"/>
  <c r="AY12" i="3"/>
  <c r="AX12" i="3"/>
  <c r="AW12" i="3"/>
  <c r="AV12" i="3"/>
  <c r="AT12" i="3"/>
  <c r="AS12" i="3"/>
  <c r="AR12" i="3"/>
  <c r="AQ12" i="3"/>
  <c r="AP12" i="3"/>
  <c r="AM12" i="3"/>
  <c r="AL12" i="3"/>
  <c r="AK12" i="3"/>
  <c r="AH12" i="3"/>
  <c r="AG12" i="3"/>
  <c r="AF12" i="3"/>
  <c r="AD12" i="3"/>
  <c r="AC12" i="3"/>
  <c r="AB12" i="3"/>
  <c r="K12" i="3"/>
  <c r="AZ11" i="3"/>
  <c r="AY11" i="3"/>
  <c r="AX11" i="3"/>
  <c r="AW11" i="3"/>
  <c r="AV11" i="3"/>
  <c r="AT11" i="3"/>
  <c r="AS11" i="3"/>
  <c r="AR11" i="3"/>
  <c r="AQ11" i="3"/>
  <c r="AP11" i="3"/>
  <c r="AM11" i="3"/>
  <c r="AL11" i="3"/>
  <c r="AH11" i="3"/>
  <c r="AG11" i="3"/>
  <c r="AD11" i="3"/>
  <c r="K11" i="3"/>
  <c r="AZ10" i="3"/>
  <c r="AY10" i="3"/>
  <c r="AX10" i="3"/>
  <c r="AW10" i="3"/>
  <c r="AV10" i="3"/>
  <c r="AT10" i="3"/>
  <c r="AS10" i="3"/>
  <c r="AR10" i="3"/>
  <c r="AQ10" i="3"/>
  <c r="AP10" i="3"/>
  <c r="AM10" i="3"/>
  <c r="AK11" i="3" s="1"/>
  <c r="AC11" i="3" s="1"/>
  <c r="AL10" i="3"/>
  <c r="AK10" i="3"/>
  <c r="AH10" i="3"/>
  <c r="AF11" i="3" s="1"/>
  <c r="AB11" i="3" s="1"/>
  <c r="AG10" i="3"/>
  <c r="AF10" i="3"/>
  <c r="AD10" i="3"/>
  <c r="AC10" i="3"/>
  <c r="AB10" i="3"/>
  <c r="K10" i="3"/>
  <c r="AZ9" i="3"/>
  <c r="AY9" i="3"/>
  <c r="AX9" i="3"/>
  <c r="AW9" i="3"/>
  <c r="AV9" i="3"/>
  <c r="AT9" i="3"/>
  <c r="AS9" i="3"/>
  <c r="AR9" i="3"/>
  <c r="AQ9" i="3"/>
  <c r="AP9" i="3"/>
  <c r="AM9" i="3"/>
  <c r="AL9" i="3"/>
  <c r="AK9" i="3"/>
  <c r="AH9" i="3"/>
  <c r="AG9" i="3"/>
  <c r="AF9" i="3"/>
  <c r="AD9" i="3"/>
  <c r="AC9" i="3"/>
  <c r="AB9" i="3"/>
  <c r="K9" i="3"/>
  <c r="AZ8" i="3"/>
  <c r="AY8" i="3"/>
  <c r="AX8" i="3"/>
  <c r="AW8" i="3"/>
  <c r="AV8" i="3"/>
  <c r="AT8" i="3"/>
  <c r="AS8" i="3"/>
  <c r="AR8" i="3"/>
  <c r="AQ8" i="3"/>
  <c r="AP8" i="3"/>
  <c r="AM8" i="3"/>
  <c r="AL8" i="3"/>
  <c r="AK8" i="3"/>
  <c r="AH8" i="3"/>
  <c r="AG8" i="3"/>
  <c r="AF8" i="3"/>
  <c r="AD8" i="3"/>
  <c r="AC8" i="3"/>
  <c r="AB8" i="3"/>
  <c r="K8" i="3"/>
  <c r="AZ6" i="3"/>
  <c r="AY6" i="3"/>
  <c r="AX6" i="3"/>
  <c r="AW6" i="3"/>
  <c r="AV6" i="3"/>
  <c r="AT6" i="3"/>
  <c r="AS6" i="3"/>
  <c r="AR6" i="3"/>
  <c r="AQ6" i="3"/>
  <c r="AP6" i="3"/>
  <c r="AM6" i="3"/>
  <c r="AL6" i="3"/>
  <c r="AK6" i="3"/>
  <c r="AH6" i="3"/>
  <c r="AG6" i="3"/>
  <c r="AF6" i="3"/>
  <c r="AD6" i="3"/>
  <c r="AC6" i="3"/>
  <c r="AB6" i="3"/>
  <c r="K6" i="3"/>
  <c r="AZ5" i="3"/>
  <c r="AY5" i="3"/>
  <c r="AX5" i="3"/>
  <c r="AW5" i="3"/>
  <c r="AV5" i="3"/>
  <c r="AT5" i="3"/>
  <c r="AS5" i="3"/>
  <c r="AR5" i="3"/>
  <c r="AQ5" i="3"/>
  <c r="AP5" i="3"/>
  <c r="AM5" i="3"/>
  <c r="AL5" i="3"/>
  <c r="AK5" i="3"/>
  <c r="AH5" i="3"/>
  <c r="AG5" i="3"/>
  <c r="AF5" i="3"/>
  <c r="AD5" i="3"/>
  <c r="AC5" i="3"/>
  <c r="AB5" i="3"/>
  <c r="K5" i="3"/>
  <c r="AZ4" i="3"/>
  <c r="AY4" i="3"/>
  <c r="AX4" i="3"/>
  <c r="AW4" i="3"/>
  <c r="AV4" i="3"/>
  <c r="AT4" i="3"/>
  <c r="AS4" i="3"/>
  <c r="AR4" i="3"/>
  <c r="AQ4" i="3"/>
  <c r="AP4" i="3"/>
  <c r="AM4" i="3"/>
  <c r="AL4" i="3"/>
  <c r="AH4" i="3"/>
  <c r="AG4" i="3"/>
  <c r="AD4" i="3"/>
  <c r="R17" i="13" s="1"/>
  <c r="AZ3" i="3"/>
  <c r="AY3" i="3"/>
  <c r="AX3" i="3"/>
  <c r="AW3" i="3"/>
  <c r="AV3" i="3"/>
  <c r="AT3" i="3"/>
  <c r="AS3" i="3"/>
  <c r="AR3" i="3"/>
  <c r="AQ3" i="3"/>
  <c r="AP3" i="3"/>
  <c r="AM3" i="3"/>
  <c r="AL3" i="3"/>
  <c r="AK3" i="3"/>
  <c r="AH3" i="3"/>
  <c r="AF4" i="3" s="1"/>
  <c r="AB4" i="3" s="1"/>
  <c r="AG3" i="3"/>
  <c r="AF3" i="3"/>
  <c r="AD3" i="3"/>
  <c r="AC3" i="3"/>
  <c r="AB3" i="3"/>
  <c r="Q17" i="13" s="1"/>
  <c r="K3" i="3"/>
  <c r="D38" i="2"/>
  <c r="C37" i="2"/>
  <c r="C36" i="2"/>
  <c r="C38" i="2" s="1"/>
  <c r="E35" i="2"/>
  <c r="E38" i="2" s="1"/>
  <c r="M16" i="2"/>
  <c r="K16" i="2"/>
  <c r="I16" i="2"/>
  <c r="G16" i="2"/>
  <c r="D14" i="2"/>
  <c r="C14" i="2"/>
  <c r="E19" i="2" s="1"/>
  <c r="D13" i="2"/>
  <c r="C13" i="2"/>
  <c r="D19" i="2" s="1"/>
  <c r="D12" i="2"/>
  <c r="D7" i="2"/>
  <c r="C6" i="2"/>
  <c r="C5" i="2"/>
  <c r="D16" i="2" l="1"/>
  <c r="N12" i="2"/>
  <c r="L12" i="2"/>
  <c r="J12" i="2"/>
  <c r="H12" i="2"/>
  <c r="F12" i="2"/>
  <c r="D20" i="2"/>
  <c r="N13" i="2"/>
  <c r="L13" i="2"/>
  <c r="J13" i="2"/>
  <c r="H13" i="2"/>
  <c r="E20" i="2"/>
  <c r="N14" i="2"/>
  <c r="L14" i="2"/>
  <c r="J14" i="2"/>
  <c r="H14" i="2"/>
  <c r="F14" i="2"/>
  <c r="H16" i="2"/>
  <c r="J16" i="2"/>
  <c r="L16" i="2"/>
  <c r="N16" i="2"/>
  <c r="D18" i="13"/>
  <c r="D36" i="13" s="1"/>
  <c r="C18" i="13"/>
  <c r="C36" i="13" s="1"/>
  <c r="D17" i="13"/>
  <c r="C17" i="13"/>
  <c r="L17" i="13"/>
  <c r="L35" i="13" s="1"/>
  <c r="AK4" i="3"/>
  <c r="AC4" i="3" s="1"/>
  <c r="J17" i="13" s="1"/>
  <c r="K17" i="13" s="1"/>
  <c r="H18" i="13"/>
  <c r="H17" i="13"/>
  <c r="F18" i="13"/>
  <c r="F36" i="13" s="1"/>
  <c r="F17" i="13"/>
  <c r="H25" i="13"/>
  <c r="I25" i="13" s="1"/>
  <c r="H23" i="13"/>
  <c r="AF49" i="6"/>
  <c r="AB49" i="6" s="1"/>
  <c r="AF27" i="6"/>
  <c r="AB27" i="6" s="1"/>
  <c r="AF26" i="6"/>
  <c r="AB26" i="6" s="1"/>
  <c r="AF25" i="6"/>
  <c r="AB25" i="6" s="1"/>
  <c r="AF24" i="6"/>
  <c r="AB24" i="6" s="1"/>
  <c r="AF23" i="6"/>
  <c r="AB23" i="6" s="1"/>
  <c r="AF22" i="6"/>
  <c r="AB22" i="6" s="1"/>
  <c r="AF21" i="6"/>
  <c r="AB21" i="6" s="1"/>
  <c r="AF20" i="6"/>
  <c r="AB20" i="6" s="1"/>
  <c r="AF19" i="6"/>
  <c r="AB19" i="6" s="1"/>
  <c r="AF18" i="6"/>
  <c r="AB18" i="6" s="1"/>
  <c r="AF17" i="6"/>
  <c r="AB17" i="6" s="1"/>
  <c r="AF15" i="6"/>
  <c r="AB15" i="6" s="1"/>
  <c r="AF14" i="6"/>
  <c r="AB14" i="6" s="1"/>
  <c r="AK49" i="6"/>
  <c r="AC49" i="6" s="1"/>
  <c r="AK27" i="6"/>
  <c r="AC27" i="6" s="1"/>
  <c r="AK26" i="6"/>
  <c r="AC26" i="6" s="1"/>
  <c r="AK25" i="6"/>
  <c r="AC25" i="6" s="1"/>
  <c r="AK24" i="6"/>
  <c r="AC24" i="6" s="1"/>
  <c r="AK23" i="6"/>
  <c r="AC23" i="6" s="1"/>
  <c r="AK22" i="6"/>
  <c r="AC22" i="6" s="1"/>
  <c r="AK21" i="6"/>
  <c r="AC21" i="6" s="1"/>
  <c r="AK20" i="6"/>
  <c r="AC20" i="6" s="1"/>
  <c r="AK19" i="6"/>
  <c r="AC19" i="6" s="1"/>
  <c r="AK18" i="6"/>
  <c r="AC18" i="6" s="1"/>
  <c r="AK17" i="6"/>
  <c r="AC17" i="6" s="1"/>
  <c r="AK15" i="6"/>
  <c r="AC15" i="6" s="1"/>
  <c r="AK14" i="6"/>
  <c r="AC14" i="6" s="1"/>
  <c r="F25" i="13"/>
  <c r="F23" i="13"/>
  <c r="F27" i="13" s="1"/>
  <c r="AF60" i="6"/>
  <c r="AB60" i="6" s="1"/>
  <c r="AF59" i="6"/>
  <c r="AB59" i="6" s="1"/>
  <c r="AF58" i="6"/>
  <c r="AB58" i="6" s="1"/>
  <c r="AF57" i="6"/>
  <c r="AB57" i="6" s="1"/>
  <c r="AF56" i="6"/>
  <c r="AB56" i="6" s="1"/>
  <c r="AF55" i="6"/>
  <c r="AB55" i="6" s="1"/>
  <c r="AF54" i="6"/>
  <c r="AB54" i="6" s="1"/>
  <c r="AF53" i="6"/>
  <c r="AB53" i="6" s="1"/>
  <c r="AK60" i="6"/>
  <c r="AC60" i="6" s="1"/>
  <c r="AK59" i="6"/>
  <c r="AC59" i="6" s="1"/>
  <c r="AK58" i="6"/>
  <c r="AC58" i="6" s="1"/>
  <c r="AK57" i="6"/>
  <c r="AC57" i="6" s="1"/>
  <c r="AK56" i="6"/>
  <c r="AC56" i="6" s="1"/>
  <c r="AK55" i="6"/>
  <c r="AC55" i="6" s="1"/>
  <c r="AK54" i="6"/>
  <c r="AC54" i="6" s="1"/>
  <c r="AK53" i="6"/>
  <c r="AC53" i="6" s="1"/>
  <c r="AF67" i="6"/>
  <c r="AB67" i="6" s="1"/>
  <c r="AF66" i="6"/>
  <c r="AB66" i="6" s="1"/>
  <c r="AF65" i="6"/>
  <c r="AB65" i="6" s="1"/>
  <c r="AF64" i="6"/>
  <c r="AB64" i="6" s="1"/>
  <c r="AF63" i="6"/>
  <c r="AB63" i="6" s="1"/>
  <c r="AK67" i="6"/>
  <c r="AC67" i="6" s="1"/>
  <c r="AK66" i="6"/>
  <c r="AC66" i="6" s="1"/>
  <c r="AK65" i="6"/>
  <c r="AC65" i="6" s="1"/>
  <c r="AK64" i="6"/>
  <c r="AC64" i="6" s="1"/>
  <c r="AK63" i="6"/>
  <c r="AC63" i="6" s="1"/>
  <c r="D26" i="13"/>
  <c r="C26" i="13"/>
  <c r="M4" i="13"/>
  <c r="M5" i="13"/>
  <c r="M6" i="13"/>
  <c r="M7" i="13"/>
  <c r="M8" i="13"/>
  <c r="M9" i="13"/>
  <c r="E35" i="13"/>
  <c r="E21" i="13"/>
  <c r="E39" i="13" s="1"/>
  <c r="F37" i="13"/>
  <c r="H37" i="13"/>
  <c r="C38" i="13"/>
  <c r="D38" i="13"/>
  <c r="H38" i="13"/>
  <c r="H33" i="13"/>
  <c r="I33" i="13" s="1"/>
  <c r="I29" i="13"/>
  <c r="K29" i="13"/>
  <c r="I30" i="13"/>
  <c r="I31" i="13"/>
  <c r="I32" i="13"/>
  <c r="D25" i="13" l="1"/>
  <c r="C25" i="13"/>
  <c r="C37" i="13" s="1"/>
  <c r="J23" i="13"/>
  <c r="K23" i="13" s="1"/>
  <c r="C23" i="13"/>
  <c r="C27" i="13" s="1"/>
  <c r="Q23" i="13"/>
  <c r="H27" i="13"/>
  <c r="I27" i="13" s="1"/>
  <c r="I23" i="13"/>
  <c r="E13" i="2"/>
  <c r="F35" i="13"/>
  <c r="F21" i="13"/>
  <c r="F39" i="13" s="1"/>
  <c r="H35" i="13"/>
  <c r="H21" i="13"/>
  <c r="H39" i="13" s="1"/>
  <c r="I17" i="13"/>
  <c r="H36" i="13"/>
  <c r="I18" i="13"/>
  <c r="C35" i="13"/>
  <c r="C21" i="13"/>
  <c r="C39" i="13" s="1"/>
  <c r="D35" i="13"/>
  <c r="D21" i="13"/>
  <c r="C12" i="2"/>
  <c r="C16" i="2" s="1"/>
  <c r="C4" i="2"/>
  <c r="C7" i="2" l="1"/>
  <c r="E4" i="2"/>
  <c r="E7" i="2" s="1"/>
  <c r="E16" i="2"/>
  <c r="F16" i="2" s="1"/>
  <c r="F13" i="2"/>
  <c r="D27" i="13"/>
  <c r="D39" i="13" s="1"/>
  <c r="D37" i="13"/>
</calcChain>
</file>

<file path=xl/sharedStrings.xml><?xml version="1.0" encoding="utf-8"?>
<sst xmlns="http://schemas.openxmlformats.org/spreadsheetml/2006/main" count="5838" uniqueCount="923">
  <si>
    <t>Información General</t>
  </si>
  <si>
    <t>Liga</t>
  </si>
  <si>
    <t>Resumen Ejecutivo</t>
  </si>
  <si>
    <t>Dashboard_Ex</t>
  </si>
  <si>
    <t>Funcionalidades</t>
  </si>
  <si>
    <t xml:space="preserve">Funcionalidades Onboarding </t>
  </si>
  <si>
    <t>BD_Onboarding</t>
  </si>
  <si>
    <t>Funcionalidades Operaciones</t>
  </si>
  <si>
    <t>BD_Operaciones</t>
  </si>
  <si>
    <t>Funcionalidades Post Venta</t>
  </si>
  <si>
    <t>BD_PostVenta</t>
  </si>
  <si>
    <t xml:space="preserve">Service Blueprint </t>
  </si>
  <si>
    <t>Onboarding TDC Apolo</t>
  </si>
  <si>
    <t>Onboarding TDC</t>
  </si>
  <si>
    <t>Operaciones</t>
  </si>
  <si>
    <t>Post Venta</t>
  </si>
  <si>
    <t>Inventario de Datos</t>
  </si>
  <si>
    <t>Onboarding (Apolo)</t>
  </si>
  <si>
    <t>Inventario de Datos Apolo</t>
  </si>
  <si>
    <t>Operaciones (TDC)</t>
  </si>
  <si>
    <t>Post-Venta (TDC)</t>
  </si>
  <si>
    <t>FUNCIONALIDADES MVP TDC VISA</t>
  </si>
  <si>
    <t>Proceso</t>
  </si>
  <si>
    <t>Funcionalidades Totales</t>
  </si>
  <si>
    <t>Funcionalidades Habilitadas</t>
  </si>
  <si>
    <t>Grado de Avance</t>
  </si>
  <si>
    <t>Onboarding</t>
  </si>
  <si>
    <t>Total</t>
  </si>
  <si>
    <t>APIs MVP TDC VISA</t>
  </si>
  <si>
    <t>API's Estimadas</t>
  </si>
  <si>
    <t>Diseño BIAN</t>
  </si>
  <si>
    <t>Diseño Técnico Level Up</t>
  </si>
  <si>
    <t>Desarrollo Level Up</t>
  </si>
  <si>
    <t>Pruebas</t>
  </si>
  <si>
    <t>Liberación</t>
  </si>
  <si>
    <t>Otros</t>
  </si>
  <si>
    <t>-</t>
  </si>
  <si>
    <t>-%</t>
  </si>
  <si>
    <t>OB</t>
  </si>
  <si>
    <t>OPS</t>
  </si>
  <si>
    <t>P.Venta</t>
  </si>
  <si>
    <t>Reportes</t>
  </si>
  <si>
    <t>Carpeta CNBV</t>
  </si>
  <si>
    <t>FX</t>
  </si>
  <si>
    <t>API's</t>
  </si>
  <si>
    <t>Service BP (As Is)</t>
  </si>
  <si>
    <t>Service BP (To Be)</t>
  </si>
  <si>
    <t>Apificación</t>
  </si>
  <si>
    <t>Diseño Técnico</t>
  </si>
  <si>
    <t>Desarrollo</t>
  </si>
  <si>
    <t>5 DE 273</t>
  </si>
  <si>
    <t>Datos Aprovisionados</t>
  </si>
  <si>
    <t>23 DE 605</t>
  </si>
  <si>
    <t>Insumos Carpeta de Autorización</t>
  </si>
  <si>
    <t>DATOS MVP TDC VISA</t>
  </si>
  <si>
    <t>Datos Totales Generados</t>
  </si>
  <si>
    <t>Datos Totales Aprovisionados</t>
  </si>
  <si>
    <t xml:space="preserve"> </t>
  </si>
  <si>
    <t>Canal</t>
  </si>
  <si>
    <t>Avance de Funcionalidad</t>
  </si>
  <si>
    <t>Solo APIS</t>
  </si>
  <si>
    <t>TOTAL</t>
  </si>
  <si>
    <t>diseñadas</t>
  </si>
  <si>
    <t>Dominio</t>
  </si>
  <si>
    <t>Sistema</t>
  </si>
  <si>
    <t>totales</t>
  </si>
  <si>
    <t>ID</t>
  </si>
  <si>
    <t>Tipo</t>
  </si>
  <si>
    <t>DESCRIPCION</t>
  </si>
  <si>
    <t>Base</t>
  </si>
  <si>
    <t>Recepción</t>
  </si>
  <si>
    <t>Negocio</t>
  </si>
  <si>
    <t>APIs proceso actual</t>
  </si>
  <si>
    <t>SPL proceso actual</t>
  </si>
  <si>
    <t>APIs Estimadas To Be</t>
  </si>
  <si>
    <t>Estatus de Api</t>
  </si>
  <si>
    <t>Responsable</t>
  </si>
  <si>
    <t>Apolo</t>
  </si>
  <si>
    <t>Sucursal</t>
  </si>
  <si>
    <t>MAD</t>
  </si>
  <si>
    <t>App</t>
  </si>
  <si>
    <t>CAT</t>
  </si>
  <si>
    <t>BPI</t>
  </si>
  <si>
    <t>BO</t>
  </si>
  <si>
    <t>ATM</t>
  </si>
  <si>
    <t>Contemplado MVP</t>
  </si>
  <si>
    <t>Estatus</t>
  </si>
  <si>
    <t>Comentario</t>
  </si>
  <si>
    <t>Fecha Inicio</t>
  </si>
  <si>
    <t>Fecha Estimada</t>
  </si>
  <si>
    <t>Funcionalidades Totales Habilitadas (SOLO APIS)</t>
  </si>
  <si>
    <t>Funcionalidades Totales Habilitadas (diseñadas + SDK+ SAAS)</t>
  </si>
  <si>
    <t>Conteo Fx</t>
  </si>
  <si>
    <t>totales actuales</t>
  </si>
  <si>
    <t>totales esperado</t>
  </si>
  <si>
    <t>Completadas actual</t>
  </si>
  <si>
    <t>Completas esperado</t>
  </si>
  <si>
    <t>Apis diseñadas total</t>
  </si>
  <si>
    <t>Transformación</t>
  </si>
  <si>
    <t>IC-001</t>
  </si>
  <si>
    <t>Capturar la identificación</t>
  </si>
  <si>
    <t>/experience/sales/partyLifecycleManagement/v1/documentation/capture</t>
  </si>
  <si>
    <t>N/A</t>
  </si>
  <si>
    <t>/sales/partyLifecycleManagement/v1/documentation/capture</t>
  </si>
  <si>
    <t>/system/sales/partyLifecycleManagement/v1/documentation/capture</t>
  </si>
  <si>
    <t>Backlog</t>
  </si>
  <si>
    <t>Rafael Elizalde</t>
  </si>
  <si>
    <t>x</t>
  </si>
  <si>
    <t>Sí</t>
  </si>
  <si>
    <t>Por definir</t>
  </si>
  <si>
    <t>SDK</t>
  </si>
  <si>
    <t>IC-002</t>
  </si>
  <si>
    <t>Capacidad de Auto-clasificación de la identificación y retroalimentación en tiempo real (INE, Identificación de Extranjeros, Pasaporte)</t>
  </si>
  <si>
    <t>IC-003</t>
  </si>
  <si>
    <t>Validar y contrastar el rostro del documento utilizado como documento de identificación en el proceso</t>
  </si>
  <si>
    <t>/experience/crossChannel/sessionDialogue/v1/customerContactSelfieProcedure/initiate</t>
  </si>
  <si>
    <t>/crossChannel/sessionDialogue/v1/customerContactSelfieProcedure/initiate</t>
  </si>
  <si>
    <t>/system/crossChannel/sessionDialogue/v1/customerContactSessionProcedure/initiate</t>
  </si>
  <si>
    <t>IC-004</t>
  </si>
  <si>
    <t>Captura automática el rostro del solicitante / cliente de forma segura e inteligente</t>
  </si>
  <si>
    <t>IC-005</t>
  </si>
  <si>
    <t>Probar la captura de dirección (OCR comprobante domicilio)</t>
  </si>
  <si>
    <t>IC-006</t>
  </si>
  <si>
    <t>Validar el Celular a través de un OTP enviado por SMS</t>
  </si>
  <si>
    <t>/experience/salesAndService/v1/onBoardingPhoneParty/evaluate</t>
  </si>
  <si>
    <t>/channels/v1/onBoardingPhoneParty/evaluate</t>
  </si>
  <si>
    <t>/crossChannel/sessionDialogue/v1/customerContactSessionProcedure/capture
/operationalServices/issuedDeviceAdministration/v1/tokenAssignment/initiate</t>
  </si>
  <si>
    <t>/system/crossChannel/sessionDialogue/v1/customerContactSessionProcedure/capture
/system/operationalServices/issuedDeviceAdministration/v1/tokenAssignment/initiate</t>
  </si>
  <si>
    <t>/experience/operationalservices/issueddeviceadministration/v1/tokenAssignment/evaluate</t>
  </si>
  <si>
    <t>/customers/v1/ocrDocument/retrieve</t>
  </si>
  <si>
    <t>/operationalServices/issuedDeviceAdministration/v1/tokenAssignment/evaluate</t>
  </si>
  <si>
    <t>/system/operationalServices/issuedDeviceAdministration</t>
  </si>
  <si>
    <t>IC-007</t>
  </si>
  <si>
    <t>Validar el Email a través de un OTP enviado por correo electrónico</t>
  </si>
  <si>
    <t>/experience/channels/v1/onBoardingEmailParty/evaluate</t>
  </si>
  <si>
    <t>TBD</t>
  </si>
  <si>
    <t>IC-008</t>
  </si>
  <si>
    <t>Extraer la información dentro del documento de identificación (OCR)</t>
  </si>
  <si>
    <t>/experience/customers/v1/ocrDocument/retrieve</t>
  </si>
  <si>
    <t>/sales/partyLifecycleManagement/v1/documentation/execute</t>
  </si>
  <si>
    <t>/system/sales/partyLifecycleManagement/v1/documentation/execute</t>
  </si>
  <si>
    <t>IC-009</t>
  </si>
  <si>
    <t>Validar al prospecto / cliente contra la lista nominal del INE</t>
  </si>
  <si>
    <t>/sales/partyLifecycleManagement/v1/ine/evaluate</t>
  </si>
  <si>
    <t>/system/sales/partyLifecycleManagement/v1/ine/evaluate</t>
  </si>
  <si>
    <t>/sales/partyLifecycleManagement/v1/ine/retrieve</t>
  </si>
  <si>
    <t>/system/sales/partyLifecycleManagement/v1/ine/retrieve</t>
  </si>
  <si>
    <t>IC-010</t>
  </si>
  <si>
    <t>Validar la coincidencia facial contra el INE</t>
  </si>
  <si>
    <t>/experience/CrossChannel/SessionDialogue/v1/customerContactSelfieProcedure/initiate</t>
  </si>
  <si>
    <t>IC-011</t>
  </si>
  <si>
    <t>Calcular el RFC del cliente / prospecto</t>
  </si>
  <si>
    <t xml:space="preserve">/sales/partyLifecycleManagement/v1/rfc/evaluate 
</t>
  </si>
  <si>
    <t>/system/sales/partyLifecycleManagement/v1/rfc/evaluate</t>
  </si>
  <si>
    <t>IC-012</t>
  </si>
  <si>
    <t>Validar el CURP ante RENAPO</t>
  </si>
  <si>
    <t>/sales/partyLifecycleManagement/v1/renapo/{curp}/retrieve</t>
  </si>
  <si>
    <t>/system/sales/partyLifecycleManagement/v1/renapo/{curp}/retrieve</t>
  </si>
  <si>
    <t>IC-013</t>
  </si>
  <si>
    <t>Extraer la información dentro del comprobante de domicilio (OCR)</t>
  </si>
  <si>
    <t>IC-016</t>
  </si>
  <si>
    <t>Validar la coincidencia facial contra la identificación (1:1)</t>
  </si>
  <si>
    <t>IC-017</t>
  </si>
  <si>
    <t>Reconocimiento facial 1:N para evitar duplicidades</t>
  </si>
  <si>
    <t>IC-018</t>
  </si>
  <si>
    <t>Validación de Personas Políticamentes Expuestas (PPEs), Listas negras internacionales y locales, así como otras listas de bloqueo</t>
  </si>
  <si>
    <t>/experience/Customers/v1/onboardingPartySuitability/evaluate</t>
  </si>
  <si>
    <t>/customers/v1/onboardingPartySuitability/evaluate</t>
  </si>
  <si>
    <t>/sales/partyLifecycleManagement/v1/qualification/retrieve</t>
  </si>
  <si>
    <t>/system/sales/partyLifecycleManagement/v1/qualification/retrieve</t>
  </si>
  <si>
    <t>IC-019</t>
  </si>
  <si>
    <t>Obtener la Dirección IP del dispositivo en donde se está ejecutando el proceso</t>
  </si>
  <si>
    <t>/experience/channels/v1/onBoardingParty/initiate</t>
  </si>
  <si>
    <t>/salesAndService/v1/onBoardingParty/initiate</t>
  </si>
  <si>
    <t>/crossChannel/sessionDialogue/v1/customerContactSessionProcedure/initiate</t>
  </si>
  <si>
    <t>IC-020</t>
  </si>
  <si>
    <t>Obtener la Geolocalización (longitud y altitud)</t>
  </si>
  <si>
    <t>IC-021</t>
  </si>
  <si>
    <t>Generar el Hash ID del dispositivo</t>
  </si>
  <si>
    <t>IC-022</t>
  </si>
  <si>
    <t>Validar comprobante de ingresos (estados de cuenta bancarios)</t>
  </si>
  <si>
    <t>Post MVP</t>
  </si>
  <si>
    <t>IC-024</t>
  </si>
  <si>
    <t>Generar la videograbación como parte de la prueba de vida (Video Selfie)</t>
  </si>
  <si>
    <t>/experience/crossChannel/sessionDialogue/v1/customerContactVideoSelfieProcedure/initiate</t>
  </si>
  <si>
    <t>/experience/crossChannel/sessionDialogue/v1/customerContactVideoSelfieProcedure/retrieve</t>
  </si>
  <si>
    <t>IC-025</t>
  </si>
  <si>
    <t>Firmar del contrato (Non Repudiation)</t>
  </si>
  <si>
    <t>IC-027</t>
  </si>
  <si>
    <t>Firmar con NOM 151</t>
  </si>
  <si>
    <t>IC-028</t>
  </si>
  <si>
    <t>Firmar los eventos con un certificado</t>
  </si>
  <si>
    <t>MD - 001</t>
  </si>
  <si>
    <t>Generación y versionamiento de Plantillas HTML asociadas a la experiencia digital</t>
  </si>
  <si>
    <t>SAAS</t>
  </si>
  <si>
    <t>MD - 002</t>
  </si>
  <si>
    <t>Contar con catálogo de plantillas HTML que permitan la reutilización de código</t>
  </si>
  <si>
    <t>MD - 003</t>
  </si>
  <si>
    <t>Gestión de sitios para organizar los canales digitales de la compañía</t>
  </si>
  <si>
    <t>MD - 004</t>
  </si>
  <si>
    <t>Páginas dinámicas para definir la estructura de cada sitio y agregar contenido</t>
  </si>
  <si>
    <t>MD - 005</t>
  </si>
  <si>
    <t>Capacidad de crear componentes reutilizables usando tecnologías de Javascript, HTML y CSS</t>
  </si>
  <si>
    <t>MD - 006</t>
  </si>
  <si>
    <t>Capacidad para crear micro frontends para múltiples sitios y aplicaciones</t>
  </si>
  <si>
    <t>MD - 007</t>
  </si>
  <si>
    <t>Capacidad para extender funcionalidades a diferentes sitios y aplicaciones incluso con una entidad separada</t>
  </si>
  <si>
    <t>MD - 008</t>
  </si>
  <si>
    <t>Segmentación de componentes de acuerdo a su estado, autor, tags o por nombre de la funcionalidad</t>
  </si>
  <si>
    <t>MD - 009</t>
  </si>
  <si>
    <t>Capacidad de generar plantillas para organizar estructuras globales del sitio y el sistema de diseño</t>
  </si>
  <si>
    <t>MD - 010</t>
  </si>
  <si>
    <t>Flexibilidad para modificar las plantillas base y su estructura según se requiera</t>
  </si>
  <si>
    <t>MD - 011</t>
  </si>
  <si>
    <t>Creación de Snippets de código HTML, JS y CSS para extender la funcionalidad de algún sitio</t>
  </si>
  <si>
    <t>MD - 012</t>
  </si>
  <si>
    <t>Proceso de aprobación y publicación de plantillas, así como control de versionados</t>
  </si>
  <si>
    <t>MD - 013</t>
  </si>
  <si>
    <t>Capacidad para restablecer a una versión de Look &amp; Feel anterior de forma rápida y segura</t>
  </si>
  <si>
    <t>MD - 014</t>
  </si>
  <si>
    <t>Agregar stages para permitir integrar y desplegar continuamente (CI/CD) nuevas funcionalidades en los sitios sin modificar lo que ya está publicado.</t>
  </si>
  <si>
    <t>MD - 015</t>
  </si>
  <si>
    <t>Creación de repositorios con capacidad de modificar su estructura por tipos de contenido y entradas de información</t>
  </si>
  <si>
    <t>MD - 016</t>
  </si>
  <si>
    <t>Publicaciones programadas en donde se podrán poner fecha y hora para publicar el contenido cuando el administrador lo desee</t>
  </si>
  <si>
    <t>MD - 017</t>
  </si>
  <si>
    <t>Crear roles con permisos para los usuarios con el fin de evitar exposición a áreas e información sensible</t>
  </si>
  <si>
    <t>OB - 001</t>
  </si>
  <si>
    <t>Supervisar la actividad de los usuarios y/o sitios digitales relacionados con el contenido y las aplicaciones</t>
  </si>
  <si>
    <t>OB - 002</t>
  </si>
  <si>
    <t>Creación de expediente digital cliente BanCoppel</t>
  </si>
  <si>
    <t>OB - 003</t>
  </si>
  <si>
    <t>Carga de documentos en expediente</t>
  </si>
  <si>
    <t>OB - 004</t>
  </si>
  <si>
    <t>Búsqueda por metadata Expediente digital</t>
  </si>
  <si>
    <t>OB - 005</t>
  </si>
  <si>
    <t>Métricas de expediente digital</t>
  </si>
  <si>
    <t>OB - 006</t>
  </si>
  <si>
    <t>Validaciones sobre vigencia de documentos</t>
  </si>
  <si>
    <t>OB - 007</t>
  </si>
  <si>
    <t>Visor de expediente digital</t>
  </si>
  <si>
    <t>EX - 001</t>
  </si>
  <si>
    <t>Motor de reglas de decisión para flujo de proceso</t>
  </si>
  <si>
    <t>EX - 002</t>
  </si>
  <si>
    <t>Inventario de reglas desacoplado</t>
  </si>
  <si>
    <t>EX - 003</t>
  </si>
  <si>
    <t>Arboles y tablas de decisión para diseño de reglas</t>
  </si>
  <si>
    <t>EX - 004</t>
  </si>
  <si>
    <t>INTL Buro de credito</t>
  </si>
  <si>
    <t>WM - 001</t>
  </si>
  <si>
    <t>Gestion procesos de negocios via BPF</t>
  </si>
  <si>
    <t>WM - 002</t>
  </si>
  <si>
    <t>Medicion y funnel de usuarios basado en BPMS</t>
  </si>
  <si>
    <t>WM - 003</t>
  </si>
  <si>
    <t>Procesos de negocio desacoplados</t>
  </si>
  <si>
    <t>WM - 004</t>
  </si>
  <si>
    <t>Orquestación de proceso de negocio via BPMS</t>
  </si>
  <si>
    <t>WM - 005</t>
  </si>
  <si>
    <t>Contratos de información canónicos</t>
  </si>
  <si>
    <t>PiPo - 001</t>
  </si>
  <si>
    <t>Dispersión de SMS</t>
  </si>
  <si>
    <t>PiPo - 002</t>
  </si>
  <si>
    <t>Dispersión de Email (Welcome Kit)</t>
  </si>
  <si>
    <t>EXP - 001</t>
  </si>
  <si>
    <t>Modelos de dictamen crediticio</t>
  </si>
  <si>
    <t>BPC - 001</t>
  </si>
  <si>
    <t>Validación de clientes existentes en core de tarjetas</t>
  </si>
  <si>
    <t>BPC - 002</t>
  </si>
  <si>
    <t>Alta de clientes en core de tarjetas</t>
  </si>
  <si>
    <t>BPC - 003</t>
  </si>
  <si>
    <t>Alta de TDC asociada a un cliente BanCoppel</t>
  </si>
  <si>
    <t>En proceso</t>
  </si>
  <si>
    <t>AG - 001</t>
  </si>
  <si>
    <t>Exposicion de EndPoint BIAN</t>
  </si>
  <si>
    <t>AG- 002</t>
  </si>
  <si>
    <t>API Manager: Permitirá administrar las APIs y sus políticas</t>
  </si>
  <si>
    <t>AG - 003</t>
  </si>
  <si>
    <t>Monitoreo &amp; Analítica: Permitirá obtener información sobre el consumo de las APIs</t>
  </si>
  <si>
    <t>MS - 001</t>
  </si>
  <si>
    <t>MS - 002</t>
  </si>
  <si>
    <t>Integración: Permitirá orquestar llamados a servicios internos y externos</t>
  </si>
  <si>
    <t>MS - 003</t>
  </si>
  <si>
    <t>MuleApp: Permite la creacion agil de componentes de orquestacion</t>
  </si>
  <si>
    <t>YB - 001</t>
  </si>
  <si>
    <t>Alta de registros en base de datos YugabyteDB</t>
  </si>
  <si>
    <t>YB - 002</t>
  </si>
  <si>
    <t>Actualizacion de registros en base de datos YugabyteDB</t>
  </si>
  <si>
    <t>YB - 003</t>
  </si>
  <si>
    <t>Consulta de registros en base de datos YugabyteDB</t>
  </si>
  <si>
    <t>YB - 004</t>
  </si>
  <si>
    <t>Eliminacion de registros en base de datos YugabyteDB</t>
  </si>
  <si>
    <t>Total SPL</t>
  </si>
  <si>
    <t>Factor</t>
  </si>
  <si>
    <t>Total API's Est.</t>
  </si>
  <si>
    <t>Digitalización de Identificación (INE)</t>
  </si>
  <si>
    <t>Validar la coincidencia facial contra la identificación (1:1) (Enrolamiento)</t>
  </si>
  <si>
    <t>Reconocimiento facial 1:N para evitar duplicidades (Enrolamiento)</t>
  </si>
  <si>
    <t>Validación de Personas Políticamente Expuestas (PPEs), Listas Negras Internacionales y locales, así como otras listas de bloqueo</t>
  </si>
  <si>
    <t>Firma del contrato (No Repudio)</t>
  </si>
  <si>
    <t>Firma con NOM 151</t>
  </si>
  <si>
    <t>Firma los eventos con un certificado</t>
  </si>
  <si>
    <t>Motor de reglas de decisión para flujo de proceso (Solicitud TDC Visa)</t>
  </si>
  <si>
    <t>Árboles y tablas de decisión para diseño de reglas</t>
  </si>
  <si>
    <t>INTL Buró de Crédito</t>
  </si>
  <si>
    <t>Etapa</t>
  </si>
  <si>
    <t>Funcionalidad</t>
  </si>
  <si>
    <t>APIs</t>
  </si>
  <si>
    <t>Actividad</t>
  </si>
  <si>
    <t>Alta - Preparación</t>
  </si>
  <si>
    <t>Validación de Cliente</t>
  </si>
  <si>
    <t>Alta - TyC y Aviso de Privacidad</t>
  </si>
  <si>
    <t>Alta - Validación de teléfono</t>
  </si>
  <si>
    <t>Alta - Validación del cliente</t>
  </si>
  <si>
    <t>Alta - Perfilamiento</t>
  </si>
  <si>
    <t>Validación de Domicilio</t>
  </si>
  <si>
    <t>Alta - Validación de domicilio</t>
  </si>
  <si>
    <t>Validación Teléfono</t>
  </si>
  <si>
    <t>Alta - Validación SIC</t>
  </si>
  <si>
    <t>Validación Correo</t>
  </si>
  <si>
    <t>TDC - Paramétrico</t>
  </si>
  <si>
    <t>Validación del cliente</t>
  </si>
  <si>
    <t>TDC - Oferta del producto</t>
  </si>
  <si>
    <t>Validación del Cliente</t>
  </si>
  <si>
    <t>TDC - PEP</t>
  </si>
  <si>
    <t>TDC - PLD</t>
  </si>
  <si>
    <t>TDC - Prueba de vida y video selfie</t>
  </si>
  <si>
    <t>TDC - Solicitud de servicios digitales</t>
  </si>
  <si>
    <t>TDC - Integración expediente digital</t>
  </si>
  <si>
    <t>TDC - Validación de correo</t>
  </si>
  <si>
    <t>TDC - Bienvenida</t>
  </si>
  <si>
    <t>PEP(KYC), PLD</t>
  </si>
  <si>
    <t>Preparación</t>
  </si>
  <si>
    <t>Prueba de Vida y videoselfie</t>
  </si>
  <si>
    <t>Integración Expediente Digital</t>
  </si>
  <si>
    <t>Terminos y Condiciones y aviso de privacidad</t>
  </si>
  <si>
    <t>Paramétrico, Perfilamiento</t>
  </si>
  <si>
    <t>Validación SIC</t>
  </si>
  <si>
    <t>Validación télefono, validación SIC</t>
  </si>
  <si>
    <t>Bienvenida</t>
  </si>
  <si>
    <t>API</t>
  </si>
  <si>
    <t>AUT_TAR_01</t>
  </si>
  <si>
    <t>Autorizador</t>
  </si>
  <si>
    <t>Compra tarjeta de crédito Visa tarjeta presente</t>
  </si>
  <si>
    <t>Jose Jaimes</t>
  </si>
  <si>
    <t>AUT_TAR_02</t>
  </si>
  <si>
    <t>Reverso tarjeta de crédito Visa tarjeta presente</t>
  </si>
  <si>
    <t>BCK_OFF_1</t>
  </si>
  <si>
    <t>Compl TX 0615 Pago de TDC con Cheque (Cámara: Devoluciones y Cargos)</t>
  </si>
  <si>
    <t>BCK_OFF_3</t>
  </si>
  <si>
    <t>Generar Estado de cuenta</t>
  </si>
  <si>
    <t>BCK_OFF_4</t>
  </si>
  <si>
    <t>Generación de maquila TDC virtual asignada a tarjeta</t>
  </si>
  <si>
    <t>CJ_ACL_01</t>
  </si>
  <si>
    <t>El colaborador requiere consultar los movimientos realizados en la Tarjeta de Crédito (TDC) del tarjetahabiente (TH) para iniciar una aclaración</t>
  </si>
  <si>
    <t>CJ_ACL_02</t>
  </si>
  <si>
    <t>El sistema realiza abono a tarjeta de crédito (TDC) del tarjetahabiente (TH) por aclaración en proceso</t>
  </si>
  <si>
    <t>CJ_ACL_03</t>
  </si>
  <si>
    <t>El sistema realiza cargo a tarjeta de crédito (TDC) del tarjetahabiente (TH) por abono anticipado y cargo por aclaración no procedente</t>
  </si>
  <si>
    <t>CJ_APP_1</t>
  </si>
  <si>
    <t>El tarjetahabiente (TH) solicita la tarjeta de crédito (TDC) física</t>
  </si>
  <si>
    <t>CJ_APP_10</t>
  </si>
  <si>
    <t>El tarjetahabiente (TH) desactiva (apaga) la tarjeta de crédito (TDC) física</t>
  </si>
  <si>
    <t>reutilizar</t>
  </si>
  <si>
    <t>CJ_OFI_11</t>
  </si>
  <si>
    <t>El cliente (TH) solicita el cambio de NIP de su TDC</t>
  </si>
  <si>
    <t>/v1/partyReferenceDataDirectoryEntry/retrieve</t>
  </si>
  <si>
    <t>/v1/personProfile/update</t>
  </si>
  <si>
    <t>/v1/contactPoint/capture</t>
  </si>
  <si>
    <t>/v1/customer/retrieve</t>
  </si>
  <si>
    <t>/v1/contactPoint/update</t>
  </si>
  <si>
    <t>CJ_APP_14</t>
  </si>
  <si>
    <t>El tarjetahabiente (TH) recibe las notificaciones (push notifications) de las transacciones realizadas con su tarjeta de crédito (TDC)</t>
  </si>
  <si>
    <t>/v1/outbound/register</t>
  </si>
  <si>
    <t>/v1/creditCardFacility/retrieve</t>
  </si>
  <si>
    <t xml:space="preserve">/v1/cardPaymentAgreement/retrieve
</t>
  </si>
  <si>
    <t>/v1/cardPaymentAgreement/retrieve</t>
  </si>
  <si>
    <t>/v1/paymentCard/retrieve</t>
  </si>
  <si>
    <t>/v1/investmentAccountFacility/retrieve</t>
  </si>
  <si>
    <t>/v1/contactPoint/retrieve</t>
  </si>
  <si>
    <t>/v1/partyRetailReferenceDataDirectoryEntry/retrieve</t>
  </si>
  <si>
    <t>/v1/interestProductFeature/retrieve</t>
  </si>
  <si>
    <t>/v1/productEligibility/retrieve</t>
  </si>
  <si>
    <t>/v1/productEligibility/update</t>
  </si>
  <si>
    <t>CJ_APP_11</t>
  </si>
  <si>
    <t>El tarjetahabiente (TH) activa (enciende) la tarjeta de crédito (TDC) virtual</t>
  </si>
  <si>
    <t>CJ_APP_12</t>
  </si>
  <si>
    <t>El tarjetahabiente (TH) activa (enciende) la tarjeta de crédito (TDC) física</t>
  </si>
  <si>
    <t>CJ_APP_13</t>
  </si>
  <si>
    <t>El tarjetahabiente (TH) visualiza el CVV2 dinámico de la tarjeta de crédito (TDC)</t>
  </si>
  <si>
    <t>CJ_APP_15</t>
  </si>
  <si>
    <t>El tarjetahabiente (TH) visualiza la información del producto tarjeta de crédito</t>
  </si>
  <si>
    <t>Rec Customer Products and Services</t>
  </si>
  <si>
    <t>POST /experience/customerManagement/customerProductsAndServices/v1/customerProductInformation/retrieve</t>
  </si>
  <si>
    <t>CJ_APP_16</t>
  </si>
  <si>
    <t>El tarjetahabiente (TH) visualiza los últimos 3 periodos de su estado de cuenta</t>
  </si>
  <si>
    <t>CJ_APP_2</t>
  </si>
  <si>
    <t>El tarjetahabiente (TH) activa la tarjeta de crédito (TDC) física</t>
  </si>
  <si>
    <t>CJ_APP_25</t>
  </si>
  <si>
    <t>El tarjetahabiente (TH) puede disponer de dinero en efectivo de su Tarjeta de Crédito</t>
  </si>
  <si>
    <t>CJ_APP_3</t>
  </si>
  <si>
    <t>El tarjetahabiente (TH) activa la tarjeta de crédito (TDC) virtual</t>
  </si>
  <si>
    <t>CJ_APP_4</t>
  </si>
  <si>
    <t>El tarjetahabiente (TH) visualiza la tarjeta de crédito (TDC) física</t>
  </si>
  <si>
    <t>CJ_APP_5</t>
  </si>
  <si>
    <t>El tarjetahabiente (TH) visualiza la tarjeta de crédito (TDC) virtual</t>
  </si>
  <si>
    <t>CJ_APP_6</t>
  </si>
  <si>
    <t>El TH paga su TDC desde una cuenta de captación</t>
  </si>
  <si>
    <t>CJ_APP_7</t>
  </si>
  <si>
    <t>El tarjetahabiente (TH) visualiza los últimos movimientos de su tarjeta de crédito (TDC)</t>
  </si>
  <si>
    <t>CJ_APP_8</t>
  </si>
  <si>
    <t>El tarjetahabiente (TH) visualiza el detalle de los movimientos de la transacción</t>
  </si>
  <si>
    <t>CJ_APP_9</t>
  </si>
  <si>
    <t>El tarjetahabiente (TH) desactiva (apaga) la tarjeta de crédito (TDC) virtual</t>
  </si>
  <si>
    <t>CJ_BEL_4</t>
  </si>
  <si>
    <t>El tarjetahabiente (TH) realiza la consulta de movimientos de su tarjeta de crédito (TDC)</t>
  </si>
  <si>
    <t>CJ_BEL_5</t>
  </si>
  <si>
    <t>El tarjetahabiente (TH) realiza un pago a su tarjeta de crédito (TDC) propia</t>
  </si>
  <si>
    <t>CJ_BEL_6</t>
  </si>
  <si>
    <t>El tarjetahabiente (TH) realiza un pago de servicios por medio de su tarjeta de crédito (TDC)</t>
  </si>
  <si>
    <t>CJ_BEL_8</t>
  </si>
  <si>
    <t>El tarjetahabiente (TH) solicita su estado de cuenta fiscal electrónico de su tarjeta de crédito (TDC)</t>
  </si>
  <si>
    <t>CJ_CAT_1</t>
  </si>
  <si>
    <t>Cancelación de Plásticos de Tarjetas</t>
  </si>
  <si>
    <t>CJ_CAT_2</t>
  </si>
  <si>
    <t>Bloqueo Temporal de Tarjetas</t>
  </si>
  <si>
    <t>CJ_CAT_3</t>
  </si>
  <si>
    <t>Desbloqueo temporal de tarjetas</t>
  </si>
  <si>
    <t>/v1/passwordAssignment/initiate</t>
  </si>
  <si>
    <t>CJ_OFI_12</t>
  </si>
  <si>
    <t>El colaborador de BanCoppel visualiza la información del producto (capacidad de pago, saldo, número de cuenta, pago mínimo, fecha de corte, fecha de pago)</t>
  </si>
  <si>
    <t>CJ_OFI_13</t>
  </si>
  <si>
    <t>El tarjetahabiente (TH) realiza el pago de la tarjeta de crédito (TDC) en ventanilla (Cargo en Cuenta)</t>
  </si>
  <si>
    <t>Rec Credit Card</t>
  </si>
  <si>
    <t>CJ_OFI_14</t>
  </si>
  <si>
    <t>El tarjetahabiente (TH) realiza el pago de la tarjeta de crédito (TDC) en ventanilla (Cheques BanCoppel)</t>
  </si>
  <si>
    <t>POST /experience/cards/creditCard/v1/creditCardFacility/retrieve</t>
  </si>
  <si>
    <t>POST/experience/cards/creditCard/v1/creditCardFacility/retrieve</t>
  </si>
  <si>
    <t>Rec Loan</t>
  </si>
  <si>
    <t>POST /experience/cards/creditCard/v1/creditCardFacility/evaluate</t>
  </si>
  <si>
    <t>POST/experience/cards/creditCard/v1/creditCardFacility/evaluate</t>
  </si>
  <si>
    <t>Rec Credit Card Position Keeping</t>
  </si>
  <si>
    <t>POST/experience/customerManagement/customerProductsAndServices/v1/customerProductInformation/retrieve</t>
  </si>
  <si>
    <t>POST /experience/loanAndDeposits/loan/v1/maintenance/retrieve</t>
  </si>
  <si>
    <t>POST/experience/loanAndDeposits/loan/v1/maintenance/retrieve</t>
  </si>
  <si>
    <t>POST /experience/cards/creditCardPositionKeeping/v1/creditCardPosition/retrieve</t>
  </si>
  <si>
    <t>POST/experience/cards/creditCardPositionKeeping/v1/creditCardPosition/retrieve</t>
  </si>
  <si>
    <t>CJ_OFI_15</t>
  </si>
  <si>
    <t>El tarjetahabiente (TH) realiza el pago de la tarjeta de crédito (TDC) en ventanilla (Cheques SBC Otros Bancos)</t>
  </si>
  <si>
    <t>CJ_OFI_16</t>
  </si>
  <si>
    <t>El tarjetahabiente (TH) realiza consulta de saldo de su Tarjeta de Crédito</t>
  </si>
  <si>
    <t>POST/experience/cards/creditCardPositionKeeping/v1/creditCardAssessment/retrieve</t>
  </si>
  <si>
    <t>POST /experience/cards/creditCardPositionKeeping/v1/creditCardAssessment/retrieve</t>
  </si>
  <si>
    <t>CJ_OFI_17</t>
  </si>
  <si>
    <t>El tarjetahabiente (TH) realiza consulta de movimientos de su Tarjeta de Crédito</t>
  </si>
  <si>
    <t>CJ_OFI_18</t>
  </si>
  <si>
    <t>El colaborador de BanCoppel realiza la reversión de una operación en Caja</t>
  </si>
  <si>
    <t>CJ_OFI_2</t>
  </si>
  <si>
    <t>El tarjetahabiente (TH) realiza el pago de la tarjeta de crédito (TDC) en ventanilla (Efectivo)</t>
  </si>
  <si>
    <t>CJ_OFI_20</t>
  </si>
  <si>
    <t>El tarjetahabiente (TH) realiza consulta de Estado de Cuenta de su Tarjeta de Crédito</t>
  </si>
  <si>
    <t>CJ_OFI_5</t>
  </si>
  <si>
    <t>El tarjetahabiente (TH) realiza disposición (retiro) en efectivo de su Tarjeta de Crédito</t>
  </si>
  <si>
    <t>CJ_OFI_5.1</t>
  </si>
  <si>
    <t>Caja TX 0603 Retiro de TDC (Consulta de Comisión por disposición)</t>
  </si>
  <si>
    <t>CJ_OFI_6</t>
  </si>
  <si>
    <t>El tarjetahabiente (TH) realiza la cancelación de la tarjeta de crédito (TDC) física en la sucursal</t>
  </si>
  <si>
    <t>CJ_SPEI_01</t>
  </si>
  <si>
    <t>El Tarjetahabiente (TH) solicita el pago de su tarjeta de crédito con cargo a su cuenta de captación de otro banco.</t>
  </si>
  <si>
    <t>BCK_OFF_2</t>
  </si>
  <si>
    <t>Meses sin intereses</t>
  </si>
  <si>
    <t>OFI_WEB_29</t>
  </si>
  <si>
    <t>Conciliación de Movimientos Sucursal-Central</t>
  </si>
  <si>
    <t>Jose Puebla</t>
  </si>
  <si>
    <t>OFI_WEB_30</t>
  </si>
  <si>
    <t>Botón de Consulta de Cuentas de Cliente en Caja</t>
  </si>
  <si>
    <t>OFI_WEB_31</t>
  </si>
  <si>
    <t>(Fin de día) Integración de Información Contable</t>
  </si>
  <si>
    <t>OFI_WEB_32</t>
  </si>
  <si>
    <t>(Fin de día) Reportes</t>
  </si>
  <si>
    <t>AUT_TAR_03</t>
  </si>
  <si>
    <t>Compra tarjeta de crédito Visa tarjeta no presente</t>
  </si>
  <si>
    <t>AUT_TAR_04</t>
  </si>
  <si>
    <t>Reverso tarjeta de crédito Visa tarjeta no presente</t>
  </si>
  <si>
    <t>AUT_TAR_05</t>
  </si>
  <si>
    <t>Compra tarjeta de crédito Visa tarjeta no presente cargo recurrente</t>
  </si>
  <si>
    <t>AUT_TAR_06</t>
  </si>
  <si>
    <t>Reverso tarjeta de crédito Visa tarjeta no presente cargo recurrente</t>
  </si>
  <si>
    <t>AUT_TAR_07</t>
  </si>
  <si>
    <t>Validación de cuenta con tarjeta de crédito Visa tarjeta no presente</t>
  </si>
  <si>
    <t>AUT_TAR_08</t>
  </si>
  <si>
    <t>Reverso de validación de cuenta con tarjeta de crédito Visa tarjeta no presente</t>
  </si>
  <si>
    <t>AUT_TAR_09</t>
  </si>
  <si>
    <t>Compra con tarjeta de crédito cancelada</t>
  </si>
  <si>
    <t>AUT_TAR_10</t>
  </si>
  <si>
    <t>Compra con tarjeta de crédito bloqueada</t>
  </si>
  <si>
    <t>AUT_TAR_11</t>
  </si>
  <si>
    <t>Compra con tarjeta de crédito inactiva</t>
  </si>
  <si>
    <t>AUT_TAR_12</t>
  </si>
  <si>
    <t>Compra con cuenta de crédito bloqueada</t>
  </si>
  <si>
    <t>AUT_TAR_13</t>
  </si>
  <si>
    <t>Compra con cuenta de crédito cancelada</t>
  </si>
  <si>
    <t>AUT_TAR_14</t>
  </si>
  <si>
    <t xml:space="preserve">Compra  Tarjeta de crédito con Fondos insuficientes </t>
  </si>
  <si>
    <t>AUT_TAR_15</t>
  </si>
  <si>
    <t>Retiro de efectivo en cajero automático Bancoppel Tarjeta de crédito</t>
  </si>
  <si>
    <t>AUT_TAR_16</t>
  </si>
  <si>
    <t>Consulta de saldo en cajero automático BANCOPPEL Tarjeta de crédito</t>
  </si>
  <si>
    <t>AUT_TAR_17</t>
  </si>
  <si>
    <t>Compra con tarjeta contacless</t>
  </si>
  <si>
    <t>AUT_TAR_18</t>
  </si>
  <si>
    <t>Compra con tarjeta con Pinoffline activo</t>
  </si>
  <si>
    <t>AUT_TAR_19</t>
  </si>
  <si>
    <t>Compra de Meses sin intereses</t>
  </si>
  <si>
    <t>AUT_TAR_20</t>
  </si>
  <si>
    <t>Enrolamiento a Tokenización para TDC (ciclo de vida de token)</t>
  </si>
  <si>
    <t>AUT_TAR_21</t>
  </si>
  <si>
    <t>Compra con tarjeta tokenizada</t>
  </si>
  <si>
    <t>As Is</t>
  </si>
  <si>
    <t>Fecha entrega</t>
  </si>
  <si>
    <t>To Be</t>
  </si>
  <si>
    <t>Diseño BIAN (PD)</t>
  </si>
  <si>
    <t>Construcción (Level up)</t>
  </si>
  <si>
    <t>Integración Funcional</t>
  </si>
  <si>
    <t>Integración Completa</t>
  </si>
  <si>
    <t>Construcción API</t>
  </si>
  <si>
    <t>PostMVP</t>
  </si>
  <si>
    <t xml:space="preserve">Ofi Web </t>
  </si>
  <si>
    <t>Banca en Línea</t>
  </si>
  <si>
    <t>SENDISSUERAPPLICATION
GETCARDDATA
GETCARDLISTBYOWNER</t>
  </si>
  <si>
    <t>GETCARDLISTBYOWNER
ACTIVATE_CARD
VALIDATE_PIN</t>
  </si>
  <si>
    <t>X</t>
  </si>
  <si>
    <t>Done</t>
  </si>
  <si>
    <t>GETCARDLISTBYOWNER
ACTIVATE_CARD</t>
  </si>
  <si>
    <t>GETCARDDATA
GETCARDLISTBYOWNER</t>
  </si>
  <si>
    <t>El tarjetahabiente (TH) paga su tarjeta de crédito (TDC) desde una cuenta de captación</t>
  </si>
  <si>
    <t>GETCARDDATA
GETCARDLISTBYOWNER
creditCard
get_card_balance</t>
  </si>
  <si>
    <t>GETCARDDATA
GETCARDLISTBYOWNER
getTransactions</t>
  </si>
  <si>
    <t>GETCARDDATA
GETCARDLISTBYOWNER
getTransactions
getTransactionDetails</t>
  </si>
  <si>
    <t>GETCARDDATA
GETCARDLISTBYOWNER
blockCard</t>
  </si>
  <si>
    <t>GETCARDDATA
GETCARDLISTBYOWNER
changeCardStatus</t>
  </si>
  <si>
    <t>GETCARDDATA
GETCARDLISTBYOWNER
generateCVC2</t>
  </si>
  <si>
    <t>El tarjetahabiente (TH) visualiza la información del producto (capacidad de pago, saldo retenido, saldo a la fecha, pago mínimo, pago para no generar intereses, fecha límite de pago)</t>
  </si>
  <si>
    <t>GETCARDDATA
GETCARDLISTBYOWNER
getInstantCreditStatement</t>
  </si>
  <si>
    <t>El tarjetahabiente (TH) visualiza los últimos 3 períodos de su estado de cuenta</t>
  </si>
  <si>
    <t>CJ_APP_18</t>
  </si>
  <si>
    <t>El tarjetahabiente (TH) solicita la reposición de la tarjeta de crédito (TDC) física cuando fue reportada como fraude, pérdida o robo</t>
  </si>
  <si>
    <t>GETCARDDATA
GETCARDLISTBYOWNER
SENDISSUERAPPLICATION</t>
  </si>
  <si>
    <t>GETCARDDATA
GETCARDLISTBYOWNER
debitCard</t>
  </si>
  <si>
    <t>GETCARDDATA
GETCARDLISTBYOWNER
creditCard</t>
  </si>
  <si>
    <t>El tarjetahabiente (TH) solicita su estado de cuenta físcal electrónico de su tarjeta de crédito (TDC)</t>
  </si>
  <si>
    <t>GETCARDDATA
GETCARDLISTBYOWNER
getInstantCreditStatement
creditCard</t>
  </si>
  <si>
    <t>CJ_OFI_4</t>
  </si>
  <si>
    <t>El tarjetahabiente (TH) realiza el pago de la tarjeta de crédito (TDC) en ventanilla (Cheques)</t>
  </si>
  <si>
    <t>El tarjetahabiente (TH) realiza un retiro de efectivo desde la ventanilla con su TDC</t>
  </si>
  <si>
    <t>CJ_OFI_9</t>
  </si>
  <si>
    <t>El tarjetahabiente (TH) solicita una reestructura de pagos de la tarjeta de crédito (TDC)</t>
  </si>
  <si>
    <t>CJ_OFI_10</t>
  </si>
  <si>
    <t>El tarjetahabiente (TH) solicita el desbloqueo de su tarjeta de crédito (TDC)</t>
  </si>
  <si>
    <t>El tarjetahabiente (TH) solicita el cambio de NIP</t>
  </si>
  <si>
    <t>GETCARDDATA
GETCARDLISTBYOWNER
generatePin
changePin
VALIDATE_PIN</t>
  </si>
  <si>
    <t>El tarjetahabiente (TH) Consulta el saldo de la tarjeta de crédito (TDC) en la sucursal</t>
  </si>
  <si>
    <t>El tarjetahabiente (TH) Consulta los movimientos de la tarjeta de crédito (TDC) en la sucursal</t>
  </si>
  <si>
    <t>Cancelación de Plásticos de Tarjetas de Crédito por aclaración, robo o extravío</t>
  </si>
  <si>
    <t>Desbloqueo Temporal de Tarjetas</t>
  </si>
  <si>
    <t>CJ_ACL_1</t>
  </si>
  <si>
    <t>El colaborador requiere consultar los movimientos realizados en la Tarjeta de Crédito (TDC) del tarjetahabiente para iniciar una aclaración</t>
  </si>
  <si>
    <t>getTransactions</t>
  </si>
  <si>
    <t>getTransactionDetails (Added 2-5)</t>
  </si>
  <si>
    <t>CJ_ACL_2</t>
  </si>
  <si>
    <t>GETCARDDATA
GETCARDLISTBYOWNER
getTransactions
getTransactionDetails
debitCard</t>
  </si>
  <si>
    <t>debitCard</t>
  </si>
  <si>
    <t>CJ_ACL_3</t>
  </si>
  <si>
    <t>GETCARDDATA
GETCARDLISTBYOWNER
getTransactions
getTransactionDetails
creditCard</t>
  </si>
  <si>
    <t>creditCard</t>
  </si>
  <si>
    <t>CJ_APO_01</t>
  </si>
  <si>
    <t>El cliente realiza el onboarding en Apolo (Apolo valida que el Solicitante no sea cliente en SmartVista, solicita alta del cliente y la cuenta en SmartVista, solicita alta de TDCV en SmartVista para un cliente existente)</t>
  </si>
  <si>
    <t>isCustomerExist</t>
  </si>
  <si>
    <t>CJ_APO_02</t>
  </si>
  <si>
    <t>Apolo solicita alta del cliente y la cuenta en SmartVista</t>
  </si>
  <si>
    <t xml:space="preserve">SENDISSUERAPPLICATION
</t>
  </si>
  <si>
    <t>CJ_APO_03</t>
  </si>
  <si>
    <t>Apolo solicita alta de TDCV en SmartVista para un cliente existente</t>
  </si>
  <si>
    <t>createVirtualCard</t>
  </si>
  <si>
    <t>CJ_APO_4</t>
  </si>
  <si>
    <t>Apolo realiza la creación del cliente en PISA</t>
  </si>
  <si>
    <t>CJ_APO_5</t>
  </si>
  <si>
    <t>El cliente realiza el onboarding en Apolo</t>
  </si>
  <si>
    <t>ESTÁ</t>
  </si>
  <si>
    <t>MVP Digital</t>
  </si>
  <si>
    <t>MVP</t>
  </si>
  <si>
    <t xml:space="preserve">El tarjetahabiente (TH) solicita la tarjeta de crédito (TDC) </t>
  </si>
  <si>
    <t>Iteración 3</t>
  </si>
  <si>
    <t>El tarjetahabiente (TH) activa la tarjeta de crédito (TDC)</t>
  </si>
  <si>
    <t>El tarjetahabiente (TH) visualiza la tarjeta de crédito (TDC)</t>
  </si>
  <si>
    <t>Iteración 1</t>
  </si>
  <si>
    <t>El tarjetahabiente (TH) desactiva (apaga) la tarjeta de crédito (TDC)</t>
  </si>
  <si>
    <t>El tarjetahabiente (TH) activa (enciende) la tarjeta de crédito (TDC)</t>
  </si>
  <si>
    <t>si</t>
  </si>
  <si>
    <t>El tarjetahabiente (TH) solicita la reposición de la tarjeta de crédito (TDC) cuando fue reportada como fraude, pérdida o robo</t>
  </si>
  <si>
    <t>El tarjetahabiente (TH) puede disponer de dinero en efectivo de su Tarjeta de Crédito en ventanilla o ATM</t>
  </si>
  <si>
    <t>El tarjetahabiente (TH) realiza un pago a su tarjeta de crédito (TDC) cuenta de captación propia, ventanilla en efectivo, cheques y otros bancos (SPEI)</t>
  </si>
  <si>
    <t>El tarjetahabiente (TH) realiza la cancelación de la tarjeta de crédito (TDC)</t>
  </si>
  <si>
    <t>Iteración 2</t>
  </si>
  <si>
    <t>Diseña BIAN (PD)</t>
  </si>
  <si>
    <t>MVPR2</t>
  </si>
  <si>
    <t>Diseño API</t>
  </si>
  <si>
    <t>Miro</t>
  </si>
  <si>
    <t>Prioridad</t>
  </si>
  <si>
    <t>Tipo de Ofi</t>
  </si>
  <si>
    <t>Operacion / PV</t>
  </si>
  <si>
    <t>Blueprint As Is</t>
  </si>
  <si>
    <t>Blueprint To Be</t>
  </si>
  <si>
    <t>Estatus HU</t>
  </si>
  <si>
    <t>Inventario datos As Is</t>
  </si>
  <si>
    <t>DTM</t>
  </si>
  <si>
    <t>Draw.io</t>
  </si>
  <si>
    <t>DSP's</t>
  </si>
  <si>
    <t>Mapa Dependencias</t>
  </si>
  <si>
    <t>Resp. Funcional</t>
  </si>
  <si>
    <t>Resp. Datos</t>
  </si>
  <si>
    <t>Fecha inicio</t>
  </si>
  <si>
    <t>Fecha fin</t>
  </si>
  <si>
    <t>Link Miro As Is</t>
  </si>
  <si>
    <t>Link Miro To Be</t>
  </si>
  <si>
    <t>Link a Guía</t>
  </si>
  <si>
    <t>Alta Única (Mantenimiento de Datos)</t>
  </si>
  <si>
    <t>Post venta</t>
  </si>
  <si>
    <t>Terminado</t>
  </si>
  <si>
    <t>David Brito</t>
  </si>
  <si>
    <t>Aldo Garduño</t>
  </si>
  <si>
    <t>https://miro.com/app/board/uXjVKPWvK3U=/?moveToWidget=3458764579018182493&amp;cot=14</t>
  </si>
  <si>
    <t>https://miro.com/app/board/uXjVKPWvK3U=/?moveToWidget=3458764579958093439&amp;cot=14</t>
  </si>
  <si>
    <t>Guía Rápida Alta de Clientes y Contratación de Productos (1).pdf</t>
  </si>
  <si>
    <t>Bloqueo, Desbloqueo del Servicio de Banca Electrónica</t>
  </si>
  <si>
    <t>https://miro.com/app/board/uXjVKPWvK3U=/?moveToWidget=3458764582365179564&amp;cot=14</t>
  </si>
  <si>
    <t>Consulta de Clientes</t>
  </si>
  <si>
    <t>https://miro.com/app/board/uXjVKPWvK3U=/?moveToWidget=3458764586317267883&amp;cot=14</t>
  </si>
  <si>
    <t>https://miro.com/app/board/uXjVKPWvK3U=/?moveToWidget=3458764586317267884&amp;cot=14</t>
  </si>
  <si>
    <t>Consulta y Cancelacion de Compras a Meses sin Intereses</t>
  </si>
  <si>
    <t>Verónica Rodriguez</t>
  </si>
  <si>
    <t>https://miro.com/app/board/uXjVKPWvK3U=/?moveToWidget=3458764587029344473&amp;cot=14</t>
  </si>
  <si>
    <t>https://miro.com/app/board/uXjVKPWvK3U=/?moveToWidget=3458764586317672062&amp;cot=14</t>
  </si>
  <si>
    <t>Consulta saldo retenido</t>
  </si>
  <si>
    <t>https://miro.com/app/board/uXjVKPWvK3U=/?moveToWidget=3458764586318075683&amp;cot=14</t>
  </si>
  <si>
    <t>https://miro.com/app/board/uXjVKPWvK3U=/?moveToWidget=3458764586318075684&amp;cot=14</t>
  </si>
  <si>
    <t xml:space="preserve">(Estado de Cuenta Fiscal) Solicitud de Contraseña </t>
  </si>
  <si>
    <t>Emanuel Quinto</t>
  </si>
  <si>
    <t>https://miro.com/app/board/uXjVKPWvK3U=/?moveToWidget=3458764579063111956&amp;cot=14</t>
  </si>
  <si>
    <t>https://miro.com/app/board/uXjVKPWvK3U=/?moveToWidget=3458764583147810500&amp;cot=10</t>
  </si>
  <si>
    <t>Alta / Baja de Domiciliación</t>
  </si>
  <si>
    <t>Iván Arteaga</t>
  </si>
  <si>
    <r>
      <rPr>
        <sz val="10"/>
        <rFont val="Arial"/>
      </rPr>
      <t xml:space="preserve">Alta: https://miro.com/app/board/uXjVKPWvK3U=/?moveToWidget=3458764586568158587&amp;cot=14
Baja: </t>
    </r>
    <r>
      <rPr>
        <u/>
        <sz val="10"/>
        <color rgb="FF1155CC"/>
        <rFont val="Arial"/>
      </rPr>
      <t>https://miro.com/app/board/uXjVKPWvK3U=/?moveToWidget=3458764579063196360&amp;cot=14</t>
    </r>
  </si>
  <si>
    <r>
      <rPr>
        <sz val="10"/>
        <rFont val="Arial"/>
      </rPr>
      <t xml:space="preserve">Alta: https://miro.com/app/board/uXjVKPWvK3U=/?moveToWidget=3458764586570283676&amp;cot=14
Baja: </t>
    </r>
    <r>
      <rPr>
        <u/>
        <sz val="10"/>
        <color rgb="FF1155CC"/>
        <rFont val="Arial"/>
      </rPr>
      <t>https://miro.com/app/board/uXjVKPWvK3U=/?moveToWidget=3458764586570541715&amp;cot=14</t>
    </r>
  </si>
  <si>
    <t>Cancelación del Crédito</t>
  </si>
  <si>
    <t>NA</t>
  </si>
  <si>
    <t>Jonathan Tapia</t>
  </si>
  <si>
    <t>https://miro.com/app/board/uXjVKPWvK3U=/?moveToWidget=3458764586594636346&amp;cot=14</t>
  </si>
  <si>
    <t>https://miro.com/app/board/uXjVKPWvK3U=/?moveToWidget=3458764586319489641&amp;cot=14</t>
  </si>
  <si>
    <t>Administración de Domiciliación</t>
  </si>
  <si>
    <t>Carolina Montoya</t>
  </si>
  <si>
    <t>https://miro.com/app/board/uXjVKPWvK3U=/?moveToWidget=3458764586318520846&amp;cot=14
https://miro.com/app/board/uXjVKPWvK3U=/?moveToWidget=3458764586318520847&amp;cot=14</t>
  </si>
  <si>
    <t>Guía rápida sobre Alta, Cancelación y Objeción de Domiciliación.pdf</t>
  </si>
  <si>
    <t>Reposición de tarjetas de débito, crédito (Asignación de Tarjetas, Reposición y Personalización)</t>
  </si>
  <si>
    <t>OFI Web</t>
  </si>
  <si>
    <t>https://miro.com/app/board/uXjVKPWvK3U=/?moveToWidget=3458764586088471960&amp;cot=14</t>
  </si>
  <si>
    <t>Guia Rapida Seguimiento y Asignacion de Creditos.pdf</t>
  </si>
  <si>
    <t>Registro (Recepción) de Tarjetas Bancoppel (por lotes)</t>
  </si>
  <si>
    <t>https://miro.com/app/board/uXjVKPWvK3U=/?moveToWidget=3458764586088471962&amp;cot=14</t>
  </si>
  <si>
    <t>06.002.008.064 Recepción de Tarjetas</t>
  </si>
  <si>
    <t>Mantenimiento de Huella y Biometría</t>
  </si>
  <si>
    <t>https://miro.com/app/board/uXjVKPWvK3U=/?moveToWidget=3458764576096065598&amp;cot=14</t>
  </si>
  <si>
    <t>Finaliza mantenimiento de huella</t>
  </si>
  <si>
    <t>Alta y Baja de Autorizados (debito y credito)</t>
  </si>
  <si>
    <t>Manuel Coutiño</t>
  </si>
  <si>
    <t>Aldair Sánchez</t>
  </si>
  <si>
    <t>https://miro.com/app/board/uXjVKPWvK3U=/?moveToWidget=3458764586073038212&amp;cot=14</t>
  </si>
  <si>
    <t>Guia Rapida para alta de autorizados cuenta de captacion e inversion creciente.pdf</t>
  </si>
  <si>
    <t>Seguimiento a solicitudes de crédito (Asignación de TDC)</t>
  </si>
  <si>
    <t>No iniciado</t>
  </si>
  <si>
    <t>Julian Romero</t>
  </si>
  <si>
    <t>https://miro.com/app/board/uXjVKPWvK3U=/?moveToWidget=3458764586088471964&amp;cot=14</t>
  </si>
  <si>
    <t>Solicitud Histórica de Estados de Cuenta</t>
  </si>
  <si>
    <t>https://miro.com/app/board/uXjVKPWvK3U=/?moveToWidget=3458764586088471963&amp;cot=14</t>
  </si>
  <si>
    <t>Guia Rapida Alta de Estados de Cuenta Electrónicos (1).pdf</t>
  </si>
  <si>
    <t>1 Conciliación de movimiento sucursal-central.</t>
  </si>
  <si>
    <t>Guia Rapida Web totales cifras sucursal y movimientos conciliados (1).pdf</t>
  </si>
  <si>
    <t>4 Consulta de cuenta de cliente en la caja.</t>
  </si>
  <si>
    <t>2 (Fin de día) Integración de información contable.</t>
  </si>
  <si>
    <t>Guia Rapida Web integracion de informacion contable y pase contable (1).pdf</t>
  </si>
  <si>
    <t>3 (Fin de día) reportes.</t>
  </si>
  <si>
    <t>Veronica Rodriguez</t>
  </si>
  <si>
    <t>Guia Rapida Web reportes (1).pdf</t>
  </si>
  <si>
    <t>Programa de Apoyo</t>
  </si>
  <si>
    <t>OFI Tradicional</t>
  </si>
  <si>
    <t>En Ventanilla: https://miro.com/app/board/uXjVKPWvK3U=/?moveToWidget=3458764586042216919&amp;cot=14
En Promotoría: https://miro.com/app/board/uXjVKPWvK3U=/?moveToWidget=3458764586042216920&amp;cot=14</t>
  </si>
  <si>
    <t>Guia Rapida para la Inscripcion al Programa de Plan de Apoyo por Contingencia Via Sucursal.pdf</t>
  </si>
  <si>
    <t>Cancelacion al Programa de apoyo</t>
  </si>
  <si>
    <t>https://miro.com/app/board/uXjVKPWvK3U=/?moveToWidget=3458764586042216918&amp;cot=14</t>
  </si>
  <si>
    <t>Guia Rapida para la Cancelacion al Programa de Plan de Apoyo en Sucursal, Area de Promotoria.pdf</t>
  </si>
  <si>
    <t>Reestructura de Préstamo Personal y Digital</t>
  </si>
  <si>
    <t>Reestructura: https://miro.com/app/board/uXjVKPWvK3U=/?moveToWidget=3458764571360395110&amp;cot=14
TDC: https://miro.com/app/board/uXjVKPWvK3U=/?moveToWidget=3458764586041654153&amp;cot=14</t>
  </si>
  <si>
    <t>As Is - (Banca por Internet) Reimpresion de contrato y caratula</t>
  </si>
  <si>
    <t>As Is - Monitor de Incremento de Línea de Crédito</t>
  </si>
  <si>
    <t>As Is - Reimpresion de Carátula (Tarjeta de Crédito)</t>
  </si>
  <si>
    <t>As Is - Solicitud de Incremento de Línea de Crédito</t>
  </si>
  <si>
    <t>As Is - Suspension de Incrementos Automaticos</t>
  </si>
  <si>
    <t>As Is - Tarjetas Personalizadas</t>
  </si>
  <si>
    <t>https://miro.com/app/board/uXjVKPWvK3U=/?moveToWidget=3458764586088471961&amp;cot=14</t>
  </si>
  <si>
    <t>As Is - Consulta de Estado de cuenta Prestamo y Reestructura</t>
  </si>
  <si>
    <t>Web y Trad.</t>
  </si>
  <si>
    <t>Priorización</t>
  </si>
  <si>
    <t>Funcionalidades habilitadas</t>
  </si>
  <si>
    <t>OFI_WEB_4</t>
  </si>
  <si>
    <t>Bloqueo, Desbloqueo y Cancelacion del Servicio de Banca Electronica</t>
  </si>
  <si>
    <t>OFI_WEB_7</t>
  </si>
  <si>
    <t>OFI_TRAD_1</t>
  </si>
  <si>
    <t>Mantenimiento y Consulta Clientes y Cuentas</t>
  </si>
  <si>
    <t>OFI_TRAD_2</t>
  </si>
  <si>
    <t>OFI_TRAD_4</t>
  </si>
  <si>
    <t>Consulta Movimientos MSI</t>
  </si>
  <si>
    <t>OFI_WEB_15</t>
  </si>
  <si>
    <t>Consulta Saldo Retenido</t>
  </si>
  <si>
    <t>OFI_WEB_20</t>
  </si>
  <si>
    <t>(Estado de Cuenta Fiscal) Solicitud de Contraseña</t>
  </si>
  <si>
    <t>OFI_WEB_24</t>
  </si>
  <si>
    <t>Reposición de tarjetas de débito, crédito (Asignación de Tarjetas)</t>
  </si>
  <si>
    <t>OFI_WEB_26</t>
  </si>
  <si>
    <t>Activación y Cancelación de Domiciliación</t>
  </si>
  <si>
    <t>OFI_WEB_17</t>
  </si>
  <si>
    <t>OFI_WEB_1</t>
  </si>
  <si>
    <t>OFI_WEB_8</t>
  </si>
  <si>
    <t>OFI_WEB_9</t>
  </si>
  <si>
    <t>OFI_WEB_12</t>
  </si>
  <si>
    <t>(Banca por Internet) Reimpresion de contrato y caratula</t>
  </si>
  <si>
    <t>OFI_WEB_14</t>
  </si>
  <si>
    <t>Asignacion de Tarjeta de Credito Movil</t>
  </si>
  <si>
    <t>OFI_WEB_16</t>
  </si>
  <si>
    <t>Monitor de Incremento de Línea de Crédito</t>
  </si>
  <si>
    <t>OFI_WEB_18</t>
  </si>
  <si>
    <t>Reimpresion de Carátula (Tarjeta de Crédito)</t>
  </si>
  <si>
    <t>OFI_WEB_19</t>
  </si>
  <si>
    <t>Solicitud de Incremento de Línea de Crédito</t>
  </si>
  <si>
    <t>OFI_WEB_21</t>
  </si>
  <si>
    <t>OFI_WEB_22</t>
  </si>
  <si>
    <t>Suspension de Incrementos Automaticos</t>
  </si>
  <si>
    <t>OFI_WEB_23</t>
  </si>
  <si>
    <t>Tarjetas Personalizadas</t>
  </si>
  <si>
    <t>OFI_WEB_25</t>
  </si>
  <si>
    <t>OFI_TRAD_7</t>
  </si>
  <si>
    <t>OFI_TRAD_8</t>
  </si>
  <si>
    <t>OFI_TRAD_9</t>
  </si>
  <si>
    <t>Consulta de Estado de cuenta Prestamo y Reestructura</t>
  </si>
  <si>
    <t>#</t>
  </si>
  <si>
    <t>Apis</t>
  </si>
  <si>
    <t>Datos aprovisionados</t>
  </si>
  <si>
    <t>Datos totales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</si>
  <si>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</si>
  <si>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</si>
  <si>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</si>
  <si>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</si>
  <si>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</si>
  <si>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</si>
  <si>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</si>
  <si>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</si>
  <si>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</si>
  <si>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</si>
  <si>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</si>
  <si>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</si>
  <si>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</si>
  <si>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</si>
  <si>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</si>
  <si>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</si>
  <si>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</si>
  <si>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AP18</t>
  </si>
  <si>
    <t>AP19</t>
  </si>
  <si>
    <t>AP20</t>
  </si>
  <si>
    <t>AP21</t>
  </si>
  <si>
    <t>AP22</t>
  </si>
  <si>
    <t>AP23</t>
  </si>
  <si>
    <t>AP24</t>
  </si>
  <si>
    <t>AP25</t>
  </si>
  <si>
    <t>AP26</t>
  </si>
  <si>
    <t>AP27</t>
  </si>
  <si>
    <t>AP28</t>
  </si>
  <si>
    <t>AP29</t>
  </si>
  <si>
    <t>AP30</t>
  </si>
  <si>
    <t>AP31</t>
  </si>
  <si>
    <t>AP32</t>
  </si>
  <si>
    <t>AP33</t>
  </si>
  <si>
    <t>AP34</t>
  </si>
  <si>
    <t>AP35</t>
  </si>
  <si>
    <t>AP36</t>
  </si>
  <si>
    <t>AP37</t>
  </si>
  <si>
    <t>AP38</t>
  </si>
  <si>
    <t>AP39</t>
  </si>
  <si>
    <t>AP40</t>
  </si>
  <si>
    <t>AP41</t>
  </si>
  <si>
    <t>AP42</t>
  </si>
  <si>
    <t>Control de Avance Funcionalidad de UNITY</t>
  </si>
  <si>
    <t>Funcionalidad por Responsable</t>
  </si>
  <si>
    <t>Funcionalidades por Proceso</t>
  </si>
  <si>
    <t>Contempladas MVP</t>
  </si>
  <si>
    <t>No contempladas</t>
  </si>
  <si>
    <t>% Funcionalidades</t>
  </si>
  <si>
    <t>No Responsable</t>
  </si>
  <si>
    <t>No</t>
  </si>
  <si>
    <t>En diseño</t>
  </si>
  <si>
    <t>En Construcción</t>
  </si>
  <si>
    <t>En QA</t>
  </si>
  <si>
    <t>Liberadas</t>
  </si>
  <si>
    <t>Funcionalidades totales MVP</t>
  </si>
  <si>
    <t>Funcionalidades Totales (MVP)</t>
  </si>
  <si>
    <t># APIS Estimadas</t>
  </si>
  <si>
    <t># APIS diseñadas</t>
  </si>
  <si>
    <t>% de avance de APIs Diseñadas</t>
  </si>
  <si>
    <t># de Funcionalidades que cuenta con Apis diseñadas + SDK + SaaS</t>
  </si>
  <si>
    <t>% de Funcionalidades Habilitadas (MVP) respecto a las APIs</t>
  </si>
  <si>
    <t># APIS Backlog</t>
  </si>
  <si>
    <t># APIS En diseño</t>
  </si>
  <si>
    <t># APIS En construcción</t>
  </si>
  <si>
    <t># APIS En QA</t>
  </si>
  <si>
    <t># APIS liberadas</t>
  </si>
  <si>
    <t># de Funcionalidades que cuenta con Apis diseñadas</t>
  </si>
  <si>
    <t># de Funcionalidades Habilitadas</t>
  </si>
  <si>
    <t>Faltantes</t>
  </si>
  <si>
    <t>38 APIs diseñadas Cambio de NIP</t>
  </si>
  <si>
    <t>FUNCIONALIDADES TOTALES</t>
  </si>
  <si>
    <t>Probar la captura de dirección</t>
  </si>
  <si>
    <t>IC-014</t>
  </si>
  <si>
    <t>Validación básica de Domicilio</t>
  </si>
  <si>
    <t>IC-015</t>
  </si>
  <si>
    <t>Validación completa de Domicilio</t>
  </si>
  <si>
    <t>IC-023</t>
  </si>
  <si>
    <t>Generar el video con la entrevista automatizada</t>
  </si>
  <si>
    <t>IC-026</t>
  </si>
  <si>
    <t>Verificación biométrica de video selfie</t>
  </si>
  <si>
    <t>LA - 001</t>
  </si>
  <si>
    <t>LA - 002</t>
  </si>
  <si>
    <t>El cliente solicita el desbloqueo de su Tarjeta De crédito</t>
  </si>
  <si>
    <t>El colaborador de BanCoppel visualiza la información del producto</t>
  </si>
  <si>
    <t>CJ_OFI_19</t>
  </si>
  <si>
    <t>El Tarjetahabiente (TH) solicita el pago de su tarjeta de crédito con cargo a su cuenta de captación de otro banco2.</t>
  </si>
  <si>
    <t>Caja TX 0600 Pago de TDC Efectivo</t>
  </si>
  <si>
    <t>Caja TX 0600 Pago de TDC Efectivo (Entrega efectivo)</t>
  </si>
  <si>
    <t>Caja TX 0600 Pago de TDC Efectivo (Cargo a cuenta)</t>
  </si>
  <si>
    <t>Caja TX 0615 Pago de TDC con Cheque</t>
  </si>
  <si>
    <t>Caja TX 0615 Pago de TDC con Cheque (Cheque Propio)</t>
  </si>
  <si>
    <t>Caja TX 0615 Pago de TDC con Cheque (Cheque Otro Banco SBC)</t>
  </si>
  <si>
    <t>Caja TX 0615 Pago de TDC con Cheque (Cámara: Devoluciones y Cargos)</t>
  </si>
  <si>
    <t>Caja TX 0602 Consulta de Saldo TDC</t>
  </si>
  <si>
    <t>Caja TX 0603 Retiro de TDC</t>
  </si>
  <si>
    <t>Caja TX 0605 Consulta de Movimientos Crédito</t>
  </si>
  <si>
    <t>(Especiales) Reversion de Operaciones</t>
  </si>
  <si>
    <t>OFI_WEB</t>
  </si>
  <si>
    <t>Caja (Ventanilla)</t>
  </si>
  <si>
    <t>(Cancelación) Crédito</t>
  </si>
  <si>
    <t>Cambio de NIP (debito credito)</t>
  </si>
  <si>
    <t>Consulta Cuentas Clientes</t>
  </si>
  <si>
    <t>OFI_TRAD</t>
  </si>
  <si>
    <t>Mantenimiento de Tarjeta (desbloqueo, cancelación)</t>
  </si>
  <si>
    <t>Consulta de Estados de Cuenta y Estados de Movimientos</t>
  </si>
  <si>
    <t>Alta de Servicio Estado de Cuenta / Constancia de ISR por correo</t>
  </si>
  <si>
    <t>Anexo I Reestructura</t>
  </si>
  <si>
    <t>Plan de Pagos Reestructura</t>
  </si>
  <si>
    <t>Solicitud para Reestructuras de tarjeta de Crédito</t>
  </si>
  <si>
    <t>Domiciliación, Activación y Cancelación</t>
  </si>
  <si>
    <t>Consulta Clientes Estado de Cuenta / Constancia de ISR</t>
  </si>
  <si>
    <t>ASSET 1</t>
  </si>
  <si>
    <t>ASSET 2</t>
  </si>
  <si>
    <t>4Q 2023</t>
  </si>
  <si>
    <t>1Q 2024</t>
  </si>
  <si>
    <t>2Q 2024</t>
  </si>
  <si>
    <t>INCODE</t>
  </si>
  <si>
    <t>MODYO</t>
  </si>
  <si>
    <t>ONBASE</t>
  </si>
  <si>
    <t>EXPERIAN
(BRM)</t>
  </si>
  <si>
    <t>WEBMETHODS</t>
  </si>
  <si>
    <t>BPC</t>
  </si>
  <si>
    <t>LATINIA</t>
  </si>
  <si>
    <t>EXPERIAN</t>
  </si>
  <si>
    <t>APIGEE</t>
  </si>
  <si>
    <t>MULESOFT</t>
  </si>
  <si>
    <t>Bloque Capacidades</t>
  </si>
  <si>
    <t>Etapas</t>
  </si>
  <si>
    <t>BP</t>
  </si>
  <si>
    <t>VC</t>
  </si>
  <si>
    <t>VD</t>
  </si>
  <si>
    <t>VTC</t>
  </si>
  <si>
    <t>PP</t>
  </si>
  <si>
    <t>SIC</t>
  </si>
  <si>
    <t>POP</t>
  </si>
  <si>
    <t>PVS</t>
  </si>
  <si>
    <t>EWK</t>
  </si>
  <si>
    <t>IC-019, IC-020, MD-001 - MD-017, WM-001, WM-003, MS-001-MS-003, AG-001 - AG-003</t>
  </si>
  <si>
    <t>IC-001 - IC-004, IC-008 - IC-010, IC-012, IC-016, IC-017, LA-001, LA-002</t>
  </si>
  <si>
    <t>IC-005, IC-013 - IC015, WM-002, WM-004, WM-005</t>
  </si>
  <si>
    <t>EX-002 - EX-003, IC-006, IC-007</t>
  </si>
  <si>
    <t>EX-002 - EX-003, AG-001 - AG-003</t>
  </si>
  <si>
    <t>EXP - 001, BPC-001 - BPC-004</t>
  </si>
  <si>
    <t>IC-023, IC-024, IC-026, OB-001 - OB-003</t>
  </si>
  <si>
    <t>OB-004 - OB-007</t>
  </si>
  <si>
    <t>BIENVENIDA / PREPARACIÓN</t>
  </si>
  <si>
    <t>VALIDACIÓN DE CLIENTE</t>
  </si>
  <si>
    <t>VALIDACIÓN DOMICILIO</t>
  </si>
  <si>
    <t>VALIDACIÓN DE TELÉFONO Y CORREO ELECTRÓNICO</t>
  </si>
  <si>
    <t>PERFILAMIENTO PARAMÉTRICO</t>
  </si>
  <si>
    <t>EVALUACIÓN DE SCORE CREDITICIO (SIC e Interno)</t>
  </si>
  <si>
    <t>PRE-APROBACIÓN Y OFERTA DE PRODUCTOS</t>
  </si>
  <si>
    <t>PRUEBA DE VIDA / VIDEO SELFIE</t>
  </si>
  <si>
    <t>ENVÍO WELCOME KIT</t>
  </si>
  <si>
    <t>IC</t>
  </si>
  <si>
    <t>MD</t>
  </si>
  <si>
    <t>EXPERIAN/BRMS</t>
  </si>
  <si>
    <t>EX</t>
  </si>
  <si>
    <t>WM</t>
  </si>
  <si>
    <t>LA</t>
  </si>
  <si>
    <t>EXPERIAN/MODELO</t>
  </si>
  <si>
    <t>EXP</t>
  </si>
  <si>
    <t>SMART VISTA</t>
  </si>
  <si>
    <t>API GEE</t>
  </si>
  <si>
    <t>AG</t>
  </si>
  <si>
    <t>MULE SOFT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</si>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</sst>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"/>
    <numFmt numFmtId="166" formatCode="dd/mm/yyyy"/>
  </numFmts>
  <fonts count="56">
    <font>
      <sz val="10"/>
      <color rgb="FF000000"/>
      <name val="Verdana"/>
      <scheme val="minor"/>
    </font>
    <font>
      <sz val="10"/>
      <color theme="1"/>
      <name val="Verdana"/>
      <scheme val="minor"/>
    </font>
    <font>
      <sz val="11"/>
      <color rgb="FF000000"/>
      <name val="Calibri"/>
    </font>
    <font>
      <sz val="9"/>
      <color theme="1"/>
      <name val="Verdana"/>
      <scheme val="minor"/>
    </font>
    <font>
      <b/>
      <sz val="11"/>
      <color rgb="FFFFFFFF"/>
      <name val="Verdana"/>
      <scheme val="minor"/>
    </font>
    <font>
      <b/>
      <sz val="9"/>
      <color rgb="FF000000"/>
      <name val="Montserrat"/>
    </font>
    <font>
      <sz val="10"/>
      <name val="Verdana"/>
    </font>
    <font>
      <b/>
      <sz val="9"/>
      <color theme="1"/>
      <name val="Verdana"/>
      <scheme val="minor"/>
    </font>
    <font>
      <b/>
      <sz val="14"/>
      <color rgb="FFFFFFFF"/>
      <name val="Montserrat"/>
    </font>
    <font>
      <sz val="8"/>
      <color theme="1"/>
      <name val="Verdana"/>
      <scheme val="minor"/>
    </font>
    <font>
      <sz val="12"/>
      <color theme="6"/>
      <name val="Montserrat"/>
    </font>
    <font>
      <b/>
      <sz val="12"/>
      <color theme="6"/>
      <name val="Montserrat"/>
    </font>
    <font>
      <u/>
      <sz val="12"/>
      <color theme="6"/>
      <name val="Montserrat"/>
    </font>
    <font>
      <sz val="10"/>
      <color rgb="FF666666"/>
      <name val="Verdana"/>
      <scheme val="minor"/>
    </font>
    <font>
      <sz val="9"/>
      <color rgb="FF000000"/>
      <name val="Montserrat"/>
    </font>
    <font>
      <sz val="10"/>
      <color theme="1"/>
      <name val="Verdana"/>
    </font>
    <font>
      <u/>
      <sz val="12"/>
      <color rgb="FF1F3E78"/>
      <name val="Montserrat"/>
    </font>
    <font>
      <b/>
      <sz val="10"/>
      <color theme="1"/>
      <name val="Verdana"/>
      <scheme val="minor"/>
    </font>
    <font>
      <sz val="10"/>
      <color rgb="FF000000"/>
      <name val="Montserrat"/>
    </font>
    <font>
      <sz val="10"/>
      <color theme="1"/>
      <name val="Arial"/>
    </font>
    <font>
      <u/>
      <sz val="12"/>
      <color rgb="FF0000FF"/>
      <name val="Montserrat"/>
    </font>
    <font>
      <b/>
      <sz val="12"/>
      <color rgb="FF1F3E78"/>
      <name val="Montserrat"/>
    </font>
    <font>
      <b/>
      <sz val="10"/>
      <color rgb="FF000000"/>
      <name val="Montserrat"/>
    </font>
    <font>
      <b/>
      <sz val="11"/>
      <color theme="1"/>
      <name val="Calibri"/>
    </font>
    <font>
      <sz val="10"/>
      <color rgb="FF000000"/>
      <name val="Verdana"/>
    </font>
    <font>
      <sz val="10"/>
      <color theme="1"/>
      <name val="Verdana"/>
      <scheme val="minor"/>
    </font>
    <font>
      <sz val="10"/>
      <color theme="1"/>
      <name val="Montserrat"/>
    </font>
    <font>
      <sz val="9"/>
      <color rgb="FF000000"/>
      <name val="&quot;Google Sans Mono&quot;"/>
    </font>
    <font>
      <sz val="10"/>
      <color rgb="FF000000"/>
      <name val="Arial"/>
    </font>
    <font>
      <b/>
      <sz val="11"/>
      <color theme="1"/>
      <name val="Arial"/>
    </font>
    <font>
      <b/>
      <sz val="8"/>
      <color theme="1"/>
      <name val="Arial"/>
    </font>
    <font>
      <b/>
      <sz val="11"/>
      <color theme="1"/>
      <name val="Verdana"/>
      <scheme val="minor"/>
    </font>
    <font>
      <sz val="11"/>
      <color theme="1"/>
      <name val="Arial"/>
    </font>
    <font>
      <sz val="8"/>
      <color theme="1"/>
      <name val="Arial"/>
    </font>
    <font>
      <sz val="11"/>
      <color theme="1"/>
      <name val="Verdana"/>
      <scheme val="minor"/>
    </font>
    <font>
      <sz val="10"/>
      <color rgb="FF1A1A1A"/>
      <name val="Verdana"/>
    </font>
    <font>
      <sz val="9"/>
      <color theme="1"/>
      <name val="Verdana"/>
    </font>
    <font>
      <b/>
      <u/>
      <sz val="10"/>
      <color rgb="FF1155CC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theme="1"/>
      <name val="Arial"/>
    </font>
    <font>
      <sz val="10"/>
      <color rgb="FFFF0000"/>
      <name val="Arial"/>
    </font>
    <font>
      <u/>
      <sz val="10"/>
      <color rgb="FF0000FF"/>
      <name val="Arial"/>
    </font>
    <font>
      <b/>
      <sz val="15"/>
      <color theme="1"/>
      <name val="Montserrat"/>
    </font>
    <font>
      <b/>
      <sz val="15"/>
      <color theme="1"/>
      <name val="Verdana"/>
      <scheme val="minor"/>
    </font>
    <font>
      <b/>
      <sz val="10"/>
      <color rgb="FFFFFFFF"/>
      <name val="Montserrat"/>
    </font>
    <font>
      <sz val="10"/>
      <color rgb="FFFFFFFF"/>
      <name val="Verdana"/>
      <scheme val="minor"/>
    </font>
    <font>
      <b/>
      <sz val="11"/>
      <color rgb="FF000000"/>
      <name val="Calibri"/>
    </font>
    <font>
      <b/>
      <sz val="9"/>
      <color theme="1"/>
      <name val="Montserrat"/>
    </font>
    <font>
      <sz val="9"/>
      <color theme="1"/>
      <name val="Montserrat"/>
    </font>
    <font>
      <b/>
      <sz val="10"/>
      <color theme="1"/>
      <name val="Montserrat"/>
    </font>
    <font>
      <b/>
      <sz val="11"/>
      <color rgb="FF000000"/>
      <name val="Montserrat"/>
    </font>
    <font>
      <sz val="8"/>
      <color rgb="FF000000"/>
      <name val="Montserrat"/>
    </font>
    <font>
      <b/>
      <sz val="14"/>
      <color rgb="FF666666"/>
      <name val="Verdana"/>
      <scheme val="minor"/>
    </font>
    <font>
      <b/>
      <sz val="6"/>
      <color rgb="FF265AA7"/>
      <name val="Montserrat"/>
    </font>
    <font>
      <sz val="10"/>
      <name val="Arial"/>
    </font>
  </fonts>
  <fills count="4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A509E"/>
        <bgColor rgb="FF2A509E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FCF36"/>
        <bgColor rgb="FFFFCF36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rgb="FFF9CB9C"/>
        <bgColor rgb="FFF9CB9C"/>
      </patternFill>
    </fill>
    <fill>
      <patternFill patternType="solid">
        <fgColor rgb="FFEEF1F1"/>
        <bgColor rgb="FFEEF1F1"/>
      </patternFill>
    </fill>
    <fill>
      <patternFill patternType="solid">
        <fgColor theme="8"/>
        <bgColor theme="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1C4587"/>
        <bgColor rgb="FF1C4587"/>
      </patternFill>
    </fill>
    <fill>
      <patternFill patternType="solid">
        <fgColor rgb="FFD5A6BD"/>
        <bgColor rgb="FFD5A6BD"/>
      </patternFill>
    </fill>
    <fill>
      <patternFill patternType="solid">
        <fgColor rgb="FF6AA84F"/>
        <bgColor rgb="FF6AA84F"/>
      </patternFill>
    </fill>
    <fill>
      <patternFill patternType="solid">
        <fgColor rgb="FFF8CBAD"/>
        <bgColor rgb="FFF8CBAD"/>
      </patternFill>
    </fill>
    <fill>
      <patternFill patternType="solid">
        <fgColor rgb="FFEA9999"/>
        <bgColor rgb="FFEA9999"/>
      </patternFill>
    </fill>
    <fill>
      <patternFill patternType="solid">
        <fgColor rgb="FFDDEBF7"/>
        <bgColor rgb="FFDDEBF7"/>
      </patternFill>
    </fill>
    <fill>
      <patternFill patternType="solid">
        <fgColor rgb="FFC27BA0"/>
        <bgColor rgb="FFC27BA0"/>
      </patternFill>
    </fill>
    <fill>
      <patternFill patternType="solid">
        <fgColor rgb="FF000000"/>
        <bgColor rgb="FF000000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6FA8DC"/>
        <bgColor rgb="FF6FA8DC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thick">
        <color rgb="FFFFFFFF"/>
      </top>
      <bottom style="dotted">
        <color rgb="FF000000"/>
      </bottom>
      <diagonal/>
    </border>
    <border>
      <left/>
      <right/>
      <top style="medium">
        <color rgb="FFFFFFFF"/>
      </top>
      <bottom style="dotted">
        <color rgb="FF000000"/>
      </bottom>
      <diagonal/>
    </border>
    <border>
      <left/>
      <right style="thin">
        <color rgb="FF000000"/>
      </right>
      <top/>
      <bottom style="medium">
        <color rgb="FF6FA8DC"/>
      </bottom>
      <diagonal/>
    </border>
    <border>
      <left/>
      <right style="medium">
        <color rgb="FF6FA8DC"/>
      </right>
      <top/>
      <bottom style="medium">
        <color rgb="FF6FA8D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5">
    <xf numFmtId="0" fontId="0" fillId="0" borderId="0" xfId="0"/>
    <xf numFmtId="9" fontId="1" fillId="0" borderId="0" xfId="0" applyNumberFormat="1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1" fillId="8" borderId="0" xfId="0" applyFont="1" applyFill="1"/>
    <xf numFmtId="0" fontId="1" fillId="0" borderId="0" xfId="0" applyFont="1"/>
    <xf numFmtId="0" fontId="9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right"/>
    </xf>
    <xf numFmtId="0" fontId="11" fillId="2" borderId="1" xfId="0" applyFont="1" applyFill="1" applyBorder="1"/>
    <xf numFmtId="0" fontId="12" fillId="2" borderId="1" xfId="0" applyFont="1" applyFill="1" applyBorder="1" applyAlignment="1">
      <alignment horizontal="center"/>
    </xf>
    <xf numFmtId="10" fontId="9" fillId="0" borderId="5" xfId="0" applyNumberFormat="1" applyFont="1" applyBorder="1" applyAlignment="1">
      <alignment horizontal="center" vertical="center"/>
    </xf>
    <xf numFmtId="0" fontId="10" fillId="2" borderId="1" xfId="0" applyFont="1" applyFill="1" applyBorder="1"/>
    <xf numFmtId="0" fontId="9" fillId="9" borderId="5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3" fillId="0" borderId="0" xfId="0" applyFont="1"/>
    <xf numFmtId="0" fontId="14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2" borderId="1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right"/>
    </xf>
    <xf numFmtId="0" fontId="15" fillId="0" borderId="4" xfId="0" applyFont="1" applyBorder="1" applyAlignment="1">
      <alignment vertical="top"/>
    </xf>
    <xf numFmtId="0" fontId="18" fillId="0" borderId="1" xfId="0" applyFont="1" applyBorder="1"/>
    <xf numFmtId="0" fontId="1" fillId="0" borderId="5" xfId="0" applyFont="1" applyBorder="1"/>
    <xf numFmtId="0" fontId="17" fillId="5" borderId="5" xfId="0" applyFont="1" applyFill="1" applyBorder="1" applyAlignment="1">
      <alignment horizontal="center"/>
    </xf>
    <xf numFmtId="10" fontId="17" fillId="5" borderId="5" xfId="0" applyNumberFormat="1" applyFont="1" applyFill="1" applyBorder="1" applyAlignment="1">
      <alignment horizontal="center"/>
    </xf>
    <xf numFmtId="1" fontId="1" fillId="0" borderId="5" xfId="0" applyNumberFormat="1" applyFont="1" applyBorder="1"/>
    <xf numFmtId="0" fontId="15" fillId="0" borderId="0" xfId="0" applyFont="1" applyAlignment="1">
      <alignment vertical="center"/>
    </xf>
    <xf numFmtId="0" fontId="19" fillId="0" borderId="0" xfId="0" applyFont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1" fontId="9" fillId="9" borderId="5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top"/>
    </xf>
    <xf numFmtId="0" fontId="18" fillId="0" borderId="0" xfId="0" applyFont="1"/>
    <xf numFmtId="0" fontId="21" fillId="2" borderId="1" xfId="0" applyFont="1" applyFill="1" applyBorder="1"/>
    <xf numFmtId="1" fontId="17" fillId="5" borderId="5" xfId="0" applyNumberFormat="1" applyFont="1" applyFill="1" applyBorder="1" applyAlignment="1">
      <alignment horizontal="center"/>
    </xf>
    <xf numFmtId="0" fontId="14" fillId="2" borderId="5" xfId="0" applyFont="1" applyFill="1" applyBorder="1" applyAlignment="1">
      <alignment vertical="center" wrapText="1"/>
    </xf>
    <xf numFmtId="0" fontId="17" fillId="0" borderId="0" xfId="0" applyFont="1"/>
    <xf numFmtId="0" fontId="17" fillId="4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right"/>
    </xf>
    <xf numFmtId="1" fontId="1" fillId="4" borderId="0" xfId="0" applyNumberFormat="1" applyFont="1" applyFill="1"/>
    <xf numFmtId="0" fontId="1" fillId="10" borderId="0" xfId="0" applyFont="1" applyFill="1"/>
    <xf numFmtId="0" fontId="1" fillId="11" borderId="5" xfId="0" applyFont="1" applyFill="1" applyBorder="1"/>
    <xf numFmtId="0" fontId="1" fillId="11" borderId="5" xfId="0" applyFont="1" applyFill="1" applyBorder="1" applyAlignment="1">
      <alignment horizontal="center"/>
    </xf>
    <xf numFmtId="0" fontId="1" fillId="11" borderId="0" xfId="0" applyFont="1" applyFill="1"/>
    <xf numFmtId="0" fontId="13" fillId="2" borderId="0" xfId="0" applyFont="1" applyFill="1"/>
    <xf numFmtId="0" fontId="1" fillId="2" borderId="0" xfId="0" applyFont="1" applyFill="1"/>
    <xf numFmtId="0" fontId="13" fillId="11" borderId="0" xfId="0" applyFont="1" applyFill="1"/>
    <xf numFmtId="0" fontId="14" fillId="2" borderId="8" xfId="0" applyFont="1" applyFill="1" applyBorder="1" applyAlignment="1">
      <alignment horizontal="center" vertical="center" wrapText="1"/>
    </xf>
    <xf numFmtId="0" fontId="22" fillId="12" borderId="0" xfId="0" applyFont="1" applyFill="1"/>
    <xf numFmtId="0" fontId="17" fillId="12" borderId="0" xfId="0" applyFont="1" applyFill="1"/>
    <xf numFmtId="164" fontId="23" fillId="13" borderId="5" xfId="0" applyNumberFormat="1" applyFont="1" applyFill="1" applyBorder="1" applyAlignment="1">
      <alignment wrapText="1"/>
    </xf>
    <xf numFmtId="0" fontId="22" fillId="0" borderId="0" xfId="0" applyFont="1"/>
    <xf numFmtId="164" fontId="23" fillId="13" borderId="6" xfId="0" applyNumberFormat="1" applyFont="1" applyFill="1" applyBorder="1" applyAlignment="1">
      <alignment wrapText="1"/>
    </xf>
    <xf numFmtId="164" fontId="23" fillId="14" borderId="6" xfId="0" applyNumberFormat="1" applyFont="1" applyFill="1" applyBorder="1" applyAlignment="1">
      <alignment wrapText="1"/>
    </xf>
    <xf numFmtId="164" fontId="23" fillId="15" borderId="6" xfId="0" applyNumberFormat="1" applyFont="1" applyFill="1" applyBorder="1" applyAlignment="1">
      <alignment wrapText="1"/>
    </xf>
    <xf numFmtId="0" fontId="15" fillId="0" borderId="7" xfId="0" applyFont="1" applyBorder="1" applyAlignment="1">
      <alignment vertical="top" wrapText="1"/>
    </xf>
    <xf numFmtId="164" fontId="23" fillId="16" borderId="6" xfId="0" applyNumberFormat="1" applyFont="1" applyFill="1" applyBorder="1" applyAlignment="1">
      <alignment wrapText="1"/>
    </xf>
    <xf numFmtId="164" fontId="23" fillId="17" borderId="6" xfId="0" applyNumberFormat="1" applyFont="1" applyFill="1" applyBorder="1" applyAlignment="1">
      <alignment wrapText="1"/>
    </xf>
    <xf numFmtId="0" fontId="24" fillId="0" borderId="7" xfId="0" applyFont="1" applyBorder="1" applyAlignment="1">
      <alignment vertical="top"/>
    </xf>
    <xf numFmtId="0" fontId="15" fillId="0" borderId="9" xfId="0" applyFont="1" applyBorder="1" applyAlignment="1">
      <alignment vertical="top"/>
    </xf>
    <xf numFmtId="0" fontId="25" fillId="0" borderId="0" xfId="0" applyFont="1"/>
    <xf numFmtId="0" fontId="25" fillId="0" borderId="0" xfId="0" applyFont="1" applyAlignment="1">
      <alignment wrapText="1"/>
    </xf>
    <xf numFmtId="0" fontId="15" fillId="18" borderId="9" xfId="0" applyFont="1" applyFill="1" applyBorder="1" applyAlignment="1">
      <alignment vertical="top"/>
    </xf>
    <xf numFmtId="0" fontId="5" fillId="8" borderId="0" xfId="0" applyFont="1" applyFill="1" applyAlignment="1">
      <alignment horizontal="left" vertical="center"/>
    </xf>
    <xf numFmtId="0" fontId="15" fillId="2" borderId="6" xfId="0" applyFont="1" applyFill="1" applyBorder="1" applyAlignment="1">
      <alignment vertical="center"/>
    </xf>
    <xf numFmtId="0" fontId="26" fillId="0" borderId="5" xfId="0" applyFont="1" applyBorder="1"/>
    <xf numFmtId="0" fontId="26" fillId="0" borderId="5" xfId="0" applyFont="1" applyBorder="1" applyAlignment="1">
      <alignment wrapText="1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27" fillId="2" borderId="0" xfId="0" applyFont="1" applyFill="1"/>
    <xf numFmtId="0" fontId="15" fillId="0" borderId="3" xfId="0" applyFont="1" applyBorder="1" applyAlignment="1">
      <alignment vertical="top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1" fillId="0" borderId="0" xfId="0" applyFont="1" applyAlignment="1">
      <alignment wrapText="1"/>
    </xf>
    <xf numFmtId="0" fontId="14" fillId="21" borderId="6" xfId="0" applyFont="1" applyFill="1" applyBorder="1" applyAlignment="1">
      <alignment horizontal="center" vertical="center" wrapText="1"/>
    </xf>
    <xf numFmtId="0" fontId="14" fillId="21" borderId="6" xfId="0" applyFont="1" applyFill="1" applyBorder="1" applyAlignment="1">
      <alignment vertical="center" wrapText="1"/>
    </xf>
    <xf numFmtId="0" fontId="14" fillId="21" borderId="5" xfId="0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vertical="center" wrapText="1"/>
    </xf>
    <xf numFmtId="0" fontId="14" fillId="21" borderId="10" xfId="0" applyFont="1" applyFill="1" applyBorder="1" applyAlignment="1">
      <alignment horizontal="center" vertical="center" wrapText="1"/>
    </xf>
    <xf numFmtId="0" fontId="14" fillId="21" borderId="10" xfId="0" applyFont="1" applyFill="1" applyBorder="1" applyAlignment="1">
      <alignment vertical="center" wrapText="1"/>
    </xf>
    <xf numFmtId="0" fontId="14" fillId="21" borderId="11" xfId="0" applyFont="1" applyFill="1" applyBorder="1" applyAlignment="1">
      <alignment horizontal="center" vertical="center" wrapText="1"/>
    </xf>
    <xf numFmtId="0" fontId="14" fillId="21" borderId="11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28" fillId="2" borderId="5" xfId="0" applyFont="1" applyFill="1" applyBorder="1" applyAlignment="1">
      <alignment horizontal="left"/>
    </xf>
    <xf numFmtId="1" fontId="1" fillId="0" borderId="0" xfId="0" applyNumberFormat="1" applyFont="1"/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7" fillId="0" borderId="5" xfId="0" applyFont="1" applyBorder="1"/>
    <xf numFmtId="0" fontId="29" fillId="12" borderId="0" xfId="0" applyFont="1" applyFill="1" applyAlignment="1">
      <alignment wrapText="1"/>
    </xf>
    <xf numFmtId="0" fontId="30" fillId="22" borderId="0" xfId="0" applyFont="1" applyFill="1" applyAlignment="1">
      <alignment horizontal="center" wrapText="1"/>
    </xf>
    <xf numFmtId="0" fontId="30" fillId="22" borderId="0" xfId="0" applyFont="1" applyFill="1" applyAlignment="1">
      <alignment horizontal="center"/>
    </xf>
    <xf numFmtId="0" fontId="31" fillId="23" borderId="0" xfId="0" applyFont="1" applyFill="1"/>
    <xf numFmtId="0" fontId="31" fillId="24" borderId="0" xfId="0" applyFont="1" applyFill="1"/>
    <xf numFmtId="0" fontId="31" fillId="13" borderId="0" xfId="0" applyFont="1" applyFill="1"/>
    <xf numFmtId="0" fontId="32" fillId="0" borderId="0" xfId="0" applyFont="1" applyAlignment="1">
      <alignment horizontal="center"/>
    </xf>
    <xf numFmtId="0" fontId="32" fillId="0" borderId="0" xfId="0" applyFont="1" applyAlignment="1">
      <alignment wrapText="1"/>
    </xf>
    <xf numFmtId="0" fontId="33" fillId="22" borderId="0" xfId="0" applyFont="1" applyFill="1" applyAlignment="1">
      <alignment horizontal="center"/>
    </xf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13" borderId="0" xfId="0" applyFont="1" applyFill="1"/>
    <xf numFmtId="0" fontId="32" fillId="13" borderId="0" xfId="0" applyFont="1" applyFill="1" applyAlignment="1">
      <alignment wrapText="1"/>
    </xf>
    <xf numFmtId="0" fontId="32" fillId="22" borderId="0" xfId="0" applyFont="1" applyFill="1" applyAlignment="1">
      <alignment horizontal="center"/>
    </xf>
    <xf numFmtId="0" fontId="32" fillId="25" borderId="0" xfId="0" applyFont="1" applyFill="1" applyAlignment="1">
      <alignment horizontal="center"/>
    </xf>
    <xf numFmtId="165" fontId="34" fillId="22" borderId="0" xfId="0" applyNumberFormat="1" applyFont="1" applyFill="1"/>
    <xf numFmtId="0" fontId="34" fillId="22" borderId="0" xfId="0" applyFont="1" applyFill="1"/>
    <xf numFmtId="165" fontId="1" fillId="22" borderId="0" xfId="0" applyNumberFormat="1" applyFont="1" applyFill="1"/>
    <xf numFmtId="0" fontId="32" fillId="2" borderId="0" xfId="0" applyFont="1" applyFill="1" applyAlignment="1">
      <alignment wrapText="1"/>
    </xf>
    <xf numFmtId="165" fontId="32" fillId="25" borderId="0" xfId="0" applyNumberFormat="1" applyFont="1" applyFill="1" applyAlignment="1">
      <alignment horizontal="center"/>
    </xf>
    <xf numFmtId="165" fontId="32" fillId="22" borderId="0" xfId="0" applyNumberFormat="1" applyFont="1" applyFill="1" applyAlignment="1">
      <alignment horizontal="center"/>
    </xf>
    <xf numFmtId="0" fontId="32" fillId="8" borderId="0" xfId="0" applyFont="1" applyFill="1" applyAlignment="1">
      <alignment wrapText="1"/>
    </xf>
    <xf numFmtId="0" fontId="35" fillId="23" borderId="0" xfId="0" applyFont="1" applyFill="1" applyAlignment="1">
      <alignment horizontal="left"/>
    </xf>
    <xf numFmtId="0" fontId="3" fillId="0" borderId="5" xfId="0" applyFont="1" applyBorder="1" applyAlignment="1">
      <alignment wrapText="1"/>
    </xf>
    <xf numFmtId="0" fontId="15" fillId="0" borderId="4" xfId="0" applyFont="1" applyBorder="1"/>
    <xf numFmtId="0" fontId="15" fillId="0" borderId="4" xfId="0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36" fillId="0" borderId="4" xfId="0" applyFont="1" applyBorder="1"/>
    <xf numFmtId="0" fontId="36" fillId="0" borderId="4" xfId="0" applyFont="1" applyBorder="1" applyAlignment="1">
      <alignment horizontal="center"/>
    </xf>
    <xf numFmtId="0" fontId="15" fillId="0" borderId="5" xfId="0" applyFont="1" applyBorder="1"/>
    <xf numFmtId="0" fontId="1" fillId="0" borderId="0" xfId="0" applyFont="1" applyAlignment="1">
      <alignment horizontal="center"/>
    </xf>
    <xf numFmtId="0" fontId="33" fillId="26" borderId="13" xfId="0" applyFont="1" applyFill="1" applyBorder="1" applyAlignment="1">
      <alignment wrapText="1"/>
    </xf>
    <xf numFmtId="0" fontId="33" fillId="0" borderId="14" xfId="0" applyFont="1" applyBorder="1" applyAlignment="1">
      <alignment horizontal="center"/>
    </xf>
    <xf numFmtId="0" fontId="33" fillId="0" borderId="14" xfId="0" applyFont="1" applyBorder="1" applyAlignment="1">
      <alignment wrapText="1"/>
    </xf>
    <xf numFmtId="0" fontId="33" fillId="0" borderId="0" xfId="0" applyFont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3" xfId="0" applyFont="1" applyBorder="1" applyAlignment="1">
      <alignment wrapText="1"/>
    </xf>
    <xf numFmtId="0" fontId="29" fillId="22" borderId="0" xfId="0" applyFont="1" applyFill="1" applyAlignment="1">
      <alignment horizontal="center"/>
    </xf>
    <xf numFmtId="0" fontId="29" fillId="23" borderId="0" xfId="0" applyFont="1" applyFill="1" applyAlignment="1">
      <alignment horizontal="center"/>
    </xf>
    <xf numFmtId="0" fontId="32" fillId="27" borderId="0" xfId="0" applyFont="1" applyFill="1" applyAlignment="1">
      <alignment wrapText="1"/>
    </xf>
    <xf numFmtId="0" fontId="19" fillId="0" borderId="5" xfId="0" applyFont="1" applyBorder="1"/>
    <xf numFmtId="0" fontId="37" fillId="0" borderId="4" xfId="0" applyFont="1" applyBorder="1"/>
    <xf numFmtId="0" fontId="19" fillId="0" borderId="4" xfId="0" applyFont="1" applyBorder="1"/>
    <xf numFmtId="0" fontId="5" fillId="5" borderId="4" xfId="0" applyFont="1" applyFill="1" applyBorder="1" applyAlignment="1">
      <alignment horizontal="center" vertical="center"/>
    </xf>
    <xf numFmtId="0" fontId="38" fillId="12" borderId="6" xfId="0" applyFont="1" applyFill="1" applyBorder="1" applyAlignment="1">
      <alignment horizontal="center"/>
    </xf>
    <xf numFmtId="0" fontId="38" fillId="12" borderId="7" xfId="0" applyFont="1" applyFill="1" applyBorder="1"/>
    <xf numFmtId="0" fontId="38" fillId="12" borderId="7" xfId="0" applyFont="1" applyFill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19" fillId="0" borderId="7" xfId="0" applyFont="1" applyBorder="1"/>
    <xf numFmtId="0" fontId="19" fillId="0" borderId="7" xfId="0" applyFont="1" applyBorder="1" applyAlignment="1">
      <alignment horizontal="center"/>
    </xf>
    <xf numFmtId="164" fontId="19" fillId="0" borderId="7" xfId="0" applyNumberFormat="1" applyFont="1" applyBorder="1" applyAlignment="1">
      <alignment horizontal="center"/>
    </xf>
    <xf numFmtId="166" fontId="19" fillId="0" borderId="7" xfId="0" applyNumberFormat="1" applyFont="1" applyBorder="1" applyAlignment="1">
      <alignment horizontal="center"/>
    </xf>
    <xf numFmtId="0" fontId="39" fillId="0" borderId="7" xfId="0" applyFont="1" applyBorder="1"/>
    <xf numFmtId="0" fontId="40" fillId="0" borderId="7" xfId="0" applyFont="1" applyBorder="1"/>
    <xf numFmtId="0" fontId="19" fillId="11" borderId="7" xfId="0" applyFont="1" applyFill="1" applyBorder="1"/>
    <xf numFmtId="166" fontId="19" fillId="0" borderId="7" xfId="0" applyNumberFormat="1" applyFont="1" applyBorder="1"/>
    <xf numFmtId="166" fontId="41" fillId="0" borderId="7" xfId="0" applyNumberFormat="1" applyFont="1" applyBorder="1" applyAlignment="1">
      <alignment horizontal="center"/>
    </xf>
    <xf numFmtId="0" fontId="42" fillId="0" borderId="7" xfId="0" applyFont="1" applyBorder="1"/>
    <xf numFmtId="0" fontId="19" fillId="0" borderId="16" xfId="0" applyFont="1" applyBorder="1"/>
    <xf numFmtId="0" fontId="19" fillId="28" borderId="7" xfId="0" applyFont="1" applyFill="1" applyBorder="1"/>
    <xf numFmtId="0" fontId="19" fillId="0" borderId="9" xfId="0" applyFont="1" applyBorder="1"/>
    <xf numFmtId="0" fontId="19" fillId="0" borderId="17" xfId="0" applyFont="1" applyBorder="1" applyAlignment="1">
      <alignment horizontal="center"/>
    </xf>
    <xf numFmtId="0" fontId="19" fillId="0" borderId="17" xfId="0" applyFont="1" applyBorder="1"/>
    <xf numFmtId="0" fontId="19" fillId="0" borderId="6" xfId="0" applyFont="1" applyBorder="1"/>
    <xf numFmtId="0" fontId="1" fillId="29" borderId="5" xfId="0" applyFont="1" applyFill="1" applyBorder="1"/>
    <xf numFmtId="0" fontId="44" fillId="0" borderId="0" xfId="0" applyFont="1" applyAlignment="1">
      <alignment horizontal="center" vertical="center"/>
    </xf>
    <xf numFmtId="0" fontId="45" fillId="30" borderId="0" xfId="0" applyFont="1" applyFill="1" applyAlignment="1">
      <alignment horizontal="center" vertical="center"/>
    </xf>
    <xf numFmtId="0" fontId="45" fillId="30" borderId="0" xfId="0" applyFont="1" applyFill="1" applyAlignment="1">
      <alignment horizontal="center" vertical="center" wrapText="1"/>
    </xf>
    <xf numFmtId="0" fontId="5" fillId="23" borderId="5" xfId="0" applyFont="1" applyFill="1" applyBorder="1" applyAlignment="1">
      <alignment horizontal="center" vertical="center"/>
    </xf>
    <xf numFmtId="0" fontId="46" fillId="0" borderId="0" xfId="0" applyFont="1"/>
    <xf numFmtId="0" fontId="45" fillId="32" borderId="0" xfId="0" applyFont="1" applyFill="1" applyAlignment="1">
      <alignment horizontal="center" vertical="center" wrapText="1"/>
    </xf>
    <xf numFmtId="0" fontId="2" fillId="0" borderId="0" xfId="0" applyFont="1"/>
    <xf numFmtId="0" fontId="47" fillId="8" borderId="5" xfId="0" applyFont="1" applyFill="1" applyBorder="1" applyAlignment="1">
      <alignment horizontal="center"/>
    </xf>
    <xf numFmtId="0" fontId="2" fillId="33" borderId="5" xfId="0" applyFont="1" applyFill="1" applyBorder="1" applyAlignment="1">
      <alignment horizontal="right"/>
    </xf>
    <xf numFmtId="0" fontId="2" fillId="33" borderId="5" xfId="0" applyFont="1" applyFill="1" applyBorder="1" applyAlignment="1">
      <alignment horizontal="center"/>
    </xf>
    <xf numFmtId="1" fontId="2" fillId="33" borderId="5" xfId="0" applyNumberFormat="1" applyFont="1" applyFill="1" applyBorder="1" applyAlignment="1">
      <alignment horizontal="center"/>
    </xf>
    <xf numFmtId="10" fontId="2" fillId="33" borderId="5" xfId="0" applyNumberFormat="1" applyFont="1" applyFill="1" applyBorder="1" applyAlignment="1">
      <alignment horizontal="center"/>
    </xf>
    <xf numFmtId="0" fontId="2" fillId="34" borderId="5" xfId="0" applyFont="1" applyFill="1" applyBorder="1" applyAlignment="1">
      <alignment horizontal="center"/>
    </xf>
    <xf numFmtId="10" fontId="2" fillId="7" borderId="5" xfId="0" applyNumberFormat="1" applyFont="1" applyFill="1" applyBorder="1" applyAlignment="1">
      <alignment horizontal="center"/>
    </xf>
    <xf numFmtId="0" fontId="2" fillId="33" borderId="0" xfId="0" applyFont="1" applyFill="1"/>
    <xf numFmtId="0" fontId="2" fillId="35" borderId="5" xfId="0" applyFont="1" applyFill="1" applyBorder="1" applyAlignment="1">
      <alignment horizontal="right"/>
    </xf>
    <xf numFmtId="0" fontId="2" fillId="35" borderId="5" xfId="0" applyFont="1" applyFill="1" applyBorder="1" applyAlignment="1">
      <alignment horizontal="center"/>
    </xf>
    <xf numFmtId="1" fontId="2" fillId="35" borderId="5" xfId="0" applyNumberFormat="1" applyFont="1" applyFill="1" applyBorder="1" applyAlignment="1">
      <alignment horizontal="center"/>
    </xf>
    <xf numFmtId="10" fontId="2" fillId="35" borderId="5" xfId="0" applyNumberFormat="1" applyFont="1" applyFill="1" applyBorder="1" applyAlignment="1">
      <alignment horizontal="center"/>
    </xf>
    <xf numFmtId="0" fontId="2" fillId="35" borderId="0" xfId="0" applyFont="1" applyFill="1"/>
    <xf numFmtId="0" fontId="2" fillId="35" borderId="0" xfId="0" applyFont="1" applyFill="1" applyAlignment="1">
      <alignment horizontal="right"/>
    </xf>
    <xf numFmtId="0" fontId="2" fillId="3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/>
    <xf numFmtId="0" fontId="2" fillId="33" borderId="0" xfId="0" applyFont="1" applyFill="1" applyAlignment="1">
      <alignment horizontal="right"/>
    </xf>
    <xf numFmtId="0" fontId="48" fillId="4" borderId="0" xfId="0" applyFont="1" applyFill="1" applyAlignment="1">
      <alignment horizontal="center"/>
    </xf>
    <xf numFmtId="0" fontId="48" fillId="36" borderId="0" xfId="0" applyFont="1" applyFill="1" applyAlignment="1">
      <alignment horizontal="center"/>
    </xf>
    <xf numFmtId="0" fontId="49" fillId="12" borderId="0" xfId="0" applyFont="1" applyFill="1" applyAlignment="1">
      <alignment horizontal="center"/>
    </xf>
    <xf numFmtId="0" fontId="49" fillId="4" borderId="5" xfId="0" applyFont="1" applyFill="1" applyBorder="1" applyAlignment="1">
      <alignment horizontal="center"/>
    </xf>
    <xf numFmtId="0" fontId="49" fillId="2" borderId="5" xfId="0" applyFont="1" applyFill="1" applyBorder="1" applyAlignment="1">
      <alignment horizontal="center"/>
    </xf>
    <xf numFmtId="0" fontId="49" fillId="2" borderId="4" xfId="0" applyFont="1" applyFill="1" applyBorder="1" applyAlignment="1">
      <alignment horizontal="center"/>
    </xf>
    <xf numFmtId="0" fontId="49" fillId="12" borderId="5" xfId="0" applyFont="1" applyFill="1" applyBorder="1" applyAlignment="1">
      <alignment horizontal="center"/>
    </xf>
    <xf numFmtId="0" fontId="49" fillId="36" borderId="5" xfId="0" applyFont="1" applyFill="1" applyBorder="1" applyAlignment="1">
      <alignment horizontal="center"/>
    </xf>
    <xf numFmtId="0" fontId="14" fillId="23" borderId="5" xfId="0" applyFont="1" applyFill="1" applyBorder="1" applyAlignment="1">
      <alignment horizontal="center" vertical="center" wrapText="1"/>
    </xf>
    <xf numFmtId="0" fontId="14" fillId="23" borderId="5" xfId="0" applyFont="1" applyFill="1" applyBorder="1" applyAlignment="1">
      <alignment horizontal="left" vertical="center" wrapText="1"/>
    </xf>
    <xf numFmtId="0" fontId="14" fillId="38" borderId="5" xfId="0" applyFont="1" applyFill="1" applyBorder="1" applyAlignment="1">
      <alignment horizontal="left" vertical="center" wrapText="1"/>
    </xf>
    <xf numFmtId="0" fontId="14" fillId="4" borderId="5" xfId="0" applyFont="1" applyFill="1" applyBorder="1" applyAlignment="1">
      <alignment horizontal="left" vertical="center" wrapText="1"/>
    </xf>
    <xf numFmtId="0" fontId="14" fillId="11" borderId="5" xfId="0" applyFont="1" applyFill="1" applyBorder="1" applyAlignment="1">
      <alignment horizontal="left" vertical="center" wrapText="1"/>
    </xf>
    <xf numFmtId="0" fontId="14" fillId="14" borderId="5" xfId="0" applyFont="1" applyFill="1" applyBorder="1" applyAlignment="1">
      <alignment horizontal="left" vertical="center" wrapText="1"/>
    </xf>
    <xf numFmtId="0" fontId="14" fillId="10" borderId="5" xfId="0" applyFont="1" applyFill="1" applyBorder="1" applyAlignment="1">
      <alignment horizontal="left" vertical="center" wrapText="1"/>
    </xf>
    <xf numFmtId="0" fontId="14" fillId="39" borderId="5" xfId="0" applyFont="1" applyFill="1" applyBorder="1" applyAlignment="1">
      <alignment horizontal="left" vertical="center" wrapText="1"/>
    </xf>
    <xf numFmtId="0" fontId="14" fillId="25" borderId="5" xfId="0" applyFont="1" applyFill="1" applyBorder="1" applyAlignment="1">
      <alignment horizontal="left" vertical="center" wrapText="1"/>
    </xf>
    <xf numFmtId="0" fontId="14" fillId="40" borderId="5" xfId="0" applyFont="1" applyFill="1" applyBorder="1" applyAlignment="1">
      <alignment horizontal="left" vertical="center" wrapText="1"/>
    </xf>
    <xf numFmtId="0" fontId="14" fillId="41" borderId="5" xfId="0" applyFont="1" applyFill="1" applyBorder="1" applyAlignment="1">
      <alignment horizontal="left" vertical="center" wrapText="1"/>
    </xf>
    <xf numFmtId="0" fontId="14" fillId="28" borderId="5" xfId="0" applyFont="1" applyFill="1" applyBorder="1" applyAlignment="1">
      <alignment horizontal="left" vertical="center" wrapText="1"/>
    </xf>
    <xf numFmtId="0" fontId="14" fillId="29" borderId="5" xfId="0" applyFont="1" applyFill="1" applyBorder="1" applyAlignment="1">
      <alignment horizontal="left" vertical="center" wrapText="1"/>
    </xf>
    <xf numFmtId="0" fontId="14" fillId="36" borderId="5" xfId="0" applyFont="1" applyFill="1" applyBorder="1" applyAlignment="1">
      <alignment horizontal="left" vertical="center" wrapText="1"/>
    </xf>
    <xf numFmtId="0" fontId="51" fillId="5" borderId="5" xfId="0" applyFont="1" applyFill="1" applyBorder="1" applyAlignment="1">
      <alignment horizontal="center" vertical="center" wrapText="1"/>
    </xf>
    <xf numFmtId="0" fontId="49" fillId="0" borderId="5" xfId="0" applyFont="1" applyBorder="1" applyAlignment="1">
      <alignment horizontal="center"/>
    </xf>
    <xf numFmtId="0" fontId="52" fillId="0" borderId="5" xfId="0" applyFont="1" applyBorder="1" applyAlignment="1">
      <alignment horizontal="center" vertical="center" wrapText="1"/>
    </xf>
    <xf numFmtId="0" fontId="49" fillId="23" borderId="5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52" fillId="2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3" fillId="40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54" fillId="2" borderId="0" xfId="0" applyFont="1" applyFill="1"/>
    <xf numFmtId="0" fontId="1" fillId="2" borderId="21" xfId="0" applyFont="1" applyFill="1" applyBorder="1"/>
    <xf numFmtId="0" fontId="1" fillId="2" borderId="9" xfId="0" applyFont="1" applyFill="1" applyBorder="1"/>
    <xf numFmtId="0" fontId="53" fillId="40" borderId="7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26" fillId="41" borderId="5" xfId="0" applyFont="1" applyFill="1" applyBorder="1" applyAlignment="1">
      <alignment horizontal="left"/>
    </xf>
    <xf numFmtId="0" fontId="26" fillId="29" borderId="5" xfId="0" applyFont="1" applyFill="1" applyBorder="1" applyAlignment="1">
      <alignment horizontal="left"/>
    </xf>
    <xf numFmtId="0" fontId="26" fillId="28" borderId="5" xfId="0" applyFont="1" applyFill="1" applyBorder="1"/>
    <xf numFmtId="0" fontId="26" fillId="0" borderId="5" xfId="0" applyFont="1" applyBorder="1" applyAlignment="1">
      <alignment horizontal="left"/>
    </xf>
    <xf numFmtId="0" fontId="19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textRotation="90"/>
    </xf>
    <xf numFmtId="0" fontId="4" fillId="3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5" fillId="31" borderId="2" xfId="0" applyFont="1" applyFill="1" applyBorder="1" applyAlignment="1">
      <alignment horizontal="center" vertical="center"/>
    </xf>
    <xf numFmtId="0" fontId="45" fillId="37" borderId="2" xfId="0" applyFont="1" applyFill="1" applyBorder="1" applyAlignment="1">
      <alignment horizontal="center"/>
    </xf>
    <xf numFmtId="0" fontId="50" fillId="0" borderId="18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48" fillId="21" borderId="8" xfId="0" applyFont="1" applyFill="1" applyBorder="1" applyAlignment="1">
      <alignment horizontal="center" vertical="center"/>
    </xf>
    <xf numFmtId="0" fontId="51" fillId="5" borderId="2" xfId="0" applyFont="1" applyFill="1" applyBorder="1" applyAlignment="1">
      <alignment horizontal="center" vertic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0" fillId="0" borderId="0" xfId="0" applyAlignment="1"/>
    <xf numFmtId="0" fontId="22" fillId="5" borderId="5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18" fillId="19" borderId="5" xfId="0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20" borderId="5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37" fillId="12" borderId="7" xfId="0" applyFont="1" applyFill="1" applyBorder="1" applyAlignment="1">
      <alignment horizontal="center"/>
    </xf>
    <xf numFmtId="0" fontId="26" fillId="0" borderId="0" xfId="0" applyFont="1"/>
    <xf numFmtId="0" fontId="40" fillId="0" borderId="9" xfId="0" applyFont="1" applyBorder="1"/>
    <xf numFmtId="0" fontId="19" fillId="24" borderId="5" xfId="0" applyFont="1" applyFill="1" applyBorder="1" applyAlignment="1">
      <alignment horizontal="center"/>
    </xf>
    <xf numFmtId="0" fontId="19" fillId="24" borderId="0" xfId="0" applyFont="1" applyFill="1" applyAlignment="1">
      <alignment horizontal="center"/>
    </xf>
    <xf numFmtId="0" fontId="28" fillId="24" borderId="0" xfId="0" applyFont="1" applyFill="1" applyAlignment="1">
      <alignment horizontal="center"/>
    </xf>
    <xf numFmtId="0" fontId="28" fillId="24" borderId="5" xfId="0" applyFont="1" applyFill="1" applyBorder="1" applyAlignment="1">
      <alignment horizontal="center"/>
    </xf>
    <xf numFmtId="0" fontId="26" fillId="11" borderId="5" xfId="0" applyFont="1" applyFill="1" applyBorder="1"/>
    <xf numFmtId="0" fontId="26" fillId="25" borderId="5" xfId="0" applyFont="1" applyFill="1" applyBorder="1"/>
    <xf numFmtId="0" fontId="26" fillId="40" borderId="5" xfId="0" applyFont="1" applyFill="1" applyBorder="1"/>
    <xf numFmtId="0" fontId="26" fillId="14" borderId="5" xfId="0" applyFont="1" applyFill="1" applyBorder="1"/>
    <xf numFmtId="0" fontId="26" fillId="42" borderId="5" xfId="0" applyFont="1" applyFill="1" applyBorder="1"/>
    <xf numFmtId="0" fontId="26" fillId="39" borderId="5" xfId="0" applyFont="1" applyFill="1" applyBorder="1"/>
    <xf numFmtId="0" fontId="26" fillId="4" borderId="5" xfId="0" applyFont="1" applyFill="1" applyBorder="1"/>
    <xf numFmtId="0" fontId="26" fillId="38" borderId="5" xfId="0" applyFont="1" applyFill="1" applyBorder="1"/>
    <xf numFmtId="0" fontId="26" fillId="36" borderId="5" xfId="0" applyFont="1" applyFill="1" applyBorder="1"/>
    <xf numFmtId="0" fontId="6" fillId="0" borderId="19" xfId="0" applyFont="1" applyBorder="1" applyAlignment="1"/>
    <xf numFmtId="0" fontId="6" fillId="0" borderId="20" xfId="0" applyFont="1" applyBorder="1" applyAlignment="1"/>
    <xf numFmtId="0" fontId="6" fillId="0" borderId="12" xfId="0" applyFont="1" applyBorder="1" applyAlignment="1"/>
    <xf numFmtId="0" fontId="6" fillId="0" borderId="6" xfId="0" applyFont="1" applyBorder="1" applyAlignment="1"/>
    <xf numFmtId="0" fontId="50" fillId="21" borderId="8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1352550</xdr:colOff>
      <xdr:row>0</xdr:row>
      <xdr:rowOff>85725</xdr:rowOff>
    </xdr:from>
    <xdr:ext cx="3448050" cy="14192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iro.com/app/board/uXjVN8nv4dE=/?share_link_id=173452238104" TargetMode="External"/><Relationship Id="rId2" Type="http://schemas.openxmlformats.org/officeDocument/2006/relationships/hyperlink" Target="https://drive.google.com/file/d/1Ub-t77Pqam_kgobi8SU8_i515cKwQYQD/view?usp=sharing" TargetMode="External"/><Relationship Id="rId1" Type="http://schemas.openxmlformats.org/officeDocument/2006/relationships/hyperlink" Target="https://miro.com/app/board/uXjVNYnyrRc=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docs.google.com/spreadsheets/d/1EmdzqqLDQq3NUDaWeZAMSTVkLyGxQ2l7VQWIW2EccU8/edit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miro.com/app/board/uXjVKPWvK3U=/?moveToWidget=3458764579063111956&amp;cot=14" TargetMode="External"/><Relationship Id="rId18" Type="http://schemas.openxmlformats.org/officeDocument/2006/relationships/hyperlink" Target="https://miro.com/app/board/uXjVKPWvK3U=/?moveToWidget=3458764586319489641&amp;cot=14" TargetMode="External"/><Relationship Id="rId26" Type="http://schemas.openxmlformats.org/officeDocument/2006/relationships/hyperlink" Target="https://drive.google.com/file/d/1x0Hgwc2FzlH3qoemRg8Diippi5RuGKV2/view?usp=sharing" TargetMode="External"/><Relationship Id="rId21" Type="http://schemas.openxmlformats.org/officeDocument/2006/relationships/hyperlink" Target="https://drive.google.com/file/d/184wmGyqvhQCKah_5Dar8xrkSeAoHvfUL/view?usp=sharing" TargetMode="External"/><Relationship Id="rId34" Type="http://schemas.openxmlformats.org/officeDocument/2006/relationships/hyperlink" Target="https://drive.google.com/file/d/1mepq8Oo4HnXQ5MUCwPND9hRj7NcUCkN-/view?usp=drive_link" TargetMode="External"/><Relationship Id="rId7" Type="http://schemas.openxmlformats.org/officeDocument/2006/relationships/hyperlink" Target="https://miro.com/app/board/uXjVKPWvK3U=/?moveToWidget=3458764586317267883&amp;cot=14" TargetMode="External"/><Relationship Id="rId12" Type="http://schemas.openxmlformats.org/officeDocument/2006/relationships/hyperlink" Target="https://miro.com/app/board/uXjVKPWvK3U=/?moveToWidget=3458764586318075684&amp;cot=14" TargetMode="External"/><Relationship Id="rId17" Type="http://schemas.openxmlformats.org/officeDocument/2006/relationships/hyperlink" Target="https://miro.com/app/board/uXjVKPWvK3U=/?moveToWidget=3458764586594636346&amp;cot=14" TargetMode="External"/><Relationship Id="rId25" Type="http://schemas.openxmlformats.org/officeDocument/2006/relationships/hyperlink" Target="https://miro.com/app/board/uXjVKPWvK3U=/?moveToWidget=3458764586073038212&amp;cot=14" TargetMode="External"/><Relationship Id="rId33" Type="http://schemas.openxmlformats.org/officeDocument/2006/relationships/hyperlink" Target="https://drive.google.com/file/d/1KtePp0Yha7vwqdhPY81veMgp1JKtwcaL/view?usp=sharing" TargetMode="External"/><Relationship Id="rId2" Type="http://schemas.openxmlformats.org/officeDocument/2006/relationships/hyperlink" Target="http://draw.io/" TargetMode="External"/><Relationship Id="rId16" Type="http://schemas.openxmlformats.org/officeDocument/2006/relationships/hyperlink" Target="https://miro.com/app/board/uXjVKPWvK3U=/?moveToWidget=3458764586570541715&amp;cot=14" TargetMode="External"/><Relationship Id="rId20" Type="http://schemas.openxmlformats.org/officeDocument/2006/relationships/hyperlink" Target="https://miro.com/app/board/uXjVKPWvK3U=/?moveToWidget=3458764586088471960&amp;cot=14" TargetMode="External"/><Relationship Id="rId29" Type="http://schemas.openxmlformats.org/officeDocument/2006/relationships/hyperlink" Target="https://miro.com/app/board/uXjVKPWvK3U=/?moveToWidget=3458764586088471963&amp;cot=14" TargetMode="External"/><Relationship Id="rId1" Type="http://schemas.openxmlformats.org/officeDocument/2006/relationships/hyperlink" Target="https://miro.com/app/board/uXjVKPWvK3U=/" TargetMode="External"/><Relationship Id="rId6" Type="http://schemas.openxmlformats.org/officeDocument/2006/relationships/hyperlink" Target="https://miro.com/app/board/uXjVKPWvK3U=/?moveToWidget=3458764582365179564&amp;cot=14" TargetMode="External"/><Relationship Id="rId11" Type="http://schemas.openxmlformats.org/officeDocument/2006/relationships/hyperlink" Target="https://miro.com/app/board/uXjVKPWvK3U=/?moveToWidget=3458764586318075683&amp;cot=14" TargetMode="External"/><Relationship Id="rId24" Type="http://schemas.openxmlformats.org/officeDocument/2006/relationships/hyperlink" Target="https://miro.com/app/board/uXjVKPWvK3U=/?moveToWidget=3458764576096065598&amp;cot=14" TargetMode="External"/><Relationship Id="rId32" Type="http://schemas.openxmlformats.org/officeDocument/2006/relationships/hyperlink" Target="https://drive.google.com/file/d/12W-8iHql-mWD_RWbfxKOcbGsjGMLDk11/view?usp=sharing" TargetMode="External"/><Relationship Id="rId37" Type="http://schemas.openxmlformats.org/officeDocument/2006/relationships/hyperlink" Target="https://miro.com/app/board/uXjVKPWvK3U=/?moveToWidget=3458764586088471961&amp;cot=14" TargetMode="External"/><Relationship Id="rId5" Type="http://schemas.openxmlformats.org/officeDocument/2006/relationships/hyperlink" Target="https://drive.google.com/file/d/14QZR3aRgjA0A9V9nndwpCKgju1STPkb_/view?usp=drive_link" TargetMode="External"/><Relationship Id="rId15" Type="http://schemas.openxmlformats.org/officeDocument/2006/relationships/hyperlink" Target="https://miro.com/app/board/uXjVKPWvK3U=/?moveToWidget=3458764579063196360&amp;cot=14" TargetMode="External"/><Relationship Id="rId23" Type="http://schemas.openxmlformats.org/officeDocument/2006/relationships/hyperlink" Target="https://drive.google.com/drive/folders/1VgLzUHW8kxy_3rV-fG41GBblVB_vnDmK?usp=drive_link" TargetMode="External"/><Relationship Id="rId28" Type="http://schemas.openxmlformats.org/officeDocument/2006/relationships/hyperlink" Target="https://drive.google.com/file/d/184wmGyqvhQCKah_5Dar8xrkSeAoHvfUL/view?usp=sharing" TargetMode="External"/><Relationship Id="rId36" Type="http://schemas.openxmlformats.org/officeDocument/2006/relationships/hyperlink" Target="https://drive.google.com/file/d/1UIyHEfRqukZFghKcMqMPksU4XsDCisB5/view?usp=drive_link" TargetMode="External"/><Relationship Id="rId10" Type="http://schemas.openxmlformats.org/officeDocument/2006/relationships/hyperlink" Target="https://miro.com/app/board/uXjVKPWvK3U=/?moveToWidget=3458764586317672062&amp;cot=14" TargetMode="External"/><Relationship Id="rId19" Type="http://schemas.openxmlformats.org/officeDocument/2006/relationships/hyperlink" Target="https://drive.google.com/file/d/1kSbQC4vKYj1A8ev3p78eV8F1gMZnBg3-/view?usp=sharing" TargetMode="External"/><Relationship Id="rId31" Type="http://schemas.openxmlformats.org/officeDocument/2006/relationships/hyperlink" Target="https://drive.google.com/file/d/1ffz2iTKkT6keVSpgDme-GQ8KgL7syr8S/view?usp=sharing" TargetMode="External"/><Relationship Id="rId4" Type="http://schemas.openxmlformats.org/officeDocument/2006/relationships/hyperlink" Target="https://miro.com/app/board/uXjVKPWvK3U=/?moveToWidget=3458764579958093439&amp;cot=14" TargetMode="External"/><Relationship Id="rId9" Type="http://schemas.openxmlformats.org/officeDocument/2006/relationships/hyperlink" Target="https://miro.com/app/board/uXjVKPWvK3U=/?moveToWidget=3458764587029344473&amp;cot=14" TargetMode="External"/><Relationship Id="rId14" Type="http://schemas.openxmlformats.org/officeDocument/2006/relationships/hyperlink" Target="https://miro.com/app/board/uXjVKPWvK3U=/?moveToWidget=3458764583147810500&amp;cot=10" TargetMode="External"/><Relationship Id="rId22" Type="http://schemas.openxmlformats.org/officeDocument/2006/relationships/hyperlink" Target="https://miro.com/app/board/uXjVKPWvK3U=/?moveToWidget=3458764586088471962&amp;cot=14" TargetMode="External"/><Relationship Id="rId27" Type="http://schemas.openxmlformats.org/officeDocument/2006/relationships/hyperlink" Target="https://miro.com/app/board/uXjVKPWvK3U=/?moveToWidget=3458764586088471964&amp;cot=14" TargetMode="External"/><Relationship Id="rId30" Type="http://schemas.openxmlformats.org/officeDocument/2006/relationships/hyperlink" Target="https://drive.google.com/file/d/1CONIUTarYijrwp_oSV2qUqQB-vx9J5OS/view?usp=sharing" TargetMode="External"/><Relationship Id="rId35" Type="http://schemas.openxmlformats.org/officeDocument/2006/relationships/hyperlink" Target="https://miro.com/app/board/uXjVKPWvK3U=/?moveToWidget=3458764586042216918&amp;cot=14" TargetMode="External"/><Relationship Id="rId8" Type="http://schemas.openxmlformats.org/officeDocument/2006/relationships/hyperlink" Target="https://miro.com/app/board/uXjVKPWvK3U=/?moveToWidget=3458764586317267884&amp;cot=14" TargetMode="External"/><Relationship Id="rId3" Type="http://schemas.openxmlformats.org/officeDocument/2006/relationships/hyperlink" Target="https://miro.com/app/board/uXjVKPWvK3U=/?moveToWidget=3458764579018182493&amp;cot=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workbookViewId="0"/>
  </sheetViews>
  <sheetFormatPr defaultColWidth="11.25" defaultRowHeight="15.75" customHeight="1"/>
  <cols>
    <col min="1" max="1" width="6.75" customWidth="1"/>
    <col min="2" max="2" width="36" customWidth="1"/>
    <col min="3" max="3" width="40" customWidth="1"/>
  </cols>
  <sheetData>
    <row r="1" spans="1:26" ht="127.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3"/>
      <c r="B2" s="9" t="s">
        <v>0</v>
      </c>
      <c r="C2" s="9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5"/>
      <c r="B3" s="16" t="s">
        <v>2</v>
      </c>
      <c r="C3" s="17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6"/>
      <c r="B4" s="19"/>
      <c r="C4" s="19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6"/>
      <c r="B5" s="9" t="s">
        <v>4</v>
      </c>
      <c r="C5" s="9" t="s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5"/>
      <c r="B6" s="16" t="s">
        <v>5</v>
      </c>
      <c r="C6" s="27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5"/>
      <c r="B7" s="16" t="s">
        <v>7</v>
      </c>
      <c r="C7" s="17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5"/>
      <c r="B8" s="16" t="s">
        <v>9</v>
      </c>
      <c r="C8" s="17" t="s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9"/>
      <c r="B9" s="16"/>
      <c r="C9" s="1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9"/>
      <c r="B10" s="9" t="s">
        <v>11</v>
      </c>
      <c r="C10" s="9" t="s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9"/>
      <c r="B11" s="16" t="s">
        <v>12</v>
      </c>
      <c r="C11" s="40" t="s">
        <v>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9"/>
      <c r="B12" s="16" t="s">
        <v>14</v>
      </c>
      <c r="C12" s="40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9"/>
      <c r="B13" s="16" t="s">
        <v>15</v>
      </c>
      <c r="C13" s="40" t="s">
        <v>15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9" t="s">
        <v>16</v>
      </c>
      <c r="C15" s="9" t="s"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45" t="s">
        <v>17</v>
      </c>
      <c r="C16" s="40" t="s">
        <v>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45" t="s">
        <v>19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45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ef="C3" location="Dashboard_Ex!A1" display="Dashboard_Ex" xr:uid="{00000000-0004-0000-0000-000000000000}"/>
    <hyperlink ref="C6" location="BD_Onboarding!A1" display="BD_Onboarding" xr:uid="{00000000-0004-0000-0000-000001000000}"/>
    <hyperlink ref="C7" location="BD_Operaciones!A1" display="BD_Operaciones" xr:uid="{00000000-0004-0000-0000-000002000000}"/>
    <hyperlink ref="C8" location="BD_PostVenta!A1" display="BD_PostVenta" xr:uid="{00000000-0004-0000-0000-000003000000}"/>
    <hyperlink ref="C11" r:id="rId1" xr:uid="{00000000-0004-0000-0000-000004000000}"/>
    <hyperlink ref="C12" r:id="rId2" xr:uid="{00000000-0004-0000-0000-000005000000}"/>
    <hyperlink ref="C13" r:id="rId3" xr:uid="{00000000-0004-0000-0000-000006000000}"/>
    <hyperlink ref="C16" r:id="rId4" location="gid=0" xr:uid="{00000000-0004-0000-0000-000007000000}"/>
  </hyperlinks>
  <pageMargins left="0" right="0" top="0" bottom="0" header="0" footer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8"/>
  <sheetViews>
    <sheetView workbookViewId="0"/>
  </sheetViews>
  <sheetFormatPr defaultColWidth="11.25" defaultRowHeight="15.75" customHeight="1"/>
  <cols>
    <col min="1" max="1" width="3.875" customWidth="1"/>
    <col min="2" max="2" width="18.625" customWidth="1"/>
    <col min="3" max="4" width="13" customWidth="1"/>
    <col min="5" max="5" width="6.75" customWidth="1"/>
    <col min="6" max="6" width="8.5" customWidth="1"/>
    <col min="7" max="14" width="6.75" customWidth="1"/>
  </cols>
  <sheetData>
    <row r="1" spans="1:14">
      <c r="D1" s="1"/>
      <c r="G1" s="1"/>
      <c r="H1" s="1"/>
      <c r="I1" s="1"/>
      <c r="J1" s="1"/>
      <c r="K1" s="1"/>
      <c r="L1" s="1"/>
    </row>
    <row r="2" spans="1:14">
      <c r="B2" s="241" t="s">
        <v>21</v>
      </c>
      <c r="C2" s="253"/>
      <c r="D2" s="253"/>
      <c r="E2" s="254"/>
      <c r="G2" s="1"/>
      <c r="H2" s="1"/>
      <c r="I2" s="1"/>
      <c r="J2" s="1"/>
      <c r="K2" s="1"/>
      <c r="L2" s="1"/>
    </row>
    <row r="3" spans="1:14">
      <c r="B3" s="7" t="s">
        <v>22</v>
      </c>
      <c r="C3" s="8" t="s">
        <v>23</v>
      </c>
      <c r="D3" s="8" t="s">
        <v>24</v>
      </c>
      <c r="E3" s="8" t="s">
        <v>25</v>
      </c>
      <c r="G3" s="1"/>
      <c r="H3" s="1"/>
      <c r="I3" s="1"/>
      <c r="J3" s="1"/>
      <c r="K3" s="1"/>
      <c r="L3" s="1"/>
    </row>
    <row r="4" spans="1:14">
      <c r="B4" s="12" t="s">
        <v>26</v>
      </c>
      <c r="C4" s="12">
        <f>Dashboard_Control!D17</f>
        <v>73</v>
      </c>
      <c r="D4" s="12">
        <v>31</v>
      </c>
      <c r="E4" s="18">
        <f>D4/C4</f>
        <v>0.42465753424657532</v>
      </c>
      <c r="G4" s="1"/>
      <c r="H4" s="1"/>
      <c r="I4" s="1"/>
      <c r="J4" s="1"/>
      <c r="K4" s="1"/>
      <c r="L4" s="1"/>
    </row>
    <row r="5" spans="1:14">
      <c r="B5" s="20" t="s">
        <v>14</v>
      </c>
      <c r="C5" s="20">
        <f>Dashboard_Control!D23</f>
        <v>66</v>
      </c>
      <c r="D5" s="20">
        <v>0</v>
      </c>
      <c r="E5" s="20">
        <v>0</v>
      </c>
      <c r="G5" s="1"/>
      <c r="H5" s="1"/>
      <c r="I5" s="1"/>
      <c r="J5" s="1"/>
      <c r="K5" s="1"/>
      <c r="L5" s="1"/>
    </row>
    <row r="6" spans="1:14">
      <c r="B6" s="12" t="s">
        <v>15</v>
      </c>
      <c r="C6" s="12" t="e">
        <f>Dashboard_Control!D29</f>
        <v>#REF!</v>
      </c>
      <c r="D6" s="12">
        <v>0</v>
      </c>
      <c r="E6" s="12">
        <v>0</v>
      </c>
      <c r="G6" s="1"/>
      <c r="H6" s="1"/>
      <c r="I6" s="1"/>
      <c r="J6" s="1"/>
      <c r="K6" s="1"/>
      <c r="L6" s="1"/>
    </row>
    <row r="7" spans="1:14">
      <c r="B7" s="28" t="s">
        <v>27</v>
      </c>
      <c r="C7" s="32" t="e">
        <f t="shared" ref="C7:E7" si="0">SUM(C4:C6)</f>
        <v>#REF!</v>
      </c>
      <c r="D7" s="32">
        <f t="shared" si="0"/>
        <v>31</v>
      </c>
      <c r="E7" s="33">
        <f t="shared" si="0"/>
        <v>0.42465753424657532</v>
      </c>
      <c r="G7" s="1"/>
      <c r="H7" s="1"/>
      <c r="I7" s="1"/>
      <c r="J7" s="1"/>
      <c r="K7" s="1"/>
      <c r="L7" s="1"/>
    </row>
    <row r="8" spans="1:14">
      <c r="D8" s="1"/>
      <c r="G8" s="1"/>
      <c r="H8" s="1"/>
      <c r="I8" s="1"/>
      <c r="J8" s="1"/>
      <c r="K8" s="1"/>
      <c r="L8" s="1"/>
    </row>
    <row r="9" spans="1:14">
      <c r="D9" s="1"/>
      <c r="G9" s="1"/>
      <c r="H9" s="1"/>
      <c r="I9" s="1"/>
      <c r="J9" s="1"/>
      <c r="K9" s="1"/>
      <c r="L9" s="1"/>
    </row>
    <row r="10" spans="1:14">
      <c r="A10" s="36"/>
      <c r="B10" s="241" t="s">
        <v>28</v>
      </c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4"/>
    </row>
    <row r="11" spans="1:14">
      <c r="A11" s="38"/>
      <c r="B11" s="7" t="s">
        <v>22</v>
      </c>
      <c r="C11" s="7" t="s">
        <v>4</v>
      </c>
      <c r="D11" s="8" t="s">
        <v>29</v>
      </c>
      <c r="E11" s="242" t="s">
        <v>30</v>
      </c>
      <c r="F11" s="254"/>
      <c r="G11" s="243" t="s">
        <v>31</v>
      </c>
      <c r="H11" s="254"/>
      <c r="I11" s="243" t="s">
        <v>32</v>
      </c>
      <c r="J11" s="254"/>
      <c r="K11" s="242" t="s">
        <v>33</v>
      </c>
      <c r="L11" s="254"/>
      <c r="M11" s="242" t="s">
        <v>34</v>
      </c>
      <c r="N11" s="254"/>
    </row>
    <row r="12" spans="1:14">
      <c r="A12" s="11"/>
      <c r="B12" s="12" t="s">
        <v>26</v>
      </c>
      <c r="C12" s="12">
        <f>Dashboard_Control!D17</f>
        <v>73</v>
      </c>
      <c r="D12" s="39">
        <f>Dashboard_Control!G17</f>
        <v>294</v>
      </c>
      <c r="E12" s="39">
        <v>100</v>
      </c>
      <c r="F12" s="18">
        <f t="shared" ref="F12:F14" si="1">E12/D12</f>
        <v>0.3401360544217687</v>
      </c>
      <c r="G12" s="39">
        <v>21</v>
      </c>
      <c r="H12" s="18">
        <f t="shared" ref="H12:H14" si="2">G12/D12</f>
        <v>7.1428571428571425E-2</v>
      </c>
      <c r="I12" s="39">
        <v>21</v>
      </c>
      <c r="J12" s="18">
        <f t="shared" ref="J12:J14" si="3">I12/D12</f>
        <v>7.1428571428571425E-2</v>
      </c>
      <c r="K12" s="12">
        <v>0</v>
      </c>
      <c r="L12" s="18">
        <f t="shared" ref="L12:L14" si="4">K12/D12</f>
        <v>0</v>
      </c>
      <c r="M12" s="12">
        <v>0</v>
      </c>
      <c r="N12" s="18">
        <f t="shared" ref="N12:N14" si="5">M12/D12</f>
        <v>0</v>
      </c>
    </row>
    <row r="13" spans="1:14">
      <c r="A13" s="11"/>
      <c r="B13" s="20" t="s">
        <v>14</v>
      </c>
      <c r="C13" s="20">
        <f>Dashboard_Control!D23</f>
        <v>66</v>
      </c>
      <c r="D13" s="41">
        <f>Dashboard_Control!G23</f>
        <v>3080</v>
      </c>
      <c r="E13" s="20">
        <f>Dashboard_Control!H23</f>
        <v>65</v>
      </c>
      <c r="F13" s="18">
        <f t="shared" si="1"/>
        <v>2.1103896103896104E-2</v>
      </c>
      <c r="G13" s="20">
        <v>0</v>
      </c>
      <c r="H13" s="18">
        <f t="shared" si="2"/>
        <v>0</v>
      </c>
      <c r="I13" s="20">
        <v>0</v>
      </c>
      <c r="J13" s="18">
        <f t="shared" si="3"/>
        <v>0</v>
      </c>
      <c r="K13" s="20">
        <v>0</v>
      </c>
      <c r="L13" s="18">
        <f t="shared" si="4"/>
        <v>0</v>
      </c>
      <c r="M13" s="20">
        <v>0</v>
      </c>
      <c r="N13" s="18">
        <f t="shared" si="5"/>
        <v>0</v>
      </c>
    </row>
    <row r="14" spans="1:14">
      <c r="A14" s="11"/>
      <c r="B14" s="12" t="s">
        <v>15</v>
      </c>
      <c r="C14" s="12" t="e">
        <f>Dashboard_Control!D29</f>
        <v>#REF!</v>
      </c>
      <c r="D14" s="39">
        <f>Dashboard_Control!G29</f>
        <v>0</v>
      </c>
      <c r="E14" s="12">
        <v>0</v>
      </c>
      <c r="F14" s="18" t="e">
        <f t="shared" si="1"/>
        <v>#DIV/0!</v>
      </c>
      <c r="G14" s="12">
        <v>0</v>
      </c>
      <c r="H14" s="18" t="e">
        <f t="shared" si="2"/>
        <v>#DIV/0!</v>
      </c>
      <c r="I14" s="12">
        <v>0</v>
      </c>
      <c r="J14" s="18" t="e">
        <f t="shared" si="3"/>
        <v>#DIV/0!</v>
      </c>
      <c r="K14" s="12">
        <v>0</v>
      </c>
      <c r="L14" s="18" t="e">
        <f t="shared" si="4"/>
        <v>#DIV/0!</v>
      </c>
      <c r="M14" s="12">
        <v>0</v>
      </c>
      <c r="N14" s="18" t="e">
        <f t="shared" si="5"/>
        <v>#DIV/0!</v>
      </c>
    </row>
    <row r="15" spans="1:14">
      <c r="A15" s="11"/>
      <c r="B15" s="20" t="s">
        <v>35</v>
      </c>
      <c r="C15" s="20" t="s">
        <v>36</v>
      </c>
      <c r="D15" s="41" t="s">
        <v>36</v>
      </c>
      <c r="E15" s="20">
        <v>149</v>
      </c>
      <c r="F15" s="12" t="s">
        <v>37</v>
      </c>
      <c r="G15" s="20" t="s">
        <v>36</v>
      </c>
      <c r="H15" s="12" t="s">
        <v>37</v>
      </c>
      <c r="I15" s="20" t="s">
        <v>36</v>
      </c>
      <c r="J15" s="12" t="s">
        <v>37</v>
      </c>
      <c r="K15" s="20" t="s">
        <v>36</v>
      </c>
      <c r="L15" s="12" t="s">
        <v>37</v>
      </c>
      <c r="M15" s="20" t="s">
        <v>36</v>
      </c>
      <c r="N15" s="12" t="s">
        <v>37</v>
      </c>
    </row>
    <row r="16" spans="1:14">
      <c r="A16" s="11"/>
      <c r="B16" s="28" t="s">
        <v>27</v>
      </c>
      <c r="C16" s="32" t="e">
        <f t="shared" ref="C16:E16" si="6">SUM(C12:C15)</f>
        <v>#REF!</v>
      </c>
      <c r="D16" s="46">
        <f t="shared" si="6"/>
        <v>3374</v>
      </c>
      <c r="E16" s="46">
        <f t="shared" si="6"/>
        <v>314</v>
      </c>
      <c r="F16" s="33">
        <f>E16/D16</f>
        <v>9.3064611736810909E-2</v>
      </c>
      <c r="G16" s="46">
        <f>SUM(G12:G15)</f>
        <v>21</v>
      </c>
      <c r="H16" s="33">
        <f>G16/D16</f>
        <v>6.2240663900414933E-3</v>
      </c>
      <c r="I16" s="46">
        <f>SUM(I12:I15)</f>
        <v>21</v>
      </c>
      <c r="J16" s="33">
        <f>I16/D16</f>
        <v>6.2240663900414933E-3</v>
      </c>
      <c r="K16" s="32">
        <f>SUM(K12:K15)</f>
        <v>0</v>
      </c>
      <c r="L16" s="33">
        <f>K16/D16</f>
        <v>0</v>
      </c>
      <c r="M16" s="32">
        <f>SUM(M12:M15)</f>
        <v>0</v>
      </c>
      <c r="N16" s="33">
        <f>M16/D16</f>
        <v>0</v>
      </c>
    </row>
    <row r="18" spans="1:8" hidden="1">
      <c r="C18" s="48" t="s">
        <v>38</v>
      </c>
      <c r="D18" s="48" t="s">
        <v>39</v>
      </c>
      <c r="E18" s="48" t="s">
        <v>40</v>
      </c>
      <c r="F18" s="48" t="s">
        <v>41</v>
      </c>
      <c r="G18" s="11" t="s">
        <v>42</v>
      </c>
    </row>
    <row r="19" spans="1:8" hidden="1">
      <c r="B19" s="49" t="s">
        <v>43</v>
      </c>
      <c r="C19" s="50">
        <v>76</v>
      </c>
      <c r="D19" s="51">
        <f>C13</f>
        <v>66</v>
      </c>
      <c r="E19" s="51" t="e">
        <f>C14</f>
        <v>#REF!</v>
      </c>
      <c r="F19" s="50">
        <v>54</v>
      </c>
      <c r="G19" s="50">
        <v>24</v>
      </c>
    </row>
    <row r="20" spans="1:8" hidden="1">
      <c r="B20" s="49" t="s">
        <v>44</v>
      </c>
      <c r="C20" s="50">
        <v>273</v>
      </c>
      <c r="D20" s="52">
        <f>D13</f>
        <v>3080</v>
      </c>
      <c r="E20" s="52">
        <f>D14</f>
        <v>0</v>
      </c>
      <c r="F20" s="50"/>
    </row>
    <row r="21" spans="1:8" hidden="1">
      <c r="B21" s="48" t="s">
        <v>45</v>
      </c>
    </row>
    <row r="22" spans="1:8" hidden="1">
      <c r="B22" s="48" t="s">
        <v>46</v>
      </c>
    </row>
    <row r="23" spans="1:8" hidden="1">
      <c r="A23" s="240" t="s">
        <v>47</v>
      </c>
      <c r="B23" s="48" t="s">
        <v>30</v>
      </c>
    </row>
    <row r="24" spans="1:8" hidden="1">
      <c r="A24" s="255"/>
      <c r="B24" s="48" t="s">
        <v>48</v>
      </c>
      <c r="G24" s="1"/>
      <c r="H24" s="1"/>
    </row>
    <row r="25" spans="1:8" hidden="1">
      <c r="A25" s="255"/>
      <c r="B25" s="48" t="s">
        <v>49</v>
      </c>
    </row>
    <row r="26" spans="1:8" hidden="1">
      <c r="A26" s="255"/>
      <c r="B26" s="48" t="s">
        <v>33</v>
      </c>
    </row>
    <row r="27" spans="1:8" hidden="1">
      <c r="A27" s="255"/>
      <c r="B27" s="48" t="s">
        <v>34</v>
      </c>
      <c r="C27" s="11" t="s">
        <v>50</v>
      </c>
    </row>
    <row r="28" spans="1:8" hidden="1">
      <c r="B28" s="48" t="s">
        <v>51</v>
      </c>
      <c r="C28" s="53" t="s">
        <v>52</v>
      </c>
      <c r="D28" s="53">
        <v>800</v>
      </c>
      <c r="E28" s="53">
        <v>350</v>
      </c>
      <c r="F28" s="1">
        <v>1</v>
      </c>
    </row>
    <row r="29" spans="1:8" hidden="1">
      <c r="B29" s="11" t="s">
        <v>53</v>
      </c>
      <c r="C29" s="11">
        <v>8</v>
      </c>
      <c r="D29" s="11">
        <v>19</v>
      </c>
    </row>
    <row r="30" spans="1:8" hidden="1"/>
    <row r="31" spans="1:8" hidden="1"/>
    <row r="33" spans="2:5">
      <c r="B33" s="241" t="s">
        <v>54</v>
      </c>
      <c r="C33" s="253"/>
      <c r="D33" s="253"/>
      <c r="E33" s="254"/>
    </row>
    <row r="34" spans="2:5">
      <c r="B34" s="7" t="s">
        <v>22</v>
      </c>
      <c r="C34" s="8" t="s">
        <v>55</v>
      </c>
      <c r="D34" s="8" t="s">
        <v>56</v>
      </c>
      <c r="E34" s="8" t="s">
        <v>25</v>
      </c>
    </row>
    <row r="35" spans="2:5">
      <c r="B35" s="12" t="s">
        <v>26</v>
      </c>
      <c r="C35" s="12">
        <v>235</v>
      </c>
      <c r="D35" s="12">
        <v>5</v>
      </c>
      <c r="E35" s="18">
        <f>D35/C35</f>
        <v>2.1276595744680851E-2</v>
      </c>
    </row>
    <row r="36" spans="2:5">
      <c r="B36" s="20" t="s">
        <v>14</v>
      </c>
      <c r="C36" s="20">
        <f>Dashboard_Control!D53</f>
        <v>0</v>
      </c>
      <c r="D36" s="20">
        <v>0</v>
      </c>
      <c r="E36" s="20">
        <v>0</v>
      </c>
    </row>
    <row r="37" spans="2:5">
      <c r="B37" s="12" t="s">
        <v>15</v>
      </c>
      <c r="C37" s="12">
        <f>Dashboard_Control!D59</f>
        <v>0</v>
      </c>
      <c r="D37" s="12">
        <v>0</v>
      </c>
      <c r="E37" s="12">
        <v>0</v>
      </c>
    </row>
    <row r="38" spans="2:5">
      <c r="B38" s="28" t="s">
        <v>27</v>
      </c>
      <c r="C38" s="32">
        <f t="shared" ref="C38:E38" si="7">SUM(C35:C37)</f>
        <v>235</v>
      </c>
      <c r="D38" s="32">
        <f t="shared" si="7"/>
        <v>5</v>
      </c>
      <c r="E38" s="33">
        <f t="shared" si="7"/>
        <v>2.1276595744680851E-2</v>
      </c>
    </row>
  </sheetData>
  <mergeCells count="9">
    <mergeCell ref="A23:A27"/>
    <mergeCell ref="B33:E33"/>
    <mergeCell ref="B2:E2"/>
    <mergeCell ref="B10:N10"/>
    <mergeCell ref="E11:F11"/>
    <mergeCell ref="G11:H11"/>
    <mergeCell ref="I11:J11"/>
    <mergeCell ref="K11:L11"/>
    <mergeCell ref="M11:N11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E1062"/>
  <sheetViews>
    <sheetView topLeftCell="A71" workbookViewId="0"/>
  </sheetViews>
  <sheetFormatPr defaultColWidth="11.25" defaultRowHeight="15.75" customHeight="1"/>
  <cols>
    <col min="1" max="2" width="11.25" style="4"/>
    <col min="3" max="3" width="53" style="5" customWidth="1"/>
    <col min="4" max="4" width="47.875" customWidth="1"/>
    <col min="5" max="5" width="33.5" customWidth="1"/>
    <col min="6" max="6" width="26.5" customWidth="1"/>
    <col min="7" max="7" width="38.125" customWidth="1"/>
    <col min="8" max="8" width="23.875" customWidth="1"/>
    <col min="9" max="10" width="15.375" customWidth="1"/>
    <col min="11" max="11" width="15.875" customWidth="1"/>
    <col min="12" max="12" width="11.75" customWidth="1"/>
    <col min="13" max="13" width="11.625" customWidth="1"/>
    <col min="14" max="14" width="5" customWidth="1"/>
    <col min="15" max="15" width="6.875" customWidth="1"/>
    <col min="16" max="16" width="4.375" customWidth="1"/>
    <col min="17" max="17" width="3.75" customWidth="1"/>
    <col min="18" max="18" width="3.625" customWidth="1"/>
    <col min="19" max="19" width="3.375" customWidth="1"/>
    <col min="20" max="20" width="3" customWidth="1"/>
    <col min="21" max="21" width="4" customWidth="1"/>
    <col min="22" max="22" width="18.5" customWidth="1"/>
    <col min="23" max="23" width="13.625" customWidth="1"/>
    <col min="26" max="26" width="12" customWidth="1"/>
    <col min="28" max="29" width="20.75" customWidth="1"/>
    <col min="39" max="39" width="14.5" customWidth="1"/>
    <col min="40" max="40" width="15.875" customWidth="1"/>
    <col min="42" max="42" width="16.125" customWidth="1"/>
    <col min="48" max="48" width="15" customWidth="1"/>
  </cols>
  <sheetData>
    <row r="1" spans="1:57">
      <c r="A1" s="4" t="s">
        <v>57</v>
      </c>
      <c r="D1" s="244" t="s">
        <v>47</v>
      </c>
      <c r="E1" s="253"/>
      <c r="F1" s="253"/>
      <c r="G1" s="253"/>
      <c r="H1" s="253"/>
      <c r="I1" s="253"/>
      <c r="J1" s="253"/>
      <c r="K1" s="253"/>
      <c r="L1" s="254"/>
      <c r="N1" s="245" t="s">
        <v>58</v>
      </c>
      <c r="O1" s="253"/>
      <c r="P1" s="253"/>
      <c r="Q1" s="253"/>
      <c r="R1" s="253"/>
      <c r="S1" s="253"/>
      <c r="T1" s="253"/>
      <c r="U1" s="254"/>
      <c r="V1" s="245" t="s">
        <v>59</v>
      </c>
      <c r="W1" s="253"/>
      <c r="X1" s="253"/>
      <c r="Y1" s="253"/>
      <c r="Z1" s="254"/>
      <c r="AF1" s="10" t="s">
        <v>60</v>
      </c>
      <c r="AJ1" s="11"/>
      <c r="AK1" s="10" t="s">
        <v>61</v>
      </c>
      <c r="AO1" s="11"/>
      <c r="AP1" s="11"/>
      <c r="AQ1" s="11" t="s">
        <v>62</v>
      </c>
      <c r="AS1" s="13" t="s">
        <v>63</v>
      </c>
      <c r="AT1" s="13" t="s">
        <v>64</v>
      </c>
      <c r="AW1" s="11" t="s">
        <v>65</v>
      </c>
      <c r="AY1" s="13" t="s">
        <v>63</v>
      </c>
      <c r="AZ1" s="13" t="s">
        <v>64</v>
      </c>
    </row>
    <row r="2" spans="1:57">
      <c r="A2" s="14" t="s">
        <v>66</v>
      </c>
      <c r="B2" s="14" t="s">
        <v>67</v>
      </c>
      <c r="C2" s="14" t="s">
        <v>68</v>
      </c>
      <c r="D2" s="13" t="s">
        <v>69</v>
      </c>
      <c r="E2" s="13" t="s">
        <v>70</v>
      </c>
      <c r="F2" s="13" t="s">
        <v>71</v>
      </c>
      <c r="G2" s="13" t="s">
        <v>63</v>
      </c>
      <c r="H2" s="13" t="s">
        <v>64</v>
      </c>
      <c r="I2" s="13" t="s">
        <v>72</v>
      </c>
      <c r="J2" s="13" t="s">
        <v>73</v>
      </c>
      <c r="K2" s="13" t="s">
        <v>74</v>
      </c>
      <c r="L2" s="13" t="s">
        <v>75</v>
      </c>
      <c r="M2" s="14" t="s">
        <v>76</v>
      </c>
      <c r="N2" s="14" t="s">
        <v>77</v>
      </c>
      <c r="O2" s="14" t="s">
        <v>78</v>
      </c>
      <c r="P2" s="14" t="s">
        <v>79</v>
      </c>
      <c r="Q2" s="14" t="s">
        <v>80</v>
      </c>
      <c r="R2" s="14" t="s">
        <v>81</v>
      </c>
      <c r="S2" s="14" t="s">
        <v>82</v>
      </c>
      <c r="T2" s="14" t="s">
        <v>83</v>
      </c>
      <c r="U2" s="14" t="s">
        <v>84</v>
      </c>
      <c r="V2" s="14" t="s">
        <v>85</v>
      </c>
      <c r="W2" s="14" t="s">
        <v>86</v>
      </c>
      <c r="X2" s="14" t="s">
        <v>87</v>
      </c>
      <c r="Y2" s="14" t="s">
        <v>88</v>
      </c>
      <c r="Z2" s="14" t="s">
        <v>89</v>
      </c>
      <c r="AB2" s="11" t="s">
        <v>90</v>
      </c>
      <c r="AC2" s="11" t="s">
        <v>91</v>
      </c>
      <c r="AD2" s="11" t="s">
        <v>92</v>
      </c>
      <c r="AE2" s="11"/>
      <c r="AF2" s="11" t="s">
        <v>93</v>
      </c>
      <c r="AG2" s="11" t="s">
        <v>94</v>
      </c>
      <c r="AH2" s="11" t="s">
        <v>95</v>
      </c>
      <c r="AI2" s="11" t="s">
        <v>96</v>
      </c>
      <c r="AJ2" s="11"/>
      <c r="AK2" s="11" t="s">
        <v>93</v>
      </c>
      <c r="AL2" s="11" t="s">
        <v>94</v>
      </c>
      <c r="AM2" s="11" t="s">
        <v>95</v>
      </c>
      <c r="AN2" s="11" t="s">
        <v>96</v>
      </c>
      <c r="AO2" s="11"/>
      <c r="AP2" s="21" t="s">
        <v>97</v>
      </c>
      <c r="AQ2" s="13" t="s">
        <v>70</v>
      </c>
      <c r="AR2" s="13" t="s">
        <v>71</v>
      </c>
      <c r="AS2" s="13" t="s">
        <v>98</v>
      </c>
      <c r="AT2" s="13" t="s">
        <v>64</v>
      </c>
      <c r="AV2" s="21" t="s">
        <v>97</v>
      </c>
      <c r="AW2" s="13" t="s">
        <v>70</v>
      </c>
      <c r="AX2" s="13" t="s">
        <v>71</v>
      </c>
      <c r="AY2" s="13" t="s">
        <v>98</v>
      </c>
      <c r="AZ2" s="13" t="s">
        <v>64</v>
      </c>
      <c r="BB2" s="22"/>
      <c r="BC2" s="22"/>
      <c r="BD2" s="22"/>
      <c r="BE2" s="22"/>
    </row>
    <row r="3" spans="1:57">
      <c r="A3" s="23" t="s">
        <v>99</v>
      </c>
      <c r="B3" s="24" t="s">
        <v>26</v>
      </c>
      <c r="C3" s="25" t="s">
        <v>100</v>
      </c>
      <c r="D3" s="26"/>
      <c r="E3" s="29" t="s">
        <v>101</v>
      </c>
      <c r="F3" s="29" t="s">
        <v>102</v>
      </c>
      <c r="G3" s="29" t="s">
        <v>103</v>
      </c>
      <c r="H3" s="29" t="s">
        <v>104</v>
      </c>
      <c r="I3" s="31"/>
      <c r="J3" s="31">
        <v>3</v>
      </c>
      <c r="K3" s="34">
        <f>J3*$J$147</f>
        <v>10.5</v>
      </c>
      <c r="L3" s="31" t="s">
        <v>105</v>
      </c>
      <c r="M3" s="31" t="s">
        <v>106</v>
      </c>
      <c r="N3" s="37" t="s">
        <v>107</v>
      </c>
      <c r="O3" s="31"/>
      <c r="P3" s="31"/>
      <c r="Q3" s="31"/>
      <c r="R3" s="31"/>
      <c r="S3" s="31"/>
      <c r="T3" s="31"/>
      <c r="U3" s="31"/>
      <c r="V3" s="31" t="s">
        <v>108</v>
      </c>
      <c r="W3" s="31" t="s">
        <v>109</v>
      </c>
      <c r="X3" s="31"/>
      <c r="Y3" s="31"/>
      <c r="Z3" s="31"/>
      <c r="AB3" s="11">
        <f t="shared" ref="AB3:AB6" si="0">IF(AG3=0,0,IF(AF3=AG3,1,0))*AD3</f>
        <v>0</v>
      </c>
      <c r="AC3" s="11">
        <f t="shared" ref="AC3:AC6" si="1">IF(AK3=AL3,1,0)*AD3</f>
        <v>1</v>
      </c>
      <c r="AD3" s="11">
        <f t="shared" ref="AD3:AD4" si="2">IF(ISNUMBER(MATCH(A3,$A$2:A2,0)),0,1)</f>
        <v>1</v>
      </c>
      <c r="AF3" s="11">
        <f t="shared" ref="AF3:AG3" si="3">SUMIFS(AH$3:AH$251,$A$3:$A$251,$A3)</f>
        <v>1</v>
      </c>
      <c r="AG3" s="11">
        <f t="shared" si="3"/>
        <v>2</v>
      </c>
      <c r="AH3" s="11">
        <f t="shared" ref="AH3:AH6" si="4">IF(SUM(AW3:AZ3)=0,0,IF(SUM(AQ3:AT3)=SUM(AW3:AZ3),1,0))</f>
        <v>1</v>
      </c>
      <c r="AI3" s="22">
        <v>1</v>
      </c>
      <c r="AK3" s="11">
        <f t="shared" ref="AK3:AL3" si="5">SUMIFS(AM$3:AM$251,$A$3:$A$251,$A3)</f>
        <v>2</v>
      </c>
      <c r="AL3" s="11">
        <f t="shared" si="5"/>
        <v>2</v>
      </c>
      <c r="AM3" s="11">
        <f t="shared" ref="AM3:AM6" si="6">IF(SUM(AQ3:AT3)=SUM(AW3:AZ3),1,0)</f>
        <v>1</v>
      </c>
      <c r="AN3" s="22">
        <v>1</v>
      </c>
      <c r="AO3" s="22"/>
      <c r="AP3" s="22">
        <f t="shared" ref="AP3:AP6" si="7">SUM(AQ3:AT3)</f>
        <v>3</v>
      </c>
      <c r="AQ3" s="22">
        <f t="shared" ref="AQ3:AT3" si="8">IF(OR(E3="",E3="TBD",E3="N/A",E3="SDK",E3="SAAS"),0,1)</f>
        <v>1</v>
      </c>
      <c r="AR3" s="22">
        <f t="shared" si="8"/>
        <v>0</v>
      </c>
      <c r="AS3" s="22">
        <f t="shared" si="8"/>
        <v>1</v>
      </c>
      <c r="AT3" s="22">
        <f t="shared" si="8"/>
        <v>1</v>
      </c>
      <c r="AV3" s="11">
        <f t="shared" ref="AV3:AV6" si="9">SUM(AW3:AZ3)</f>
        <v>3</v>
      </c>
      <c r="AW3" s="22">
        <f t="shared" ref="AW3:AZ3" si="10">IF(OR(E3="",E3="N/A",E3="SDK",E3="SAAS"),0,1)</f>
        <v>1</v>
      </c>
      <c r="AX3" s="22">
        <f t="shared" si="10"/>
        <v>0</v>
      </c>
      <c r="AY3" s="22">
        <f t="shared" si="10"/>
        <v>1</v>
      </c>
      <c r="AZ3" s="22">
        <f t="shared" si="10"/>
        <v>1</v>
      </c>
      <c r="BB3" s="22"/>
      <c r="BC3" s="22"/>
      <c r="BD3" s="22"/>
      <c r="BE3" s="22"/>
    </row>
    <row r="4" spans="1:57" hidden="1">
      <c r="A4" s="23" t="s">
        <v>99</v>
      </c>
      <c r="B4" s="24" t="s">
        <v>26</v>
      </c>
      <c r="C4" s="25" t="s">
        <v>100</v>
      </c>
      <c r="D4" s="42" t="s">
        <v>110</v>
      </c>
      <c r="E4" s="43" t="s">
        <v>110</v>
      </c>
      <c r="F4" s="43" t="s">
        <v>110</v>
      </c>
      <c r="G4" s="43" t="s">
        <v>110</v>
      </c>
      <c r="H4" s="43" t="s">
        <v>110</v>
      </c>
      <c r="I4" s="31"/>
      <c r="J4" s="31"/>
      <c r="K4" s="34"/>
      <c r="L4" s="31" t="s">
        <v>105</v>
      </c>
      <c r="M4" s="31" t="s">
        <v>106</v>
      </c>
      <c r="N4" s="37" t="s">
        <v>107</v>
      </c>
      <c r="O4" s="31"/>
      <c r="P4" s="31"/>
      <c r="Q4" s="31"/>
      <c r="R4" s="31"/>
      <c r="S4" s="31"/>
      <c r="T4" s="31"/>
      <c r="U4" s="31"/>
      <c r="V4" s="31" t="s">
        <v>108</v>
      </c>
      <c r="W4" s="31" t="s">
        <v>109</v>
      </c>
      <c r="X4" s="31"/>
      <c r="Y4" s="31"/>
      <c r="Z4" s="31"/>
      <c r="AB4" s="11">
        <f t="shared" si="0"/>
        <v>0</v>
      </c>
      <c r="AC4" s="11">
        <f t="shared" si="1"/>
        <v>0</v>
      </c>
      <c r="AD4" s="11">
        <f t="shared" si="2"/>
        <v>0</v>
      </c>
      <c r="AF4" s="11">
        <f t="shared" ref="AF4:AF6" si="11">SUMIFS(AH$3:AH$251,$A$3:$A$251,$A4)</f>
        <v>1</v>
      </c>
      <c r="AG4" s="11">
        <f t="shared" ref="AG4:AG6" si="12">SUMIFS(AI$3:AI$77,$A$3:$A$77,$A4)</f>
        <v>2</v>
      </c>
      <c r="AH4" s="11">
        <f t="shared" si="4"/>
        <v>0</v>
      </c>
      <c r="AI4" s="22">
        <v>1</v>
      </c>
      <c r="AK4" s="11">
        <f t="shared" ref="AK4:AL4" si="13">SUMIFS(AM$3:AM$251,$A$3:$A$251,$A4)</f>
        <v>2</v>
      </c>
      <c r="AL4" s="11">
        <f t="shared" si="13"/>
        <v>2</v>
      </c>
      <c r="AM4" s="11">
        <f t="shared" si="6"/>
        <v>1</v>
      </c>
      <c r="AN4" s="22">
        <v>1</v>
      </c>
      <c r="AO4" s="22"/>
      <c r="AP4" s="22">
        <f t="shared" si="7"/>
        <v>0</v>
      </c>
      <c r="AQ4" s="22">
        <f t="shared" ref="AQ4:AT4" si="14">IF(OR(E4="",E4="TBD",E4="N/A",E4="SDK",E4="SAAS"),0,1)</f>
        <v>0</v>
      </c>
      <c r="AR4" s="22">
        <f t="shared" si="14"/>
        <v>0</v>
      </c>
      <c r="AS4" s="22">
        <f t="shared" si="14"/>
        <v>0</v>
      </c>
      <c r="AT4" s="22">
        <f t="shared" si="14"/>
        <v>0</v>
      </c>
      <c r="AV4" s="11">
        <f t="shared" si="9"/>
        <v>0</v>
      </c>
      <c r="AW4" s="22">
        <f t="shared" ref="AW4:AZ4" si="15">IF(OR(E4="",E4="N/A",E4="SDK",E4="SAAS"),0,1)</f>
        <v>0</v>
      </c>
      <c r="AX4" s="22">
        <f t="shared" si="15"/>
        <v>0</v>
      </c>
      <c r="AY4" s="22">
        <f t="shared" si="15"/>
        <v>0</v>
      </c>
      <c r="AZ4" s="22">
        <f t="shared" si="15"/>
        <v>0</v>
      </c>
      <c r="BB4" s="22"/>
      <c r="BC4" s="22"/>
      <c r="BD4" s="22"/>
      <c r="BE4" s="22"/>
    </row>
    <row r="5" spans="1:57">
      <c r="A5" s="23" t="s">
        <v>111</v>
      </c>
      <c r="B5" s="24" t="s">
        <v>26</v>
      </c>
      <c r="C5" s="47" t="s">
        <v>112</v>
      </c>
      <c r="D5" s="42" t="s">
        <v>110</v>
      </c>
      <c r="E5" s="43" t="s">
        <v>110</v>
      </c>
      <c r="F5" s="43" t="s">
        <v>110</v>
      </c>
      <c r="G5" s="43" t="s">
        <v>110</v>
      </c>
      <c r="H5" s="43" t="s">
        <v>110</v>
      </c>
      <c r="I5" s="31"/>
      <c r="J5" s="31"/>
      <c r="K5" s="34">
        <f t="shared" ref="K5:K6" si="16">J5*$J$147</f>
        <v>0</v>
      </c>
      <c r="L5" s="31" t="s">
        <v>105</v>
      </c>
      <c r="M5" s="31" t="s">
        <v>106</v>
      </c>
      <c r="N5" s="37" t="s">
        <v>107</v>
      </c>
      <c r="O5" s="31"/>
      <c r="P5" s="31"/>
      <c r="Q5" s="31"/>
      <c r="R5" s="31"/>
      <c r="S5" s="31"/>
      <c r="T5" s="31"/>
      <c r="U5" s="31"/>
      <c r="V5" s="31" t="s">
        <v>108</v>
      </c>
      <c r="W5" s="31" t="s">
        <v>109</v>
      </c>
      <c r="X5" s="31"/>
      <c r="Y5" s="31"/>
      <c r="Z5" s="31"/>
      <c r="AB5" s="11">
        <f t="shared" si="0"/>
        <v>0</v>
      </c>
      <c r="AC5" s="11">
        <f t="shared" si="1"/>
        <v>1</v>
      </c>
      <c r="AD5" s="11">
        <f>IF(ISNUMBER(MATCH(A5,$A$2:A3,0)),0,1)</f>
        <v>1</v>
      </c>
      <c r="AF5" s="11">
        <f t="shared" si="11"/>
        <v>0</v>
      </c>
      <c r="AG5" s="11">
        <f t="shared" si="12"/>
        <v>1</v>
      </c>
      <c r="AH5" s="11">
        <f t="shared" si="4"/>
        <v>0</v>
      </c>
      <c r="AI5" s="22">
        <v>1</v>
      </c>
      <c r="AK5" s="11">
        <f t="shared" ref="AK5:AL5" si="17">SUMIFS(AM$3:AM$251,$A$3:$A$251,$A5)</f>
        <v>1</v>
      </c>
      <c r="AL5" s="11">
        <f t="shared" si="17"/>
        <v>1</v>
      </c>
      <c r="AM5" s="11">
        <f t="shared" si="6"/>
        <v>1</v>
      </c>
      <c r="AN5" s="22">
        <v>1</v>
      </c>
      <c r="AO5" s="22"/>
      <c r="AP5" s="22">
        <f t="shared" si="7"/>
        <v>0</v>
      </c>
      <c r="AQ5" s="22">
        <f t="shared" ref="AQ5:AT5" si="18">IF(OR(E5="",E5="TBD",E5="N/A",E5="SDK",E5="SAAS"),0,1)</f>
        <v>0</v>
      </c>
      <c r="AR5" s="22">
        <f t="shared" si="18"/>
        <v>0</v>
      </c>
      <c r="AS5" s="22">
        <f t="shared" si="18"/>
        <v>0</v>
      </c>
      <c r="AT5" s="22">
        <f t="shared" si="18"/>
        <v>0</v>
      </c>
      <c r="AV5" s="11">
        <f t="shared" si="9"/>
        <v>0</v>
      </c>
      <c r="AW5" s="22">
        <f t="shared" ref="AW5:AZ5" si="19">IF(OR(E5="",E5="N/A",E5="SDK",E5="SAAS"),0,1)</f>
        <v>0</v>
      </c>
      <c r="AX5" s="22">
        <f t="shared" si="19"/>
        <v>0</v>
      </c>
      <c r="AY5" s="22">
        <f t="shared" si="19"/>
        <v>0</v>
      </c>
      <c r="AZ5" s="22">
        <f t="shared" si="19"/>
        <v>0</v>
      </c>
      <c r="BB5" s="22"/>
      <c r="BC5" s="22"/>
      <c r="BD5" s="22"/>
      <c r="BE5" s="22"/>
    </row>
    <row r="6" spans="1:57">
      <c r="A6" s="23" t="s">
        <v>113</v>
      </c>
      <c r="B6" s="24" t="s">
        <v>26</v>
      </c>
      <c r="C6" s="47" t="s">
        <v>114</v>
      </c>
      <c r="D6" s="42"/>
      <c r="E6" s="43" t="s">
        <v>115</v>
      </c>
      <c r="F6" s="43" t="s">
        <v>102</v>
      </c>
      <c r="G6" s="43" t="s">
        <v>116</v>
      </c>
      <c r="H6" s="43" t="s">
        <v>117</v>
      </c>
      <c r="I6" s="31"/>
      <c r="J6" s="31"/>
      <c r="K6" s="34">
        <f t="shared" si="16"/>
        <v>0</v>
      </c>
      <c r="L6" s="31" t="s">
        <v>105</v>
      </c>
      <c r="M6" s="31" t="s">
        <v>106</v>
      </c>
      <c r="N6" s="37" t="s">
        <v>107</v>
      </c>
      <c r="O6" s="31"/>
      <c r="P6" s="31"/>
      <c r="Q6" s="31"/>
      <c r="R6" s="31"/>
      <c r="S6" s="31"/>
      <c r="T6" s="31"/>
      <c r="U6" s="31"/>
      <c r="V6" s="31" t="s">
        <v>108</v>
      </c>
      <c r="W6" s="31" t="s">
        <v>109</v>
      </c>
      <c r="X6" s="31"/>
      <c r="Y6" s="31"/>
      <c r="Z6" s="31"/>
      <c r="AB6" s="11">
        <f t="shared" si="0"/>
        <v>1</v>
      </c>
      <c r="AC6" s="11">
        <f t="shared" si="1"/>
        <v>1</v>
      </c>
      <c r="AD6" s="11">
        <f>IF(ISNUMBER(MATCH(A6,$A$2:A5,0)),0,1)</f>
        <v>1</v>
      </c>
      <c r="AF6" s="11">
        <f t="shared" si="11"/>
        <v>1</v>
      </c>
      <c r="AG6" s="11">
        <f t="shared" si="12"/>
        <v>1</v>
      </c>
      <c r="AH6" s="11">
        <f t="shared" si="4"/>
        <v>1</v>
      </c>
      <c r="AI6" s="22">
        <v>1</v>
      </c>
      <c r="AK6" s="11">
        <f t="shared" ref="AK6:AL6" si="20">SUMIFS(AM$3:AM$251,$A$3:$A$251,$A6)</f>
        <v>1</v>
      </c>
      <c r="AL6" s="11">
        <f t="shared" si="20"/>
        <v>1</v>
      </c>
      <c r="AM6" s="11">
        <f t="shared" si="6"/>
        <v>1</v>
      </c>
      <c r="AN6" s="22">
        <v>1</v>
      </c>
      <c r="AO6" s="22"/>
      <c r="AP6" s="22">
        <f t="shared" si="7"/>
        <v>3</v>
      </c>
      <c r="AQ6" s="22">
        <f t="shared" ref="AQ6:AT6" si="21">IF(OR(E6="",E6="TBD",E6="N/A",E6="SDK",E6="SAAS"),0,1)</f>
        <v>1</v>
      </c>
      <c r="AR6" s="22">
        <f t="shared" si="21"/>
        <v>0</v>
      </c>
      <c r="AS6" s="22">
        <f t="shared" si="21"/>
        <v>1</v>
      </c>
      <c r="AT6" s="22">
        <f t="shared" si="21"/>
        <v>1</v>
      </c>
      <c r="AV6" s="11">
        <f t="shared" si="9"/>
        <v>3</v>
      </c>
      <c r="AW6" s="22">
        <f t="shared" ref="AW6:AZ6" si="22">IF(OR(E6="",E6="N/A",E6="SDK",E6="SAAS"),0,1)</f>
        <v>1</v>
      </c>
      <c r="AX6" s="22">
        <f t="shared" si="22"/>
        <v>0</v>
      </c>
      <c r="AY6" s="22">
        <f t="shared" si="22"/>
        <v>1</v>
      </c>
      <c r="AZ6" s="22">
        <f t="shared" si="22"/>
        <v>1</v>
      </c>
      <c r="BB6" s="22"/>
      <c r="BC6" s="22"/>
      <c r="BD6" s="22"/>
      <c r="BE6" s="22"/>
    </row>
    <row r="7" spans="1:57" hidden="1">
      <c r="A7" s="23" t="s">
        <v>113</v>
      </c>
      <c r="B7" s="24" t="s">
        <v>26</v>
      </c>
      <c r="C7" s="47" t="s">
        <v>114</v>
      </c>
      <c r="D7" s="42" t="s">
        <v>110</v>
      </c>
      <c r="E7" s="43" t="s">
        <v>110</v>
      </c>
      <c r="F7" s="43" t="s">
        <v>110</v>
      </c>
      <c r="G7" s="43" t="s">
        <v>110</v>
      </c>
      <c r="H7" s="43" t="s">
        <v>110</v>
      </c>
      <c r="I7" s="54"/>
      <c r="J7" s="54"/>
      <c r="K7" s="34"/>
      <c r="L7" s="54"/>
      <c r="M7" s="54"/>
      <c r="N7" s="55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6"/>
      <c r="AC7" s="56"/>
      <c r="AD7" s="56"/>
      <c r="AE7" s="56"/>
      <c r="AI7" s="57"/>
      <c r="AJ7" s="58"/>
      <c r="AM7" s="58"/>
      <c r="AN7" s="57"/>
      <c r="AO7" s="57"/>
      <c r="AP7" s="57"/>
      <c r="AQ7" s="22"/>
      <c r="AR7" s="22"/>
      <c r="AS7" s="22"/>
      <c r="AT7" s="22"/>
      <c r="AU7" s="56"/>
      <c r="AV7" s="11"/>
      <c r="AW7" s="22"/>
      <c r="AX7" s="22"/>
      <c r="AY7" s="22"/>
      <c r="AZ7" s="22"/>
      <c r="BA7" s="56"/>
      <c r="BB7" s="59"/>
      <c r="BC7" s="59"/>
      <c r="BD7" s="59"/>
      <c r="BE7" s="59"/>
    </row>
    <row r="8" spans="1:57">
      <c r="A8" s="23" t="s">
        <v>118</v>
      </c>
      <c r="B8" s="24" t="s">
        <v>26</v>
      </c>
      <c r="C8" s="47" t="s">
        <v>119</v>
      </c>
      <c r="D8" s="42" t="s">
        <v>110</v>
      </c>
      <c r="E8" s="43" t="s">
        <v>110</v>
      </c>
      <c r="F8" s="43" t="s">
        <v>110</v>
      </c>
      <c r="G8" s="43" t="s">
        <v>110</v>
      </c>
      <c r="H8" s="43" t="s">
        <v>110</v>
      </c>
      <c r="I8" s="54"/>
      <c r="J8" s="54"/>
      <c r="K8" s="34">
        <f t="shared" ref="K8:K81" si="23">J8*$J$147</f>
        <v>0</v>
      </c>
      <c r="L8" s="54" t="s">
        <v>105</v>
      </c>
      <c r="M8" s="54" t="s">
        <v>106</v>
      </c>
      <c r="N8" s="55" t="s">
        <v>107</v>
      </c>
      <c r="O8" s="54"/>
      <c r="P8" s="54"/>
      <c r="Q8" s="54"/>
      <c r="R8" s="54"/>
      <c r="S8" s="54"/>
      <c r="T8" s="54"/>
      <c r="U8" s="54"/>
      <c r="V8" s="54" t="s">
        <v>108</v>
      </c>
      <c r="W8" s="54" t="s">
        <v>109</v>
      </c>
      <c r="X8" s="54"/>
      <c r="Y8" s="54"/>
      <c r="Z8" s="54"/>
      <c r="AA8" s="56"/>
      <c r="AB8" s="11">
        <f t="shared" ref="AB8:AB81" si="24">IF(AG8=0,0,IF(AF8=AG8,1,0))*AD8</f>
        <v>0</v>
      </c>
      <c r="AC8" s="56">
        <f t="shared" ref="AC8:AC81" si="25">IF(AK8=AL8,1,0)*AD8</f>
        <v>1</v>
      </c>
      <c r="AD8" s="56">
        <f>IF(ISNUMBER(MATCH(A8,$A$2:A6,0)),0,1)</f>
        <v>1</v>
      </c>
      <c r="AE8" s="56"/>
      <c r="AF8" s="11">
        <f t="shared" ref="AF8:AF81" si="26">SUMIFS(AH$3:AH$251,$A$3:$A$251,$A8)</f>
        <v>0</v>
      </c>
      <c r="AG8" s="11">
        <f t="shared" ref="AG8:AG81" si="27">SUMIFS(AI$3:AI$77,$A$3:$A$77,$A8)</f>
        <v>1</v>
      </c>
      <c r="AH8" s="11">
        <f t="shared" ref="AH8:AH81" si="28">IF(SUM(AW8:AZ8)=0,0,IF(SUM(AQ8:AT8)=SUM(AW8:AZ8),1,0))</f>
        <v>0</v>
      </c>
      <c r="AI8" s="57">
        <v>1</v>
      </c>
      <c r="AJ8" s="58"/>
      <c r="AK8" s="11">
        <f t="shared" ref="AK8:AL8" si="29">SUMIFS(AM$3:AM$251,$A$3:$A$251,$A8)</f>
        <v>1</v>
      </c>
      <c r="AL8" s="11">
        <f t="shared" si="29"/>
        <v>1</v>
      </c>
      <c r="AM8" s="58">
        <f t="shared" ref="AM8:AM81" si="30">IF(SUM(AQ8:AT8)=SUM(AW8:AZ8),1,0)</f>
        <v>1</v>
      </c>
      <c r="AN8" s="57">
        <v>1</v>
      </c>
      <c r="AO8" s="57"/>
      <c r="AP8" s="57">
        <f t="shared" ref="AP8:AP81" si="31">SUM(AQ8:AT8)</f>
        <v>0</v>
      </c>
      <c r="AQ8" s="22">
        <f t="shared" ref="AQ8:AT8" si="32">IF(OR(E8="",E8="TBD",E8="N/A",E8="SDK",E8="SAAS"),0,1)</f>
        <v>0</v>
      </c>
      <c r="AR8" s="22">
        <f t="shared" si="32"/>
        <v>0</v>
      </c>
      <c r="AS8" s="22">
        <f t="shared" si="32"/>
        <v>0</v>
      </c>
      <c r="AT8" s="22">
        <f t="shared" si="32"/>
        <v>0</v>
      </c>
      <c r="AU8" s="56"/>
      <c r="AV8" s="11">
        <f t="shared" ref="AV8:AV81" si="33">SUM(AW8:AZ8)</f>
        <v>0</v>
      </c>
      <c r="AW8" s="22">
        <f t="shared" ref="AW8:AZ8" si="34">IF(OR(E8="",E8="N/A",E8="SDK",E8="SAAS"),0,1)</f>
        <v>0</v>
      </c>
      <c r="AX8" s="22">
        <f t="shared" si="34"/>
        <v>0</v>
      </c>
      <c r="AY8" s="22">
        <f t="shared" si="34"/>
        <v>0</v>
      </c>
      <c r="AZ8" s="22">
        <f t="shared" si="34"/>
        <v>0</v>
      </c>
      <c r="BA8" s="56"/>
      <c r="BB8" s="59"/>
      <c r="BC8" s="59"/>
      <c r="BD8" s="59"/>
      <c r="BE8" s="59"/>
    </row>
    <row r="9" spans="1:57">
      <c r="A9" s="23" t="s">
        <v>120</v>
      </c>
      <c r="B9" s="24" t="s">
        <v>26</v>
      </c>
      <c r="C9" s="47" t="s">
        <v>121</v>
      </c>
      <c r="D9" s="42" t="s">
        <v>110</v>
      </c>
      <c r="E9" s="43" t="s">
        <v>110</v>
      </c>
      <c r="F9" s="43" t="s">
        <v>110</v>
      </c>
      <c r="G9" s="43" t="s">
        <v>110</v>
      </c>
      <c r="H9" s="43" t="s">
        <v>110</v>
      </c>
      <c r="I9" s="54"/>
      <c r="J9" s="54"/>
      <c r="K9" s="34">
        <f t="shared" si="23"/>
        <v>0</v>
      </c>
      <c r="L9" s="54" t="s">
        <v>105</v>
      </c>
      <c r="M9" s="54" t="s">
        <v>106</v>
      </c>
      <c r="N9" s="55" t="s">
        <v>107</v>
      </c>
      <c r="O9" s="54"/>
      <c r="P9" s="54"/>
      <c r="Q9" s="54"/>
      <c r="R9" s="54"/>
      <c r="S9" s="54"/>
      <c r="T9" s="54"/>
      <c r="U9" s="54"/>
      <c r="V9" s="54" t="s">
        <v>108</v>
      </c>
      <c r="W9" s="54" t="s">
        <v>109</v>
      </c>
      <c r="X9" s="54"/>
      <c r="Y9" s="54"/>
      <c r="Z9" s="54"/>
      <c r="AA9" s="56"/>
      <c r="AB9" s="11">
        <f t="shared" si="24"/>
        <v>0</v>
      </c>
      <c r="AC9" s="56">
        <f t="shared" si="25"/>
        <v>1</v>
      </c>
      <c r="AD9" s="56">
        <f t="shared" ref="AD9:AD14" si="35">IF(ISNUMBER(MATCH(A9,$A$2:A8,0)),0,1)</f>
        <v>1</v>
      </c>
      <c r="AE9" s="56"/>
      <c r="AF9" s="11">
        <f t="shared" si="26"/>
        <v>0</v>
      </c>
      <c r="AG9" s="11">
        <f t="shared" si="27"/>
        <v>1</v>
      </c>
      <c r="AH9" s="11">
        <f t="shared" si="28"/>
        <v>0</v>
      </c>
      <c r="AI9" s="57">
        <v>1</v>
      </c>
      <c r="AJ9" s="58"/>
      <c r="AK9" s="11">
        <f t="shared" ref="AK9:AL9" si="36">SUMIFS(AM$3:AM$251,$A$3:$A$251,$A9)</f>
        <v>1</v>
      </c>
      <c r="AL9" s="11">
        <f t="shared" si="36"/>
        <v>1</v>
      </c>
      <c r="AM9" s="58">
        <f t="shared" si="30"/>
        <v>1</v>
      </c>
      <c r="AN9" s="57">
        <v>1</v>
      </c>
      <c r="AO9" s="57"/>
      <c r="AP9" s="57">
        <f t="shared" si="31"/>
        <v>0</v>
      </c>
      <c r="AQ9" s="22">
        <f t="shared" ref="AQ9:AT9" si="37">IF(OR(E9="",E9="TBD",E9="N/A",E9="SDK",E9="SAAS"),0,1)</f>
        <v>0</v>
      </c>
      <c r="AR9" s="22">
        <f t="shared" si="37"/>
        <v>0</v>
      </c>
      <c r="AS9" s="22">
        <f t="shared" si="37"/>
        <v>0</v>
      </c>
      <c r="AT9" s="22">
        <f t="shared" si="37"/>
        <v>0</v>
      </c>
      <c r="AU9" s="56"/>
      <c r="AV9" s="11">
        <f t="shared" si="33"/>
        <v>0</v>
      </c>
      <c r="AW9" s="22">
        <f t="shared" ref="AW9:AZ9" si="38">IF(OR(E9="",E9="N/A",E9="SDK",E9="SAAS"),0,1)</f>
        <v>0</v>
      </c>
      <c r="AX9" s="22">
        <f t="shared" si="38"/>
        <v>0</v>
      </c>
      <c r="AY9" s="22">
        <f t="shared" si="38"/>
        <v>0</v>
      </c>
      <c r="AZ9" s="22">
        <f t="shared" si="38"/>
        <v>0</v>
      </c>
      <c r="BA9" s="56"/>
      <c r="BB9" s="59"/>
      <c r="BC9" s="59"/>
      <c r="BD9" s="59"/>
      <c r="BE9" s="59"/>
    </row>
    <row r="10" spans="1:57" hidden="1">
      <c r="A10" s="60" t="s">
        <v>122</v>
      </c>
      <c r="B10" s="24" t="s">
        <v>26</v>
      </c>
      <c r="C10" s="25" t="s">
        <v>123</v>
      </c>
      <c r="D10" s="42"/>
      <c r="E10" s="43" t="s">
        <v>124</v>
      </c>
      <c r="F10" s="43" t="s">
        <v>125</v>
      </c>
      <c r="G10" s="43" t="s">
        <v>126</v>
      </c>
      <c r="H10" s="43" t="s">
        <v>127</v>
      </c>
      <c r="I10" s="31"/>
      <c r="J10" s="31">
        <v>4</v>
      </c>
      <c r="K10" s="34">
        <f t="shared" si="23"/>
        <v>14</v>
      </c>
      <c r="L10" s="31" t="s">
        <v>105</v>
      </c>
      <c r="M10" s="31" t="s">
        <v>106</v>
      </c>
      <c r="N10" s="37" t="s">
        <v>107</v>
      </c>
      <c r="O10" s="31"/>
      <c r="P10" s="31"/>
      <c r="Q10" s="31"/>
      <c r="R10" s="31"/>
      <c r="S10" s="31"/>
      <c r="T10" s="31"/>
      <c r="U10" s="31"/>
      <c r="V10" s="31" t="s">
        <v>108</v>
      </c>
      <c r="W10" s="31" t="s">
        <v>109</v>
      </c>
      <c r="X10" s="31"/>
      <c r="Y10" s="31"/>
      <c r="Z10" s="31"/>
      <c r="AB10" s="11">
        <f t="shared" si="24"/>
        <v>1</v>
      </c>
      <c r="AC10" s="11">
        <f t="shared" si="25"/>
        <v>1</v>
      </c>
      <c r="AD10" s="11">
        <f t="shared" si="35"/>
        <v>1</v>
      </c>
      <c r="AF10" s="11">
        <f t="shared" si="26"/>
        <v>2</v>
      </c>
      <c r="AG10" s="11">
        <f t="shared" si="27"/>
        <v>2</v>
      </c>
      <c r="AH10" s="11">
        <f t="shared" si="28"/>
        <v>1</v>
      </c>
      <c r="AI10" s="22">
        <v>1</v>
      </c>
      <c r="AK10" s="11">
        <f t="shared" ref="AK10:AL10" si="39">SUMIFS(AM$3:AM$251,$A$3:$A$251,$A10)</f>
        <v>2</v>
      </c>
      <c r="AL10" s="11">
        <f t="shared" si="39"/>
        <v>2</v>
      </c>
      <c r="AM10" s="11">
        <f t="shared" si="30"/>
        <v>1</v>
      </c>
      <c r="AN10" s="22">
        <v>1</v>
      </c>
      <c r="AO10" s="22"/>
      <c r="AP10" s="22">
        <f t="shared" si="31"/>
        <v>4</v>
      </c>
      <c r="AQ10" s="22">
        <f t="shared" ref="AQ10:AT10" si="40">IF(OR(E10="",E10="TBD",E10="N/A",E10="SDK",E10="SAAS"),0,1)</f>
        <v>1</v>
      </c>
      <c r="AR10" s="22">
        <f t="shared" si="40"/>
        <v>1</v>
      </c>
      <c r="AS10" s="22">
        <f t="shared" si="40"/>
        <v>1</v>
      </c>
      <c r="AT10" s="22">
        <f t="shared" si="40"/>
        <v>1</v>
      </c>
      <c r="AV10" s="11">
        <f t="shared" si="33"/>
        <v>4</v>
      </c>
      <c r="AW10" s="22">
        <f t="shared" ref="AW10:AZ10" si="41">IF(OR(E10="",E10="N/A",E10="SDK",E10="SAAS"),0,1)</f>
        <v>1</v>
      </c>
      <c r="AX10" s="22">
        <f t="shared" si="41"/>
        <v>1</v>
      </c>
      <c r="AY10" s="22">
        <f t="shared" si="41"/>
        <v>1</v>
      </c>
      <c r="AZ10" s="22">
        <f t="shared" si="41"/>
        <v>1</v>
      </c>
      <c r="BB10" s="22"/>
      <c r="BC10" s="22"/>
      <c r="BD10" s="22"/>
      <c r="BE10" s="22"/>
    </row>
    <row r="11" spans="1:57">
      <c r="A11" s="60" t="s">
        <v>122</v>
      </c>
      <c r="B11" s="24" t="s">
        <v>26</v>
      </c>
      <c r="C11" s="25" t="s">
        <v>123</v>
      </c>
      <c r="D11" s="42"/>
      <c r="E11" s="43" t="s">
        <v>128</v>
      </c>
      <c r="F11" s="43" t="s">
        <v>129</v>
      </c>
      <c r="G11" s="43" t="s">
        <v>130</v>
      </c>
      <c r="H11" s="43" t="s">
        <v>131</v>
      </c>
      <c r="I11" s="31"/>
      <c r="J11" s="31"/>
      <c r="K11" s="34">
        <f t="shared" si="23"/>
        <v>0</v>
      </c>
      <c r="L11" s="31" t="s">
        <v>105</v>
      </c>
      <c r="M11" s="31" t="s">
        <v>106</v>
      </c>
      <c r="N11" s="37" t="s">
        <v>107</v>
      </c>
      <c r="O11" s="31"/>
      <c r="P11" s="31"/>
      <c r="Q11" s="31"/>
      <c r="R11" s="31"/>
      <c r="S11" s="31"/>
      <c r="T11" s="31"/>
      <c r="U11" s="31"/>
      <c r="V11" s="31" t="s">
        <v>108</v>
      </c>
      <c r="W11" s="31" t="s">
        <v>109</v>
      </c>
      <c r="X11" s="31"/>
      <c r="Y11" s="31"/>
      <c r="Z11" s="31"/>
      <c r="AB11" s="11">
        <f t="shared" si="24"/>
        <v>0</v>
      </c>
      <c r="AC11" s="11">
        <f t="shared" si="25"/>
        <v>0</v>
      </c>
      <c r="AD11" s="11">
        <f t="shared" si="35"/>
        <v>0</v>
      </c>
      <c r="AF11" s="11">
        <f t="shared" si="26"/>
        <v>2</v>
      </c>
      <c r="AG11" s="11">
        <f t="shared" si="27"/>
        <v>2</v>
      </c>
      <c r="AH11" s="11">
        <f t="shared" si="28"/>
        <v>1</v>
      </c>
      <c r="AI11" s="22">
        <v>1</v>
      </c>
      <c r="AK11" s="11">
        <f t="shared" ref="AK11:AL11" si="42">SUMIFS(AM$3:AM$251,$A$3:$A$251,$A11)</f>
        <v>2</v>
      </c>
      <c r="AL11" s="11">
        <f t="shared" si="42"/>
        <v>2</v>
      </c>
      <c r="AM11" s="11">
        <f t="shared" si="30"/>
        <v>1</v>
      </c>
      <c r="AN11" s="22">
        <v>1</v>
      </c>
      <c r="AO11" s="22"/>
      <c r="AP11" s="22">
        <f t="shared" si="31"/>
        <v>4</v>
      </c>
      <c r="AQ11" s="22">
        <f t="shared" ref="AQ11:AT11" si="43">IF(OR(E11="",E11="TBD",E11="N/A",E11="SDK",E11="SAAS"),0,1)</f>
        <v>1</v>
      </c>
      <c r="AR11" s="22">
        <f t="shared" si="43"/>
        <v>1</v>
      </c>
      <c r="AS11" s="22">
        <f t="shared" si="43"/>
        <v>1</v>
      </c>
      <c r="AT11" s="22">
        <f t="shared" si="43"/>
        <v>1</v>
      </c>
      <c r="AV11" s="11">
        <f t="shared" si="33"/>
        <v>4</v>
      </c>
      <c r="AW11" s="22">
        <f t="shared" ref="AW11:AZ11" si="44">IF(OR(E11="",E11="N/A",E11="SDK",E11="SAAS"),0,1)</f>
        <v>1</v>
      </c>
      <c r="AX11" s="22">
        <f t="shared" si="44"/>
        <v>1</v>
      </c>
      <c r="AY11" s="22">
        <f t="shared" si="44"/>
        <v>1</v>
      </c>
      <c r="AZ11" s="22">
        <f t="shared" si="44"/>
        <v>1</v>
      </c>
      <c r="BB11" s="22"/>
      <c r="BC11" s="22"/>
      <c r="BD11" s="22"/>
      <c r="BE11" s="22"/>
    </row>
    <row r="12" spans="1:57">
      <c r="A12" s="23" t="s">
        <v>132</v>
      </c>
      <c r="B12" s="24" t="s">
        <v>26</v>
      </c>
      <c r="C12" s="25" t="s">
        <v>133</v>
      </c>
      <c r="D12" s="26"/>
      <c r="E12" s="29" t="s">
        <v>134</v>
      </c>
      <c r="F12" s="29" t="s">
        <v>135</v>
      </c>
      <c r="G12" s="29" t="s">
        <v>135</v>
      </c>
      <c r="H12" s="29" t="s">
        <v>135</v>
      </c>
      <c r="I12" s="31"/>
      <c r="J12" s="31">
        <v>2</v>
      </c>
      <c r="K12" s="34">
        <f t="shared" si="23"/>
        <v>7</v>
      </c>
      <c r="L12" s="31" t="s">
        <v>105</v>
      </c>
      <c r="M12" s="31" t="s">
        <v>106</v>
      </c>
      <c r="N12" s="37" t="s">
        <v>107</v>
      </c>
      <c r="O12" s="31"/>
      <c r="P12" s="31"/>
      <c r="Q12" s="31"/>
      <c r="R12" s="31"/>
      <c r="S12" s="31"/>
      <c r="T12" s="31"/>
      <c r="U12" s="31"/>
      <c r="V12" s="31" t="s">
        <v>108</v>
      </c>
      <c r="W12" s="31" t="s">
        <v>109</v>
      </c>
      <c r="X12" s="31"/>
      <c r="Y12" s="31"/>
      <c r="Z12" s="31"/>
      <c r="AB12" s="11">
        <f t="shared" si="24"/>
        <v>0</v>
      </c>
      <c r="AC12" s="11">
        <f t="shared" si="25"/>
        <v>0</v>
      </c>
      <c r="AD12" s="11">
        <f t="shared" si="35"/>
        <v>1</v>
      </c>
      <c r="AF12" s="11">
        <f t="shared" si="26"/>
        <v>0</v>
      </c>
      <c r="AG12" s="11">
        <f t="shared" si="27"/>
        <v>1</v>
      </c>
      <c r="AH12" s="11">
        <f t="shared" si="28"/>
        <v>0</v>
      </c>
      <c r="AI12" s="22">
        <v>1</v>
      </c>
      <c r="AK12" s="11">
        <f t="shared" ref="AK12:AL12" si="45">SUMIFS(AM$3:AM$251,$A$3:$A$251,$A12)</f>
        <v>0</v>
      </c>
      <c r="AL12" s="11">
        <f t="shared" si="45"/>
        <v>1</v>
      </c>
      <c r="AM12" s="11">
        <f t="shared" si="30"/>
        <v>0</v>
      </c>
      <c r="AN12" s="22">
        <v>1</v>
      </c>
      <c r="AO12" s="22"/>
      <c r="AP12" s="22">
        <f t="shared" si="31"/>
        <v>1</v>
      </c>
      <c r="AQ12" s="22">
        <f t="shared" ref="AQ12:AT12" si="46">IF(OR(E12="",E12="TBD",E12="N/A",E12="SDK",E12="SAAS"),0,1)</f>
        <v>1</v>
      </c>
      <c r="AR12" s="22">
        <f t="shared" si="46"/>
        <v>0</v>
      </c>
      <c r="AS12" s="22">
        <f t="shared" si="46"/>
        <v>0</v>
      </c>
      <c r="AT12" s="22">
        <f t="shared" si="46"/>
        <v>0</v>
      </c>
      <c r="AV12" s="11">
        <f t="shared" si="33"/>
        <v>4</v>
      </c>
      <c r="AW12" s="22">
        <f t="shared" ref="AW12:AZ12" si="47">IF(OR(E12="",E12="N/A",E12="SDK",E12="SAAS"),0,1)</f>
        <v>1</v>
      </c>
      <c r="AX12" s="22">
        <f t="shared" si="47"/>
        <v>1</v>
      </c>
      <c r="AY12" s="22">
        <f t="shared" si="47"/>
        <v>1</v>
      </c>
      <c r="AZ12" s="22">
        <f t="shared" si="47"/>
        <v>1</v>
      </c>
      <c r="BB12" s="22"/>
      <c r="BC12" s="22"/>
      <c r="BD12" s="22"/>
      <c r="BE12" s="22"/>
    </row>
    <row r="13" spans="1:57">
      <c r="A13" s="23" t="s">
        <v>136</v>
      </c>
      <c r="B13" s="24" t="s">
        <v>26</v>
      </c>
      <c r="C13" s="25" t="s">
        <v>137</v>
      </c>
      <c r="D13" s="42"/>
      <c r="E13" s="43" t="s">
        <v>138</v>
      </c>
      <c r="F13" s="68" t="s">
        <v>129</v>
      </c>
      <c r="G13" s="43" t="s">
        <v>139</v>
      </c>
      <c r="H13" s="43" t="s">
        <v>140</v>
      </c>
      <c r="I13" s="31"/>
      <c r="J13" s="31">
        <v>1</v>
      </c>
      <c r="K13" s="34">
        <f t="shared" si="23"/>
        <v>3.5</v>
      </c>
      <c r="L13" s="31" t="s">
        <v>105</v>
      </c>
      <c r="M13" s="31" t="s">
        <v>106</v>
      </c>
      <c r="N13" s="37" t="s">
        <v>107</v>
      </c>
      <c r="O13" s="31"/>
      <c r="P13" s="31"/>
      <c r="Q13" s="31"/>
      <c r="R13" s="31"/>
      <c r="S13" s="31"/>
      <c r="T13" s="31"/>
      <c r="U13" s="31"/>
      <c r="V13" s="31" t="s">
        <v>108</v>
      </c>
      <c r="W13" s="31" t="s">
        <v>109</v>
      </c>
      <c r="X13" s="31"/>
      <c r="Y13" s="31"/>
      <c r="Z13" s="31"/>
      <c r="AB13" s="11">
        <f t="shared" si="24"/>
        <v>0</v>
      </c>
      <c r="AC13" s="11">
        <f t="shared" si="25"/>
        <v>1</v>
      </c>
      <c r="AD13" s="11">
        <f t="shared" si="35"/>
        <v>1</v>
      </c>
      <c r="AF13" s="11">
        <f t="shared" si="26"/>
        <v>1</v>
      </c>
      <c r="AG13" s="11">
        <f t="shared" si="27"/>
        <v>2</v>
      </c>
      <c r="AH13" s="11">
        <f t="shared" si="28"/>
        <v>1</v>
      </c>
      <c r="AI13" s="22">
        <v>1</v>
      </c>
      <c r="AK13" s="11">
        <f t="shared" ref="AK13:AL13" si="48">SUMIFS(AM$3:AM$251,$A$3:$A$251,$A13)</f>
        <v>2</v>
      </c>
      <c r="AL13" s="11">
        <f t="shared" si="48"/>
        <v>2</v>
      </c>
      <c r="AM13" s="11">
        <f t="shared" si="30"/>
        <v>1</v>
      </c>
      <c r="AN13" s="22">
        <v>1</v>
      </c>
      <c r="AO13" s="22"/>
      <c r="AP13" s="22">
        <f t="shared" si="31"/>
        <v>4</v>
      </c>
      <c r="AQ13" s="22">
        <f t="shared" ref="AQ13:AT13" si="49">IF(OR(E13="",E13="TBD",E13="N/A",E13="SDK",E13="SAAS"),0,1)</f>
        <v>1</v>
      </c>
      <c r="AR13" s="22">
        <f t="shared" si="49"/>
        <v>1</v>
      </c>
      <c r="AS13" s="22">
        <f t="shared" si="49"/>
        <v>1</v>
      </c>
      <c r="AT13" s="22">
        <f t="shared" si="49"/>
        <v>1</v>
      </c>
      <c r="AV13" s="11">
        <f t="shared" si="33"/>
        <v>4</v>
      </c>
      <c r="AW13" s="22">
        <f t="shared" ref="AW13:AZ13" si="50">IF(OR(E13="",E13="N/A",E13="SDK",E13="SAAS"),0,1)</f>
        <v>1</v>
      </c>
      <c r="AX13" s="22">
        <f t="shared" si="50"/>
        <v>1</v>
      </c>
      <c r="AY13" s="22">
        <f t="shared" si="50"/>
        <v>1</v>
      </c>
      <c r="AZ13" s="22">
        <f t="shared" si="50"/>
        <v>1</v>
      </c>
      <c r="BB13" s="22"/>
      <c r="BC13" s="22"/>
      <c r="BD13" s="22"/>
      <c r="BE13" s="22"/>
    </row>
    <row r="14" spans="1:57">
      <c r="A14" s="23" t="s">
        <v>136</v>
      </c>
      <c r="B14" s="24" t="s">
        <v>26</v>
      </c>
      <c r="C14" s="25" t="s">
        <v>137</v>
      </c>
      <c r="D14" s="26" t="s">
        <v>110</v>
      </c>
      <c r="E14" s="29" t="s">
        <v>110</v>
      </c>
      <c r="F14" s="29" t="s">
        <v>102</v>
      </c>
      <c r="G14" s="29" t="s">
        <v>102</v>
      </c>
      <c r="H14" s="29" t="s">
        <v>102</v>
      </c>
      <c r="I14" s="31"/>
      <c r="J14" s="31"/>
      <c r="K14" s="34">
        <f t="shared" si="23"/>
        <v>0</v>
      </c>
      <c r="L14" s="31" t="s">
        <v>105</v>
      </c>
      <c r="M14" s="31" t="s">
        <v>106</v>
      </c>
      <c r="N14" s="37" t="s">
        <v>107</v>
      </c>
      <c r="O14" s="31"/>
      <c r="P14" s="31"/>
      <c r="Q14" s="31"/>
      <c r="R14" s="31"/>
      <c r="S14" s="31"/>
      <c r="T14" s="31"/>
      <c r="U14" s="31"/>
      <c r="V14" s="31" t="s">
        <v>108</v>
      </c>
      <c r="W14" s="31" t="s">
        <v>109</v>
      </c>
      <c r="X14" s="31"/>
      <c r="Y14" s="31"/>
      <c r="Z14" s="31"/>
      <c r="AB14" s="11">
        <f t="shared" si="24"/>
        <v>0</v>
      </c>
      <c r="AC14" s="11">
        <f t="shared" si="25"/>
        <v>0</v>
      </c>
      <c r="AD14" s="11">
        <f t="shared" si="35"/>
        <v>0</v>
      </c>
      <c r="AF14" s="11">
        <f t="shared" si="26"/>
        <v>1</v>
      </c>
      <c r="AG14" s="11">
        <f t="shared" si="27"/>
        <v>2</v>
      </c>
      <c r="AH14" s="11">
        <f t="shared" si="28"/>
        <v>0</v>
      </c>
      <c r="AI14" s="22">
        <v>1</v>
      </c>
      <c r="AK14" s="11">
        <f t="shared" ref="AK14:AL14" si="51">SUMIFS(AM$3:AM$251,$A$3:$A$251,$A14)</f>
        <v>2</v>
      </c>
      <c r="AL14" s="11">
        <f t="shared" si="51"/>
        <v>2</v>
      </c>
      <c r="AM14" s="11">
        <f t="shared" si="30"/>
        <v>1</v>
      </c>
      <c r="AN14" s="22">
        <v>1</v>
      </c>
      <c r="AO14" s="22"/>
      <c r="AP14" s="22">
        <f t="shared" si="31"/>
        <v>0</v>
      </c>
      <c r="AQ14" s="22">
        <f t="shared" ref="AQ14:AT14" si="52">IF(OR(E14="",E14="TBD",E14="N/A",E14="SDK",E14="SAAS"),0,1)</f>
        <v>0</v>
      </c>
      <c r="AR14" s="22">
        <f t="shared" si="52"/>
        <v>0</v>
      </c>
      <c r="AS14" s="22">
        <f t="shared" si="52"/>
        <v>0</v>
      </c>
      <c r="AT14" s="22">
        <f t="shared" si="52"/>
        <v>0</v>
      </c>
      <c r="AV14" s="11">
        <f t="shared" si="33"/>
        <v>0</v>
      </c>
      <c r="AW14" s="22">
        <f t="shared" ref="AW14:AZ14" si="53">IF(OR(E14="",E14="N/A",E14="SDK",E14="SAAS"),0,1)</f>
        <v>0</v>
      </c>
      <c r="AX14" s="22">
        <f t="shared" si="53"/>
        <v>0</v>
      </c>
      <c r="AY14" s="22">
        <f t="shared" si="53"/>
        <v>0</v>
      </c>
      <c r="AZ14" s="22">
        <f t="shared" si="53"/>
        <v>0</v>
      </c>
      <c r="BB14" s="22"/>
      <c r="BC14" s="22"/>
      <c r="BD14" s="22"/>
      <c r="BE14" s="22"/>
    </row>
    <row r="15" spans="1:57">
      <c r="A15" s="23" t="s">
        <v>141</v>
      </c>
      <c r="B15" s="24" t="s">
        <v>26</v>
      </c>
      <c r="C15" s="25" t="s">
        <v>142</v>
      </c>
      <c r="D15" s="42"/>
      <c r="E15" s="43" t="s">
        <v>135</v>
      </c>
      <c r="F15" s="43" t="s">
        <v>135</v>
      </c>
      <c r="G15" s="71" t="s">
        <v>143</v>
      </c>
      <c r="H15" s="71" t="s">
        <v>144</v>
      </c>
      <c r="I15" s="31"/>
      <c r="J15" s="31"/>
      <c r="K15" s="34">
        <f t="shared" si="23"/>
        <v>0</v>
      </c>
      <c r="L15" s="31" t="s">
        <v>105</v>
      </c>
      <c r="M15" s="31" t="s">
        <v>106</v>
      </c>
      <c r="N15" s="37" t="s">
        <v>107</v>
      </c>
      <c r="O15" s="31"/>
      <c r="P15" s="31"/>
      <c r="Q15" s="31"/>
      <c r="R15" s="31"/>
      <c r="S15" s="31"/>
      <c r="T15" s="31"/>
      <c r="U15" s="31"/>
      <c r="V15" s="31" t="s">
        <v>108</v>
      </c>
      <c r="W15" s="31" t="s">
        <v>109</v>
      </c>
      <c r="X15" s="31"/>
      <c r="Y15" s="31"/>
      <c r="Z15" s="31"/>
      <c r="AB15" s="11">
        <f t="shared" si="24"/>
        <v>0</v>
      </c>
      <c r="AC15" s="11">
        <f t="shared" si="25"/>
        <v>0</v>
      </c>
      <c r="AD15" s="11">
        <f t="shared" ref="AD15:AD17" si="54">IF(ISNUMBER(MATCH(A15,$A$2:A13,0)),0,1)</f>
        <v>1</v>
      </c>
      <c r="AF15" s="11">
        <f t="shared" si="26"/>
        <v>0</v>
      </c>
      <c r="AG15" s="11">
        <f t="shared" si="27"/>
        <v>2</v>
      </c>
      <c r="AH15" s="11">
        <f t="shared" si="28"/>
        <v>0</v>
      </c>
      <c r="AI15" s="22">
        <v>1</v>
      </c>
      <c r="AK15" s="11">
        <f t="shared" ref="AK15:AL15" si="55">SUMIFS(AM$3:AM$251,$A$3:$A$251,$A15)</f>
        <v>0</v>
      </c>
      <c r="AL15" s="11">
        <f t="shared" si="55"/>
        <v>2</v>
      </c>
      <c r="AM15" s="11">
        <f t="shared" si="30"/>
        <v>0</v>
      </c>
      <c r="AN15" s="22">
        <v>1</v>
      </c>
      <c r="AO15" s="22"/>
      <c r="AP15" s="22">
        <f t="shared" si="31"/>
        <v>2</v>
      </c>
      <c r="AQ15" s="22">
        <f t="shared" ref="AQ15:AT15" si="56">IF(OR(E15="",E15="TBD",E15="N/A",E15="SDK",E15="SAAS"),0,1)</f>
        <v>0</v>
      </c>
      <c r="AR15" s="22">
        <f t="shared" si="56"/>
        <v>0</v>
      </c>
      <c r="AS15" s="22">
        <f t="shared" si="56"/>
        <v>1</v>
      </c>
      <c r="AT15" s="22">
        <f t="shared" si="56"/>
        <v>1</v>
      </c>
      <c r="AV15" s="11">
        <f t="shared" si="33"/>
        <v>4</v>
      </c>
      <c r="AW15" s="22">
        <f t="shared" ref="AW15:AZ15" si="57">IF(OR(E15="",E15="N/A",E15="SDK",E15="SAAS"),0,1)</f>
        <v>1</v>
      </c>
      <c r="AX15" s="22">
        <f t="shared" si="57"/>
        <v>1</v>
      </c>
      <c r="AY15" s="22">
        <f t="shared" si="57"/>
        <v>1</v>
      </c>
      <c r="AZ15" s="22">
        <f t="shared" si="57"/>
        <v>1</v>
      </c>
      <c r="BB15" s="22"/>
      <c r="BC15" s="22"/>
      <c r="BD15" s="22"/>
      <c r="BE15" s="22"/>
    </row>
    <row r="16" spans="1:57">
      <c r="A16" s="23" t="s">
        <v>141</v>
      </c>
      <c r="B16" s="24" t="s">
        <v>26</v>
      </c>
      <c r="C16" s="25" t="s">
        <v>142</v>
      </c>
      <c r="D16" s="42"/>
      <c r="E16" s="43" t="s">
        <v>135</v>
      </c>
      <c r="F16" s="43" t="s">
        <v>135</v>
      </c>
      <c r="G16" s="71" t="s">
        <v>145</v>
      </c>
      <c r="H16" s="71" t="s">
        <v>146</v>
      </c>
      <c r="I16" s="31"/>
      <c r="J16" s="31"/>
      <c r="K16" s="34">
        <f t="shared" si="23"/>
        <v>0</v>
      </c>
      <c r="L16" s="31" t="s">
        <v>105</v>
      </c>
      <c r="M16" s="31" t="s">
        <v>106</v>
      </c>
      <c r="N16" s="37" t="s">
        <v>107</v>
      </c>
      <c r="O16" s="31"/>
      <c r="P16" s="31"/>
      <c r="Q16" s="31"/>
      <c r="R16" s="31"/>
      <c r="S16" s="31"/>
      <c r="T16" s="31"/>
      <c r="U16" s="31"/>
      <c r="V16" s="31" t="s">
        <v>108</v>
      </c>
      <c r="W16" s="31" t="s">
        <v>109</v>
      </c>
      <c r="X16" s="31"/>
      <c r="Y16" s="31"/>
      <c r="Z16" s="31"/>
      <c r="AB16" s="11">
        <f t="shared" si="24"/>
        <v>0</v>
      </c>
      <c r="AC16" s="11">
        <f t="shared" si="25"/>
        <v>0</v>
      </c>
      <c r="AD16" s="11">
        <f t="shared" si="54"/>
        <v>1</v>
      </c>
      <c r="AF16" s="11">
        <f t="shared" si="26"/>
        <v>0</v>
      </c>
      <c r="AG16" s="11">
        <f t="shared" si="27"/>
        <v>2</v>
      </c>
      <c r="AH16" s="11">
        <f t="shared" si="28"/>
        <v>0</v>
      </c>
      <c r="AI16" s="22">
        <v>1</v>
      </c>
      <c r="AK16" s="11">
        <f t="shared" ref="AK16:AL16" si="58">SUMIFS(AM$3:AM$251,$A$3:$A$251,$A16)</f>
        <v>0</v>
      </c>
      <c r="AL16" s="11">
        <f t="shared" si="58"/>
        <v>2</v>
      </c>
      <c r="AM16" s="11">
        <f t="shared" si="30"/>
        <v>0</v>
      </c>
      <c r="AN16" s="22">
        <v>1</v>
      </c>
      <c r="AO16" s="22"/>
      <c r="AP16" s="22">
        <f t="shared" si="31"/>
        <v>2</v>
      </c>
      <c r="AQ16" s="22">
        <f t="shared" ref="AQ16:AT16" si="59">IF(OR(E16="",E16="TBD",E16="N/A",E16="SDK",E16="SAAS"),0,1)</f>
        <v>0</v>
      </c>
      <c r="AR16" s="22">
        <f t="shared" si="59"/>
        <v>0</v>
      </c>
      <c r="AS16" s="22">
        <f t="shared" si="59"/>
        <v>1</v>
      </c>
      <c r="AT16" s="22">
        <f t="shared" si="59"/>
        <v>1</v>
      </c>
      <c r="AV16" s="11">
        <f t="shared" si="33"/>
        <v>4</v>
      </c>
      <c r="AW16" s="22">
        <f t="shared" ref="AW16:AZ16" si="60">IF(OR(E16="",E16="N/A",E16="SDK",E16="SAAS"),0,1)</f>
        <v>1</v>
      </c>
      <c r="AX16" s="22">
        <f t="shared" si="60"/>
        <v>1</v>
      </c>
      <c r="AY16" s="22">
        <f t="shared" si="60"/>
        <v>1</v>
      </c>
      <c r="AZ16" s="22">
        <f t="shared" si="60"/>
        <v>1</v>
      </c>
      <c r="BB16" s="22"/>
      <c r="BC16" s="22"/>
      <c r="BD16" s="22"/>
      <c r="BE16" s="22"/>
    </row>
    <row r="17" spans="1:57">
      <c r="A17" s="23" t="s">
        <v>147</v>
      </c>
      <c r="B17" s="24" t="s">
        <v>26</v>
      </c>
      <c r="C17" s="25" t="s">
        <v>148</v>
      </c>
      <c r="D17" s="42"/>
      <c r="E17" s="72" t="s">
        <v>149</v>
      </c>
      <c r="F17" s="72"/>
      <c r="G17" s="43"/>
      <c r="H17" s="43"/>
      <c r="I17" s="31"/>
      <c r="J17" s="31"/>
      <c r="K17" s="34">
        <f t="shared" si="23"/>
        <v>0</v>
      </c>
      <c r="L17" s="31" t="s">
        <v>105</v>
      </c>
      <c r="M17" s="31" t="s">
        <v>106</v>
      </c>
      <c r="N17" s="37" t="s">
        <v>107</v>
      </c>
      <c r="O17" s="31"/>
      <c r="P17" s="31"/>
      <c r="Q17" s="31"/>
      <c r="R17" s="31"/>
      <c r="S17" s="31"/>
      <c r="T17" s="31"/>
      <c r="U17" s="31"/>
      <c r="V17" s="31" t="s">
        <v>108</v>
      </c>
      <c r="W17" s="31" t="s">
        <v>109</v>
      </c>
      <c r="X17" s="31"/>
      <c r="Y17" s="31"/>
      <c r="Z17" s="31"/>
      <c r="AB17" s="11">
        <f t="shared" si="24"/>
        <v>1</v>
      </c>
      <c r="AC17" s="11">
        <f t="shared" si="25"/>
        <v>1</v>
      </c>
      <c r="AD17" s="11">
        <f t="shared" si="54"/>
        <v>1</v>
      </c>
      <c r="AF17" s="11">
        <f t="shared" si="26"/>
        <v>1</v>
      </c>
      <c r="AG17" s="11">
        <f t="shared" si="27"/>
        <v>1</v>
      </c>
      <c r="AH17" s="11">
        <f t="shared" si="28"/>
        <v>1</v>
      </c>
      <c r="AI17" s="22">
        <v>1</v>
      </c>
      <c r="AK17" s="11">
        <f t="shared" ref="AK17:AL17" si="61">SUMIFS(AM$3:AM$251,$A$3:$A$251,$A17)</f>
        <v>1</v>
      </c>
      <c r="AL17" s="11">
        <f t="shared" si="61"/>
        <v>1</v>
      </c>
      <c r="AM17" s="11">
        <f t="shared" si="30"/>
        <v>1</v>
      </c>
      <c r="AN17" s="22">
        <v>1</v>
      </c>
      <c r="AO17" s="22"/>
      <c r="AP17" s="22">
        <f t="shared" si="31"/>
        <v>1</v>
      </c>
      <c r="AQ17" s="22">
        <f t="shared" ref="AQ17:AT17" si="62">IF(OR(E17="",E17="TBD",E17="N/A",E17="SDK",E17="SAAS"),0,1)</f>
        <v>1</v>
      </c>
      <c r="AR17" s="22">
        <f t="shared" si="62"/>
        <v>0</v>
      </c>
      <c r="AS17" s="22">
        <f t="shared" si="62"/>
        <v>0</v>
      </c>
      <c r="AT17" s="22">
        <f t="shared" si="62"/>
        <v>0</v>
      </c>
      <c r="AV17" s="11">
        <f t="shared" si="33"/>
        <v>1</v>
      </c>
      <c r="AW17" s="22">
        <f t="shared" ref="AW17:AZ17" si="63">IF(OR(E17="",E17="N/A",E17="SDK",E17="SAAS"),0,1)</f>
        <v>1</v>
      </c>
      <c r="AX17" s="22">
        <f t="shared" si="63"/>
        <v>0</v>
      </c>
      <c r="AY17" s="22">
        <f t="shared" si="63"/>
        <v>0</v>
      </c>
      <c r="AZ17" s="22">
        <f t="shared" si="63"/>
        <v>0</v>
      </c>
      <c r="BB17" s="22"/>
      <c r="BC17" s="22"/>
      <c r="BD17" s="22"/>
      <c r="BE17" s="22"/>
    </row>
    <row r="18" spans="1:57">
      <c r="A18" s="23" t="s">
        <v>150</v>
      </c>
      <c r="B18" s="24" t="s">
        <v>26</v>
      </c>
      <c r="C18" s="25" t="s">
        <v>151</v>
      </c>
      <c r="D18" s="42"/>
      <c r="E18" s="43" t="s">
        <v>102</v>
      </c>
      <c r="F18" s="43" t="s">
        <v>102</v>
      </c>
      <c r="G18" s="43" t="s">
        <v>152</v>
      </c>
      <c r="H18" s="75" t="s">
        <v>153</v>
      </c>
      <c r="I18" s="31"/>
      <c r="J18" s="31">
        <v>1</v>
      </c>
      <c r="K18" s="34">
        <f t="shared" si="23"/>
        <v>3.5</v>
      </c>
      <c r="L18" s="31" t="s">
        <v>105</v>
      </c>
      <c r="M18" s="31" t="s">
        <v>106</v>
      </c>
      <c r="N18" s="37" t="s">
        <v>107</v>
      </c>
      <c r="O18" s="31"/>
      <c r="P18" s="31"/>
      <c r="Q18" s="31"/>
      <c r="R18" s="31"/>
      <c r="S18" s="31"/>
      <c r="T18" s="31"/>
      <c r="U18" s="31"/>
      <c r="V18" s="31" t="s">
        <v>108</v>
      </c>
      <c r="W18" s="31" t="s">
        <v>109</v>
      </c>
      <c r="X18" s="31"/>
      <c r="Y18" s="31"/>
      <c r="Z18" s="31"/>
      <c r="AB18" s="11">
        <f t="shared" si="24"/>
        <v>1</v>
      </c>
      <c r="AC18" s="11">
        <f t="shared" si="25"/>
        <v>1</v>
      </c>
      <c r="AD18" s="11">
        <f t="shared" ref="AD18:AD29" si="64">IF(ISNUMBER(MATCH(A18,$A$2:A17,0)),0,1)</f>
        <v>1</v>
      </c>
      <c r="AF18" s="11">
        <f t="shared" si="26"/>
        <v>1</v>
      </c>
      <c r="AG18" s="11">
        <f t="shared" si="27"/>
        <v>1</v>
      </c>
      <c r="AH18" s="11">
        <f t="shared" si="28"/>
        <v>1</v>
      </c>
      <c r="AI18" s="22">
        <v>1</v>
      </c>
      <c r="AK18" s="11">
        <f t="shared" ref="AK18:AL18" si="65">SUMIFS(AM$3:AM$251,$A$3:$A$251,$A18)</f>
        <v>1</v>
      </c>
      <c r="AL18" s="11">
        <f t="shared" si="65"/>
        <v>1</v>
      </c>
      <c r="AM18" s="11">
        <f t="shared" si="30"/>
        <v>1</v>
      </c>
      <c r="AN18" s="22">
        <v>1</v>
      </c>
      <c r="AO18" s="22"/>
      <c r="AP18" s="22">
        <f t="shared" si="31"/>
        <v>2</v>
      </c>
      <c r="AQ18" s="22">
        <f t="shared" ref="AQ18:AT18" si="66">IF(OR(E18="",E18="TBD",E18="N/A",E18="SDK",E18="SAAS"),0,1)</f>
        <v>0</v>
      </c>
      <c r="AR18" s="22">
        <f t="shared" si="66"/>
        <v>0</v>
      </c>
      <c r="AS18" s="22">
        <f t="shared" si="66"/>
        <v>1</v>
      </c>
      <c r="AT18" s="22">
        <f t="shared" si="66"/>
        <v>1</v>
      </c>
      <c r="AV18" s="11">
        <f t="shared" si="33"/>
        <v>2</v>
      </c>
      <c r="AW18" s="22">
        <f t="shared" ref="AW18:AZ18" si="67">IF(OR(E18="",E18="N/A",E18="SDK",E18="SAAS"),0,1)</f>
        <v>0</v>
      </c>
      <c r="AX18" s="22">
        <f t="shared" si="67"/>
        <v>0</v>
      </c>
      <c r="AY18" s="22">
        <f t="shared" si="67"/>
        <v>1</v>
      </c>
      <c r="AZ18" s="22">
        <f t="shared" si="67"/>
        <v>1</v>
      </c>
      <c r="BB18" s="22"/>
      <c r="BC18" s="22"/>
      <c r="BD18" s="22"/>
      <c r="BE18" s="22"/>
    </row>
    <row r="19" spans="1:57">
      <c r="A19" s="23" t="s">
        <v>154</v>
      </c>
      <c r="B19" s="24" t="s">
        <v>26</v>
      </c>
      <c r="C19" s="25" t="s">
        <v>155</v>
      </c>
      <c r="D19" s="42"/>
      <c r="E19" s="43" t="s">
        <v>102</v>
      </c>
      <c r="F19" s="43" t="s">
        <v>102</v>
      </c>
      <c r="G19" s="43" t="s">
        <v>156</v>
      </c>
      <c r="H19" s="72" t="s">
        <v>157</v>
      </c>
      <c r="I19" s="31"/>
      <c r="J19" s="31">
        <v>1</v>
      </c>
      <c r="K19" s="34">
        <f t="shared" si="23"/>
        <v>3.5</v>
      </c>
      <c r="L19" s="31" t="s">
        <v>105</v>
      </c>
      <c r="M19" s="31" t="s">
        <v>106</v>
      </c>
      <c r="N19" s="37" t="s">
        <v>107</v>
      </c>
      <c r="O19" s="31"/>
      <c r="P19" s="31"/>
      <c r="Q19" s="31"/>
      <c r="R19" s="31"/>
      <c r="S19" s="31"/>
      <c r="T19" s="31"/>
      <c r="U19" s="31"/>
      <c r="V19" s="31" t="s">
        <v>108</v>
      </c>
      <c r="W19" s="31" t="s">
        <v>109</v>
      </c>
      <c r="X19" s="31"/>
      <c r="Y19" s="31"/>
      <c r="Z19" s="31"/>
      <c r="AB19" s="11">
        <f t="shared" si="24"/>
        <v>1</v>
      </c>
      <c r="AC19" s="11">
        <f t="shared" si="25"/>
        <v>1</v>
      </c>
      <c r="AD19" s="11">
        <f t="shared" si="64"/>
        <v>1</v>
      </c>
      <c r="AF19" s="11">
        <f t="shared" si="26"/>
        <v>1</v>
      </c>
      <c r="AG19" s="11">
        <f t="shared" si="27"/>
        <v>1</v>
      </c>
      <c r="AH19" s="11">
        <f t="shared" si="28"/>
        <v>1</v>
      </c>
      <c r="AI19" s="22">
        <v>1</v>
      </c>
      <c r="AK19" s="11">
        <f t="shared" ref="AK19:AL19" si="68">SUMIFS(AM$3:AM$251,$A$3:$A$251,$A19)</f>
        <v>1</v>
      </c>
      <c r="AL19" s="11">
        <f t="shared" si="68"/>
        <v>1</v>
      </c>
      <c r="AM19" s="11">
        <f t="shared" si="30"/>
        <v>1</v>
      </c>
      <c r="AN19" s="22">
        <v>1</v>
      </c>
      <c r="AO19" s="22"/>
      <c r="AP19" s="22">
        <f t="shared" si="31"/>
        <v>2</v>
      </c>
      <c r="AQ19" s="22">
        <f t="shared" ref="AQ19:AT19" si="69">IF(OR(E19="",E19="TBD",E19="N/A",E19="SDK",E19="SAAS"),0,1)</f>
        <v>0</v>
      </c>
      <c r="AR19" s="22">
        <f t="shared" si="69"/>
        <v>0</v>
      </c>
      <c r="AS19" s="22">
        <f t="shared" si="69"/>
        <v>1</v>
      </c>
      <c r="AT19" s="22">
        <f t="shared" si="69"/>
        <v>1</v>
      </c>
      <c r="AV19" s="11">
        <f t="shared" si="33"/>
        <v>2</v>
      </c>
      <c r="AW19" s="22">
        <f t="shared" ref="AW19:AZ19" si="70">IF(OR(E19="",E19="N/A",E19="SDK",E19="SAAS"),0,1)</f>
        <v>0</v>
      </c>
      <c r="AX19" s="22">
        <f t="shared" si="70"/>
        <v>0</v>
      </c>
      <c r="AY19" s="22">
        <f t="shared" si="70"/>
        <v>1</v>
      </c>
      <c r="AZ19" s="22">
        <f t="shared" si="70"/>
        <v>1</v>
      </c>
      <c r="BB19" s="22"/>
      <c r="BC19" s="22"/>
      <c r="BD19" s="22"/>
      <c r="BE19" s="22"/>
    </row>
    <row r="20" spans="1:57">
      <c r="A20" s="23" t="s">
        <v>158</v>
      </c>
      <c r="B20" s="24" t="s">
        <v>26</v>
      </c>
      <c r="C20" s="25" t="s">
        <v>159</v>
      </c>
      <c r="D20" s="77"/>
      <c r="E20" s="43" t="s">
        <v>138</v>
      </c>
      <c r="F20" s="68" t="s">
        <v>129</v>
      </c>
      <c r="G20" s="43" t="s">
        <v>139</v>
      </c>
      <c r="H20" s="43" t="s">
        <v>140</v>
      </c>
      <c r="I20" s="31"/>
      <c r="J20" s="31"/>
      <c r="K20" s="34">
        <f t="shared" si="23"/>
        <v>0</v>
      </c>
      <c r="L20" s="31" t="s">
        <v>105</v>
      </c>
      <c r="M20" s="31" t="s">
        <v>106</v>
      </c>
      <c r="N20" s="37" t="s">
        <v>107</v>
      </c>
      <c r="O20" s="31"/>
      <c r="P20" s="31"/>
      <c r="Q20" s="31"/>
      <c r="R20" s="31"/>
      <c r="S20" s="31"/>
      <c r="T20" s="31"/>
      <c r="U20" s="31"/>
      <c r="V20" s="31" t="s">
        <v>108</v>
      </c>
      <c r="W20" s="31" t="s">
        <v>109</v>
      </c>
      <c r="X20" s="31"/>
      <c r="Y20" s="31"/>
      <c r="Z20" s="31"/>
      <c r="AB20" s="11">
        <f t="shared" si="24"/>
        <v>1</v>
      </c>
      <c r="AC20" s="11">
        <f t="shared" si="25"/>
        <v>1</v>
      </c>
      <c r="AD20" s="11">
        <f t="shared" si="64"/>
        <v>1</v>
      </c>
      <c r="AF20" s="11">
        <f t="shared" si="26"/>
        <v>1</v>
      </c>
      <c r="AG20" s="11">
        <f t="shared" si="27"/>
        <v>1</v>
      </c>
      <c r="AH20" s="11">
        <f t="shared" si="28"/>
        <v>1</v>
      </c>
      <c r="AI20" s="22">
        <v>1</v>
      </c>
      <c r="AK20" s="11">
        <f t="shared" ref="AK20:AL20" si="71">SUMIFS(AM$3:AM$251,$A$3:$A$251,$A20)</f>
        <v>1</v>
      </c>
      <c r="AL20" s="11">
        <f t="shared" si="71"/>
        <v>1</v>
      </c>
      <c r="AM20" s="11">
        <f t="shared" si="30"/>
        <v>1</v>
      </c>
      <c r="AN20" s="22">
        <v>1</v>
      </c>
      <c r="AO20" s="22"/>
      <c r="AP20" s="22">
        <f t="shared" si="31"/>
        <v>4</v>
      </c>
      <c r="AQ20" s="22">
        <f t="shared" ref="AQ20:AT20" si="72">IF(OR(E20="",E20="TBD",E20="N/A",E20="SDK",E20="SAAS"),0,1)</f>
        <v>1</v>
      </c>
      <c r="AR20" s="22">
        <f t="shared" si="72"/>
        <v>1</v>
      </c>
      <c r="AS20" s="22">
        <f t="shared" si="72"/>
        <v>1</v>
      </c>
      <c r="AT20" s="22">
        <f t="shared" si="72"/>
        <v>1</v>
      </c>
      <c r="AV20" s="11">
        <f t="shared" si="33"/>
        <v>4</v>
      </c>
      <c r="AW20" s="22">
        <f t="shared" ref="AW20:AZ20" si="73">IF(OR(E20="",E20="N/A",E20="SDK",E20="SAAS"),0,1)</f>
        <v>1</v>
      </c>
      <c r="AX20" s="22">
        <f t="shared" si="73"/>
        <v>1</v>
      </c>
      <c r="AY20" s="22">
        <f t="shared" si="73"/>
        <v>1</v>
      </c>
      <c r="AZ20" s="22">
        <f t="shared" si="73"/>
        <v>1</v>
      </c>
      <c r="BB20" s="22"/>
      <c r="BC20" s="22"/>
      <c r="BD20" s="22"/>
      <c r="BE20" s="22"/>
    </row>
    <row r="21" spans="1:57">
      <c r="A21" s="23" t="s">
        <v>160</v>
      </c>
      <c r="B21" s="24" t="s">
        <v>26</v>
      </c>
      <c r="C21" s="25" t="s">
        <v>161</v>
      </c>
      <c r="D21" s="42" t="s">
        <v>110</v>
      </c>
      <c r="E21" s="43" t="s">
        <v>110</v>
      </c>
      <c r="F21" s="43" t="s">
        <v>110</v>
      </c>
      <c r="G21" s="43" t="s">
        <v>110</v>
      </c>
      <c r="H21" s="43" t="s">
        <v>110</v>
      </c>
      <c r="I21" s="31"/>
      <c r="J21" s="31"/>
      <c r="K21" s="34">
        <f t="shared" si="23"/>
        <v>0</v>
      </c>
      <c r="L21" s="31" t="s">
        <v>105</v>
      </c>
      <c r="M21" s="31" t="s">
        <v>106</v>
      </c>
      <c r="N21" s="37" t="s">
        <v>107</v>
      </c>
      <c r="O21" s="31"/>
      <c r="P21" s="31"/>
      <c r="Q21" s="31"/>
      <c r="R21" s="31"/>
      <c r="S21" s="31"/>
      <c r="T21" s="31"/>
      <c r="U21" s="31"/>
      <c r="V21" s="31" t="s">
        <v>108</v>
      </c>
      <c r="W21" s="31" t="s">
        <v>109</v>
      </c>
      <c r="X21" s="31"/>
      <c r="Y21" s="31"/>
      <c r="Z21" s="31"/>
      <c r="AB21" s="11">
        <f t="shared" si="24"/>
        <v>0</v>
      </c>
      <c r="AC21" s="11">
        <f t="shared" si="25"/>
        <v>1</v>
      </c>
      <c r="AD21" s="11">
        <f t="shared" si="64"/>
        <v>1</v>
      </c>
      <c r="AF21" s="11">
        <f t="shared" si="26"/>
        <v>0</v>
      </c>
      <c r="AG21" s="11">
        <f t="shared" si="27"/>
        <v>1</v>
      </c>
      <c r="AH21" s="11">
        <f t="shared" si="28"/>
        <v>0</v>
      </c>
      <c r="AI21" s="22">
        <v>1</v>
      </c>
      <c r="AK21" s="11">
        <f t="shared" ref="AK21:AL21" si="74">SUMIFS(AM$3:AM$251,$A$3:$A$251,$A21)</f>
        <v>1</v>
      </c>
      <c r="AL21" s="11">
        <f t="shared" si="74"/>
        <v>1</v>
      </c>
      <c r="AM21" s="11">
        <f t="shared" si="30"/>
        <v>1</v>
      </c>
      <c r="AN21" s="22">
        <v>1</v>
      </c>
      <c r="AO21" s="22"/>
      <c r="AP21" s="22">
        <f t="shared" si="31"/>
        <v>0</v>
      </c>
      <c r="AQ21" s="22">
        <f t="shared" ref="AQ21:AT21" si="75">IF(OR(E21="",E21="TBD",E21="N/A",E21="SDK",E21="SAAS"),0,1)</f>
        <v>0</v>
      </c>
      <c r="AR21" s="22">
        <f t="shared" si="75"/>
        <v>0</v>
      </c>
      <c r="AS21" s="22">
        <f t="shared" si="75"/>
        <v>0</v>
      </c>
      <c r="AT21" s="22">
        <f t="shared" si="75"/>
        <v>0</v>
      </c>
      <c r="AV21" s="11">
        <f t="shared" si="33"/>
        <v>0</v>
      </c>
      <c r="AW21" s="22">
        <f t="shared" ref="AW21:AZ21" si="76">IF(OR(E21="",E21="N/A",E21="SDK",E21="SAAS"),0,1)</f>
        <v>0</v>
      </c>
      <c r="AX21" s="22">
        <f t="shared" si="76"/>
        <v>0</v>
      </c>
      <c r="AY21" s="22">
        <f t="shared" si="76"/>
        <v>0</v>
      </c>
      <c r="AZ21" s="22">
        <f t="shared" si="76"/>
        <v>0</v>
      </c>
      <c r="BB21" s="22"/>
      <c r="BC21" s="22"/>
      <c r="BD21" s="22"/>
      <c r="BE21" s="22"/>
    </row>
    <row r="22" spans="1:57">
      <c r="A22" s="23" t="s">
        <v>162</v>
      </c>
      <c r="B22" s="24" t="s">
        <v>26</v>
      </c>
      <c r="C22" s="25" t="s">
        <v>163</v>
      </c>
      <c r="D22" s="42" t="s">
        <v>110</v>
      </c>
      <c r="E22" s="43" t="s">
        <v>110</v>
      </c>
      <c r="F22" s="43" t="s">
        <v>110</v>
      </c>
      <c r="G22" s="43" t="s">
        <v>110</v>
      </c>
      <c r="H22" s="43" t="s">
        <v>110</v>
      </c>
      <c r="I22" s="31"/>
      <c r="J22" s="31"/>
      <c r="K22" s="34">
        <f t="shared" si="23"/>
        <v>0</v>
      </c>
      <c r="L22" s="31" t="s">
        <v>105</v>
      </c>
      <c r="M22" s="31" t="s">
        <v>106</v>
      </c>
      <c r="N22" s="37" t="s">
        <v>107</v>
      </c>
      <c r="O22" s="31"/>
      <c r="P22" s="31"/>
      <c r="Q22" s="31"/>
      <c r="R22" s="31"/>
      <c r="S22" s="31"/>
      <c r="T22" s="31"/>
      <c r="U22" s="31"/>
      <c r="V22" s="31" t="s">
        <v>108</v>
      </c>
      <c r="W22" s="31" t="s">
        <v>109</v>
      </c>
      <c r="X22" s="31"/>
      <c r="Y22" s="31"/>
      <c r="Z22" s="31"/>
      <c r="AB22" s="11">
        <f t="shared" si="24"/>
        <v>0</v>
      </c>
      <c r="AC22" s="11">
        <f t="shared" si="25"/>
        <v>1</v>
      </c>
      <c r="AD22" s="11">
        <f t="shared" si="64"/>
        <v>1</v>
      </c>
      <c r="AF22" s="11">
        <f t="shared" si="26"/>
        <v>0</v>
      </c>
      <c r="AG22" s="11">
        <f t="shared" si="27"/>
        <v>1</v>
      </c>
      <c r="AH22" s="11">
        <f t="shared" si="28"/>
        <v>0</v>
      </c>
      <c r="AI22" s="22">
        <v>1</v>
      </c>
      <c r="AK22" s="11">
        <f t="shared" ref="AK22:AL22" si="77">SUMIFS(AM$3:AM$251,$A$3:$A$251,$A22)</f>
        <v>1</v>
      </c>
      <c r="AL22" s="11">
        <f t="shared" si="77"/>
        <v>1</v>
      </c>
      <c r="AM22" s="11">
        <f t="shared" si="30"/>
        <v>1</v>
      </c>
      <c r="AN22" s="22">
        <v>1</v>
      </c>
      <c r="AO22" s="22"/>
      <c r="AP22" s="22">
        <f t="shared" si="31"/>
        <v>0</v>
      </c>
      <c r="AQ22" s="22">
        <f t="shared" ref="AQ22:AT22" si="78">IF(OR(E22="",E22="TBD",E22="N/A",E22="SDK",E22="SAAS"),0,1)</f>
        <v>0</v>
      </c>
      <c r="AR22" s="22">
        <f t="shared" si="78"/>
        <v>0</v>
      </c>
      <c r="AS22" s="22">
        <f t="shared" si="78"/>
        <v>0</v>
      </c>
      <c r="AT22" s="22">
        <f t="shared" si="78"/>
        <v>0</v>
      </c>
      <c r="AV22" s="11">
        <f t="shared" si="33"/>
        <v>0</v>
      </c>
      <c r="AW22" s="22">
        <f t="shared" ref="AW22:AZ22" si="79">IF(OR(E22="",E22="N/A",E22="SDK",E22="SAAS"),0,1)</f>
        <v>0</v>
      </c>
      <c r="AX22" s="22">
        <f t="shared" si="79"/>
        <v>0</v>
      </c>
      <c r="AY22" s="22">
        <f t="shared" si="79"/>
        <v>0</v>
      </c>
      <c r="AZ22" s="22">
        <f t="shared" si="79"/>
        <v>0</v>
      </c>
      <c r="BB22" s="22"/>
      <c r="BC22" s="22"/>
      <c r="BD22" s="22"/>
      <c r="BE22" s="22"/>
    </row>
    <row r="23" spans="1:57">
      <c r="A23" s="23" t="s">
        <v>164</v>
      </c>
      <c r="B23" s="24" t="s">
        <v>26</v>
      </c>
      <c r="C23" s="47" t="s">
        <v>165</v>
      </c>
      <c r="D23" s="42"/>
      <c r="E23" s="43" t="s">
        <v>166</v>
      </c>
      <c r="F23" s="43" t="s">
        <v>167</v>
      </c>
      <c r="G23" s="43" t="s">
        <v>168</v>
      </c>
      <c r="H23" s="72" t="s">
        <v>169</v>
      </c>
      <c r="I23" s="31"/>
      <c r="J23" s="31">
        <v>6</v>
      </c>
      <c r="K23" s="34">
        <f t="shared" si="23"/>
        <v>21</v>
      </c>
      <c r="L23" s="31" t="s">
        <v>105</v>
      </c>
      <c r="M23" s="31" t="s">
        <v>106</v>
      </c>
      <c r="N23" s="37" t="s">
        <v>107</v>
      </c>
      <c r="O23" s="31"/>
      <c r="P23" s="31"/>
      <c r="Q23" s="31"/>
      <c r="R23" s="31"/>
      <c r="S23" s="31"/>
      <c r="T23" s="31"/>
      <c r="U23" s="31"/>
      <c r="V23" s="31" t="s">
        <v>108</v>
      </c>
      <c r="W23" s="31" t="s">
        <v>109</v>
      </c>
      <c r="X23" s="31"/>
      <c r="Y23" s="31"/>
      <c r="Z23" s="31"/>
      <c r="AB23" s="11">
        <f t="shared" si="24"/>
        <v>1</v>
      </c>
      <c r="AC23" s="11">
        <f t="shared" si="25"/>
        <v>1</v>
      </c>
      <c r="AD23" s="11">
        <f t="shared" si="64"/>
        <v>1</v>
      </c>
      <c r="AF23" s="11">
        <f t="shared" si="26"/>
        <v>1</v>
      </c>
      <c r="AG23" s="11">
        <f t="shared" si="27"/>
        <v>1</v>
      </c>
      <c r="AH23" s="11">
        <f t="shared" si="28"/>
        <v>1</v>
      </c>
      <c r="AI23" s="22">
        <v>1</v>
      </c>
      <c r="AK23" s="11">
        <f t="shared" ref="AK23:AL23" si="80">SUMIFS(AM$3:AM$251,$A$3:$A$251,$A23)</f>
        <v>1</v>
      </c>
      <c r="AL23" s="11">
        <f t="shared" si="80"/>
        <v>1</v>
      </c>
      <c r="AM23" s="11">
        <f t="shared" si="30"/>
        <v>1</v>
      </c>
      <c r="AN23" s="22">
        <v>1</v>
      </c>
      <c r="AO23" s="22"/>
      <c r="AP23" s="22">
        <f t="shared" si="31"/>
        <v>4</v>
      </c>
      <c r="AQ23" s="22">
        <f t="shared" ref="AQ23:AT23" si="81">IF(OR(E23="",E23="TBD",E23="N/A",E23="SDK",E23="SAAS"),0,1)</f>
        <v>1</v>
      </c>
      <c r="AR23" s="22">
        <f t="shared" si="81"/>
        <v>1</v>
      </c>
      <c r="AS23" s="22">
        <f t="shared" si="81"/>
        <v>1</v>
      </c>
      <c r="AT23" s="22">
        <f t="shared" si="81"/>
        <v>1</v>
      </c>
      <c r="AV23" s="11">
        <f t="shared" si="33"/>
        <v>4</v>
      </c>
      <c r="AW23" s="22">
        <f t="shared" ref="AW23:AZ23" si="82">IF(OR(E23="",E23="N/A",E23="SDK",E23="SAAS"),0,1)</f>
        <v>1</v>
      </c>
      <c r="AX23" s="22">
        <f t="shared" si="82"/>
        <v>1</v>
      </c>
      <c r="AY23" s="22">
        <f t="shared" si="82"/>
        <v>1</v>
      </c>
      <c r="AZ23" s="22">
        <f t="shared" si="82"/>
        <v>1</v>
      </c>
      <c r="BB23" s="22"/>
      <c r="BC23" s="22"/>
      <c r="BD23" s="22"/>
      <c r="BE23" s="22"/>
    </row>
    <row r="24" spans="1:57">
      <c r="A24" s="23" t="s">
        <v>170</v>
      </c>
      <c r="B24" s="24" t="s">
        <v>26</v>
      </c>
      <c r="C24" s="25" t="s">
        <v>171</v>
      </c>
      <c r="D24" s="42"/>
      <c r="E24" s="43" t="s">
        <v>172</v>
      </c>
      <c r="F24" s="43" t="s">
        <v>173</v>
      </c>
      <c r="G24" s="72" t="s">
        <v>174</v>
      </c>
      <c r="H24" s="43"/>
      <c r="I24" s="31"/>
      <c r="J24" s="31"/>
      <c r="K24" s="34">
        <f t="shared" si="23"/>
        <v>0</v>
      </c>
      <c r="L24" s="31" t="s">
        <v>105</v>
      </c>
      <c r="M24" s="31" t="s">
        <v>106</v>
      </c>
      <c r="N24" s="37" t="s">
        <v>107</v>
      </c>
      <c r="O24" s="31"/>
      <c r="P24" s="31"/>
      <c r="Q24" s="31"/>
      <c r="R24" s="31"/>
      <c r="S24" s="31"/>
      <c r="T24" s="31"/>
      <c r="U24" s="31"/>
      <c r="V24" s="31" t="s">
        <v>108</v>
      </c>
      <c r="W24" s="31" t="s">
        <v>109</v>
      </c>
      <c r="X24" s="31"/>
      <c r="Y24" s="31"/>
      <c r="Z24" s="31"/>
      <c r="AB24" s="11">
        <f t="shared" si="24"/>
        <v>1</v>
      </c>
      <c r="AC24" s="11">
        <f t="shared" si="25"/>
        <v>1</v>
      </c>
      <c r="AD24" s="11">
        <f t="shared" si="64"/>
        <v>1</v>
      </c>
      <c r="AF24" s="11">
        <f t="shared" si="26"/>
        <v>1</v>
      </c>
      <c r="AG24" s="11">
        <f t="shared" si="27"/>
        <v>1</v>
      </c>
      <c r="AH24" s="11">
        <f t="shared" si="28"/>
        <v>1</v>
      </c>
      <c r="AI24" s="22">
        <v>1</v>
      </c>
      <c r="AK24" s="11">
        <f t="shared" ref="AK24:AL24" si="83">SUMIFS(AM$3:AM$251,$A$3:$A$251,$A24)</f>
        <v>1</v>
      </c>
      <c r="AL24" s="11">
        <f t="shared" si="83"/>
        <v>1</v>
      </c>
      <c r="AM24" s="11">
        <f t="shared" si="30"/>
        <v>1</v>
      </c>
      <c r="AN24" s="22">
        <v>1</v>
      </c>
      <c r="AO24" s="22"/>
      <c r="AP24" s="22">
        <f t="shared" si="31"/>
        <v>3</v>
      </c>
      <c r="AQ24" s="22">
        <f t="shared" ref="AQ24:AT24" si="84">IF(OR(E24="",E24="TBD",E24="N/A",E24="SDK",E24="SAAS"),0,1)</f>
        <v>1</v>
      </c>
      <c r="AR24" s="22">
        <f t="shared" si="84"/>
        <v>1</v>
      </c>
      <c r="AS24" s="22">
        <f t="shared" si="84"/>
        <v>1</v>
      </c>
      <c r="AT24" s="22">
        <f t="shared" si="84"/>
        <v>0</v>
      </c>
      <c r="AV24" s="11">
        <f t="shared" si="33"/>
        <v>3</v>
      </c>
      <c r="AW24" s="22">
        <f t="shared" ref="AW24:AZ24" si="85">IF(OR(E24="",E24="N/A",E24="SDK",E24="SAAS"),0,1)</f>
        <v>1</v>
      </c>
      <c r="AX24" s="22">
        <f t="shared" si="85"/>
        <v>1</v>
      </c>
      <c r="AY24" s="22">
        <f t="shared" si="85"/>
        <v>1</v>
      </c>
      <c r="AZ24" s="22">
        <f t="shared" si="85"/>
        <v>0</v>
      </c>
      <c r="BB24" s="22"/>
      <c r="BC24" s="22"/>
      <c r="BD24" s="22"/>
      <c r="BE24" s="22"/>
    </row>
    <row r="25" spans="1:57">
      <c r="A25" s="23" t="s">
        <v>175</v>
      </c>
      <c r="B25" s="24" t="s">
        <v>26</v>
      </c>
      <c r="C25" s="25" t="s">
        <v>176</v>
      </c>
      <c r="D25" s="42"/>
      <c r="E25" s="43" t="s">
        <v>172</v>
      </c>
      <c r="F25" s="43" t="s">
        <v>173</v>
      </c>
      <c r="G25" s="72" t="s">
        <v>174</v>
      </c>
      <c r="H25" s="43"/>
      <c r="I25" s="31"/>
      <c r="J25" s="31"/>
      <c r="K25" s="34">
        <f t="shared" si="23"/>
        <v>0</v>
      </c>
      <c r="L25" s="31" t="s">
        <v>105</v>
      </c>
      <c r="M25" s="31" t="s">
        <v>106</v>
      </c>
      <c r="N25" s="37" t="s">
        <v>107</v>
      </c>
      <c r="O25" s="31"/>
      <c r="P25" s="31"/>
      <c r="Q25" s="31"/>
      <c r="R25" s="31"/>
      <c r="S25" s="31"/>
      <c r="T25" s="31"/>
      <c r="U25" s="31"/>
      <c r="V25" s="31" t="s">
        <v>108</v>
      </c>
      <c r="W25" s="31" t="s">
        <v>109</v>
      </c>
      <c r="X25" s="31"/>
      <c r="Y25" s="31"/>
      <c r="Z25" s="31"/>
      <c r="AB25" s="11">
        <f t="shared" si="24"/>
        <v>1</v>
      </c>
      <c r="AC25" s="11">
        <f t="shared" si="25"/>
        <v>1</v>
      </c>
      <c r="AD25" s="11">
        <f t="shared" si="64"/>
        <v>1</v>
      </c>
      <c r="AF25" s="11">
        <f t="shared" si="26"/>
        <v>1</v>
      </c>
      <c r="AG25" s="11">
        <f t="shared" si="27"/>
        <v>1</v>
      </c>
      <c r="AH25" s="11">
        <f t="shared" si="28"/>
        <v>1</v>
      </c>
      <c r="AI25" s="22">
        <v>1</v>
      </c>
      <c r="AK25" s="11">
        <f t="shared" ref="AK25:AL25" si="86">SUMIFS(AM$3:AM$251,$A$3:$A$251,$A25)</f>
        <v>1</v>
      </c>
      <c r="AL25" s="11">
        <f t="shared" si="86"/>
        <v>1</v>
      </c>
      <c r="AM25" s="11">
        <f t="shared" si="30"/>
        <v>1</v>
      </c>
      <c r="AN25" s="22">
        <v>1</v>
      </c>
      <c r="AO25" s="22"/>
      <c r="AP25" s="22">
        <f t="shared" si="31"/>
        <v>3</v>
      </c>
      <c r="AQ25" s="22">
        <f t="shared" ref="AQ25:AT25" si="87">IF(OR(E25="",E25="TBD",E25="N/A",E25="SDK",E25="SAAS"),0,1)</f>
        <v>1</v>
      </c>
      <c r="AR25" s="22">
        <f t="shared" si="87"/>
        <v>1</v>
      </c>
      <c r="AS25" s="22">
        <f t="shared" si="87"/>
        <v>1</v>
      </c>
      <c r="AT25" s="22">
        <f t="shared" si="87"/>
        <v>0</v>
      </c>
      <c r="AV25" s="11">
        <f t="shared" si="33"/>
        <v>3</v>
      </c>
      <c r="AW25" s="22">
        <f t="shared" ref="AW25:AZ25" si="88">IF(OR(E25="",E25="N/A",E25="SDK",E25="SAAS"),0,1)</f>
        <v>1</v>
      </c>
      <c r="AX25" s="22">
        <f t="shared" si="88"/>
        <v>1</v>
      </c>
      <c r="AY25" s="22">
        <f t="shared" si="88"/>
        <v>1</v>
      </c>
      <c r="AZ25" s="22">
        <f t="shared" si="88"/>
        <v>0</v>
      </c>
      <c r="BB25" s="22"/>
      <c r="BC25" s="22"/>
      <c r="BD25" s="22"/>
      <c r="BE25" s="22"/>
    </row>
    <row r="26" spans="1:57">
      <c r="A26" s="23" t="s">
        <v>177</v>
      </c>
      <c r="B26" s="24" t="s">
        <v>26</v>
      </c>
      <c r="C26" s="25" t="s">
        <v>178</v>
      </c>
      <c r="D26" s="26"/>
      <c r="E26" s="29" t="s">
        <v>172</v>
      </c>
      <c r="F26" s="29" t="s">
        <v>173</v>
      </c>
      <c r="G26" s="83" t="s">
        <v>174</v>
      </c>
      <c r="H26" s="29"/>
      <c r="I26" s="31"/>
      <c r="J26" s="31"/>
      <c r="K26" s="34">
        <f t="shared" si="23"/>
        <v>0</v>
      </c>
      <c r="L26" s="31" t="s">
        <v>105</v>
      </c>
      <c r="M26" s="31" t="s">
        <v>106</v>
      </c>
      <c r="N26" s="37" t="s">
        <v>107</v>
      </c>
      <c r="O26" s="31"/>
      <c r="P26" s="31"/>
      <c r="Q26" s="31"/>
      <c r="R26" s="31"/>
      <c r="S26" s="31"/>
      <c r="T26" s="31"/>
      <c r="U26" s="31"/>
      <c r="V26" s="31" t="s">
        <v>108</v>
      </c>
      <c r="W26" s="31" t="s">
        <v>109</v>
      </c>
      <c r="X26" s="31"/>
      <c r="Y26" s="31"/>
      <c r="Z26" s="31"/>
      <c r="AB26" s="11">
        <f t="shared" si="24"/>
        <v>1</v>
      </c>
      <c r="AC26" s="11">
        <f t="shared" si="25"/>
        <v>1</v>
      </c>
      <c r="AD26" s="11">
        <f t="shared" si="64"/>
        <v>1</v>
      </c>
      <c r="AF26" s="11">
        <f t="shared" si="26"/>
        <v>1</v>
      </c>
      <c r="AG26" s="11">
        <f t="shared" si="27"/>
        <v>1</v>
      </c>
      <c r="AH26" s="11">
        <f t="shared" si="28"/>
        <v>1</v>
      </c>
      <c r="AI26" s="22">
        <v>1</v>
      </c>
      <c r="AK26" s="11">
        <f t="shared" ref="AK26:AL26" si="89">SUMIFS(AM$3:AM$251,$A$3:$A$251,$A26)</f>
        <v>1</v>
      </c>
      <c r="AL26" s="11">
        <f t="shared" si="89"/>
        <v>1</v>
      </c>
      <c r="AM26" s="11">
        <f t="shared" si="30"/>
        <v>1</v>
      </c>
      <c r="AN26" s="22">
        <v>1</v>
      </c>
      <c r="AO26" s="22"/>
      <c r="AP26" s="22">
        <f t="shared" si="31"/>
        <v>3</v>
      </c>
      <c r="AQ26" s="22">
        <f t="shared" ref="AQ26:AT26" si="90">IF(OR(E26="",E26="TBD",E26="N/A",E26="SDK",E26="SAAS"),0,1)</f>
        <v>1</v>
      </c>
      <c r="AR26" s="22">
        <f t="shared" si="90"/>
        <v>1</v>
      </c>
      <c r="AS26" s="22">
        <f t="shared" si="90"/>
        <v>1</v>
      </c>
      <c r="AT26" s="22">
        <f t="shared" si="90"/>
        <v>0</v>
      </c>
      <c r="AV26" s="11">
        <f t="shared" si="33"/>
        <v>3</v>
      </c>
      <c r="AW26" s="22">
        <f t="shared" ref="AW26:AZ26" si="91">IF(OR(E26="",E26="N/A",E26="SDK",E26="SAAS"),0,1)</f>
        <v>1</v>
      </c>
      <c r="AX26" s="22">
        <f t="shared" si="91"/>
        <v>1</v>
      </c>
      <c r="AY26" s="22">
        <f t="shared" si="91"/>
        <v>1</v>
      </c>
      <c r="AZ26" s="22">
        <f t="shared" si="91"/>
        <v>0</v>
      </c>
      <c r="BB26" s="22"/>
      <c r="BC26" s="22"/>
      <c r="BD26" s="22"/>
      <c r="BE26" s="22"/>
    </row>
    <row r="27" spans="1:57" hidden="1">
      <c r="A27" s="23" t="s">
        <v>179</v>
      </c>
      <c r="B27" s="24" t="s">
        <v>26</v>
      </c>
      <c r="C27" s="47" t="s">
        <v>180</v>
      </c>
      <c r="D27" s="42"/>
      <c r="E27" s="43" t="s">
        <v>135</v>
      </c>
      <c r="F27" s="43" t="s">
        <v>135</v>
      </c>
      <c r="G27" s="43" t="s">
        <v>135</v>
      </c>
      <c r="H27" s="43" t="s">
        <v>135</v>
      </c>
      <c r="I27" s="31"/>
      <c r="J27" s="31"/>
      <c r="K27" s="34">
        <f t="shared" si="23"/>
        <v>0</v>
      </c>
      <c r="L27" s="31" t="s">
        <v>105</v>
      </c>
      <c r="M27" s="31" t="s">
        <v>106</v>
      </c>
      <c r="N27" s="37" t="s">
        <v>107</v>
      </c>
      <c r="O27" s="31"/>
      <c r="P27" s="31"/>
      <c r="Q27" s="31"/>
      <c r="R27" s="31"/>
      <c r="S27" s="31"/>
      <c r="T27" s="31"/>
      <c r="U27" s="31"/>
      <c r="V27" s="31" t="s">
        <v>181</v>
      </c>
      <c r="W27" s="31" t="s">
        <v>109</v>
      </c>
      <c r="X27" s="31"/>
      <c r="Y27" s="31"/>
      <c r="Z27" s="31"/>
      <c r="AB27" s="11">
        <f t="shared" si="24"/>
        <v>0</v>
      </c>
      <c r="AC27" s="11">
        <f t="shared" si="25"/>
        <v>0</v>
      </c>
      <c r="AD27" s="11">
        <f t="shared" si="64"/>
        <v>1</v>
      </c>
      <c r="AF27" s="11">
        <f t="shared" si="26"/>
        <v>0</v>
      </c>
      <c r="AG27" s="11">
        <f t="shared" si="27"/>
        <v>1</v>
      </c>
      <c r="AH27" s="11">
        <f t="shared" si="28"/>
        <v>0</v>
      </c>
      <c r="AI27" s="22">
        <v>1</v>
      </c>
      <c r="AK27" s="11">
        <f t="shared" ref="AK27:AL27" si="92">SUMIFS(AM$3:AM$251,$A$3:$A$251,$A27)</f>
        <v>0</v>
      </c>
      <c r="AL27" s="11">
        <f t="shared" si="92"/>
        <v>1</v>
      </c>
      <c r="AM27" s="11">
        <f t="shared" si="30"/>
        <v>0</v>
      </c>
      <c r="AN27" s="22">
        <v>1</v>
      </c>
      <c r="AO27" s="22"/>
      <c r="AP27" s="22">
        <f t="shared" si="31"/>
        <v>0</v>
      </c>
      <c r="AQ27" s="22">
        <f t="shared" ref="AQ27:AT27" si="93">IF(OR(E27="",E27="TBD",E27="N/A",E27="SDK",E27="SAAS"),0,1)</f>
        <v>0</v>
      </c>
      <c r="AR27" s="22">
        <f t="shared" si="93"/>
        <v>0</v>
      </c>
      <c r="AS27" s="22">
        <f t="shared" si="93"/>
        <v>0</v>
      </c>
      <c r="AT27" s="22">
        <f t="shared" si="93"/>
        <v>0</v>
      </c>
      <c r="AV27" s="11">
        <f t="shared" si="33"/>
        <v>4</v>
      </c>
      <c r="AW27" s="22">
        <f t="shared" ref="AW27:AZ27" si="94">IF(OR(E27="",E27="N/A",E27="SDK",E27="SAAS"),0,1)</f>
        <v>1</v>
      </c>
      <c r="AX27" s="22">
        <f t="shared" si="94"/>
        <v>1</v>
      </c>
      <c r="AY27" s="22">
        <f t="shared" si="94"/>
        <v>1</v>
      </c>
      <c r="AZ27" s="22">
        <f t="shared" si="94"/>
        <v>1</v>
      </c>
      <c r="BB27" s="22"/>
      <c r="BC27" s="22"/>
      <c r="BD27" s="22"/>
      <c r="BE27" s="22"/>
    </row>
    <row r="28" spans="1:57">
      <c r="A28" s="23" t="s">
        <v>182</v>
      </c>
      <c r="B28" s="24" t="s">
        <v>26</v>
      </c>
      <c r="C28" s="47" t="s">
        <v>183</v>
      </c>
      <c r="D28" s="42"/>
      <c r="E28" s="72" t="s">
        <v>184</v>
      </c>
      <c r="F28" s="72"/>
      <c r="G28" s="43"/>
      <c r="H28" s="43"/>
      <c r="I28" s="31"/>
      <c r="J28" s="31">
        <v>1</v>
      </c>
      <c r="K28" s="34">
        <f t="shared" si="23"/>
        <v>3.5</v>
      </c>
      <c r="L28" s="31" t="s">
        <v>105</v>
      </c>
      <c r="M28" s="31" t="s">
        <v>106</v>
      </c>
      <c r="N28" s="37" t="s">
        <v>107</v>
      </c>
      <c r="O28" s="31"/>
      <c r="P28" s="31"/>
      <c r="Q28" s="31"/>
      <c r="R28" s="31"/>
      <c r="S28" s="31"/>
      <c r="T28" s="31"/>
      <c r="U28" s="31"/>
      <c r="V28" s="31" t="s">
        <v>108</v>
      </c>
      <c r="W28" s="31" t="s">
        <v>109</v>
      </c>
      <c r="X28" s="31"/>
      <c r="Y28" s="31"/>
      <c r="Z28" s="31"/>
      <c r="AB28" s="11">
        <f t="shared" si="24"/>
        <v>1</v>
      </c>
      <c r="AC28" s="11">
        <f t="shared" si="25"/>
        <v>1</v>
      </c>
      <c r="AD28" s="11">
        <f t="shared" si="64"/>
        <v>1</v>
      </c>
      <c r="AF28" s="11">
        <f t="shared" si="26"/>
        <v>2</v>
      </c>
      <c r="AG28" s="11">
        <f t="shared" si="27"/>
        <v>2</v>
      </c>
      <c r="AH28" s="11">
        <f t="shared" si="28"/>
        <v>1</v>
      </c>
      <c r="AI28" s="22">
        <v>1</v>
      </c>
      <c r="AK28" s="11">
        <f t="shared" ref="AK28:AL28" si="95">SUMIFS(AM$3:AM$251,$A$3:$A$251,$A28)</f>
        <v>2</v>
      </c>
      <c r="AL28" s="11">
        <f t="shared" si="95"/>
        <v>2</v>
      </c>
      <c r="AM28" s="11">
        <f t="shared" si="30"/>
        <v>1</v>
      </c>
      <c r="AN28" s="22">
        <v>1</v>
      </c>
      <c r="AO28" s="22"/>
      <c r="AP28" s="22">
        <f t="shared" si="31"/>
        <v>1</v>
      </c>
      <c r="AQ28" s="22">
        <f t="shared" ref="AQ28:AT28" si="96">IF(OR(E28="",E28="TBD",E28="N/A",E28="SDK",E28="SAAS"),0,1)</f>
        <v>1</v>
      </c>
      <c r="AR28" s="22">
        <f t="shared" si="96"/>
        <v>0</v>
      </c>
      <c r="AS28" s="22">
        <f t="shared" si="96"/>
        <v>0</v>
      </c>
      <c r="AT28" s="22">
        <f t="shared" si="96"/>
        <v>0</v>
      </c>
      <c r="AV28" s="11">
        <f t="shared" si="33"/>
        <v>1</v>
      </c>
      <c r="AW28" s="22">
        <f t="shared" ref="AW28:AZ28" si="97">IF(OR(E28="",E28="N/A",E28="SDK",E28="SAAS"),0,1)</f>
        <v>1</v>
      </c>
      <c r="AX28" s="22">
        <f t="shared" si="97"/>
        <v>0</v>
      </c>
      <c r="AY28" s="22">
        <f t="shared" si="97"/>
        <v>0</v>
      </c>
      <c r="AZ28" s="22">
        <f t="shared" si="97"/>
        <v>0</v>
      </c>
      <c r="BB28" s="22"/>
      <c r="BC28" s="22"/>
      <c r="BD28" s="22"/>
      <c r="BE28" s="22"/>
    </row>
    <row r="29" spans="1:57">
      <c r="A29" s="23" t="s">
        <v>182</v>
      </c>
      <c r="B29" s="24" t="s">
        <v>26</v>
      </c>
      <c r="C29" s="47" t="s">
        <v>183</v>
      </c>
      <c r="D29" s="42"/>
      <c r="E29" s="72" t="s">
        <v>185</v>
      </c>
      <c r="F29" s="72"/>
      <c r="G29" s="43"/>
      <c r="H29" s="43"/>
      <c r="I29" s="31"/>
      <c r="J29" s="31">
        <v>1</v>
      </c>
      <c r="K29" s="34">
        <f t="shared" si="23"/>
        <v>3.5</v>
      </c>
      <c r="L29" s="31" t="s">
        <v>105</v>
      </c>
      <c r="M29" s="31" t="s">
        <v>106</v>
      </c>
      <c r="N29" s="37" t="s">
        <v>107</v>
      </c>
      <c r="O29" s="31"/>
      <c r="P29" s="31"/>
      <c r="Q29" s="31"/>
      <c r="R29" s="31"/>
      <c r="S29" s="31"/>
      <c r="T29" s="31"/>
      <c r="U29" s="31"/>
      <c r="V29" s="31" t="s">
        <v>108</v>
      </c>
      <c r="W29" s="31" t="s">
        <v>109</v>
      </c>
      <c r="X29" s="31"/>
      <c r="Y29" s="31"/>
      <c r="Z29" s="31"/>
      <c r="AB29" s="11">
        <f t="shared" si="24"/>
        <v>0</v>
      </c>
      <c r="AC29" s="11">
        <f t="shared" si="25"/>
        <v>0</v>
      </c>
      <c r="AD29" s="11">
        <f t="shared" si="64"/>
        <v>0</v>
      </c>
      <c r="AF29" s="11">
        <f t="shared" si="26"/>
        <v>2</v>
      </c>
      <c r="AG29" s="11">
        <f t="shared" si="27"/>
        <v>2</v>
      </c>
      <c r="AH29" s="11">
        <f t="shared" si="28"/>
        <v>1</v>
      </c>
      <c r="AI29" s="22">
        <v>1</v>
      </c>
      <c r="AK29" s="11">
        <f t="shared" ref="AK29:AL29" si="98">SUMIFS(AM$3:AM$251,$A$3:$A$251,$A29)</f>
        <v>2</v>
      </c>
      <c r="AL29" s="11">
        <f t="shared" si="98"/>
        <v>2</v>
      </c>
      <c r="AM29" s="11">
        <f t="shared" si="30"/>
        <v>1</v>
      </c>
      <c r="AN29" s="22">
        <v>1</v>
      </c>
      <c r="AO29" s="22"/>
      <c r="AP29" s="22">
        <f t="shared" si="31"/>
        <v>1</v>
      </c>
      <c r="AQ29" s="22">
        <f t="shared" ref="AQ29:AT29" si="99">IF(OR(E29="",E29="TBD",E29="N/A",E29="SDK",E29="SAAS"),0,1)</f>
        <v>1</v>
      </c>
      <c r="AR29" s="22">
        <f t="shared" si="99"/>
        <v>0</v>
      </c>
      <c r="AS29" s="22">
        <f t="shared" si="99"/>
        <v>0</v>
      </c>
      <c r="AT29" s="22">
        <f t="shared" si="99"/>
        <v>0</v>
      </c>
      <c r="AV29" s="11">
        <f t="shared" si="33"/>
        <v>1</v>
      </c>
      <c r="AW29" s="22">
        <f t="shared" ref="AW29:AZ29" si="100">IF(OR(E29="",E29="N/A",E29="SDK",E29="SAAS"),0,1)</f>
        <v>1</v>
      </c>
      <c r="AX29" s="22">
        <f t="shared" si="100"/>
        <v>0</v>
      </c>
      <c r="AY29" s="22">
        <f t="shared" si="100"/>
        <v>0</v>
      </c>
      <c r="AZ29" s="22">
        <f t="shared" si="100"/>
        <v>0</v>
      </c>
      <c r="BB29" s="22"/>
      <c r="BC29" s="22"/>
      <c r="BD29" s="22"/>
      <c r="BE29" s="22"/>
    </row>
    <row r="30" spans="1:57">
      <c r="A30" s="23" t="s">
        <v>186</v>
      </c>
      <c r="B30" s="24" t="s">
        <v>26</v>
      </c>
      <c r="C30" s="47" t="s">
        <v>187</v>
      </c>
      <c r="D30" s="42"/>
      <c r="E30" s="43" t="s">
        <v>135</v>
      </c>
      <c r="F30" s="43" t="s">
        <v>135</v>
      </c>
      <c r="G30" s="43" t="s">
        <v>135</v>
      </c>
      <c r="H30" s="43" t="s">
        <v>135</v>
      </c>
      <c r="I30" s="31"/>
      <c r="J30" s="31"/>
      <c r="K30" s="34">
        <f t="shared" si="23"/>
        <v>0</v>
      </c>
      <c r="L30" s="31" t="s">
        <v>105</v>
      </c>
      <c r="M30" s="31" t="s">
        <v>106</v>
      </c>
      <c r="N30" s="37" t="s">
        <v>107</v>
      </c>
      <c r="O30" s="31"/>
      <c r="P30" s="31"/>
      <c r="Q30" s="31"/>
      <c r="R30" s="31"/>
      <c r="S30" s="31"/>
      <c r="T30" s="31"/>
      <c r="U30" s="31"/>
      <c r="V30" s="31" t="s">
        <v>108</v>
      </c>
      <c r="W30" s="31" t="s">
        <v>109</v>
      </c>
      <c r="X30" s="31"/>
      <c r="Y30" s="31"/>
      <c r="Z30" s="31"/>
      <c r="AB30" s="11">
        <f t="shared" si="24"/>
        <v>0</v>
      </c>
      <c r="AC30" s="11">
        <f t="shared" si="25"/>
        <v>0</v>
      </c>
      <c r="AD30" s="11">
        <f>IF(ISNUMBER(MATCH(A30,$A$2:A28,0)),0,1)</f>
        <v>1</v>
      </c>
      <c r="AF30" s="11">
        <f t="shared" si="26"/>
        <v>0</v>
      </c>
      <c r="AG30" s="11">
        <f t="shared" si="27"/>
        <v>1</v>
      </c>
      <c r="AH30" s="11">
        <f t="shared" si="28"/>
        <v>0</v>
      </c>
      <c r="AI30" s="22">
        <v>1</v>
      </c>
      <c r="AK30" s="11">
        <f t="shared" ref="AK30:AL30" si="101">SUMIFS(AM$3:AM$251,$A$3:$A$251,$A30)</f>
        <v>0</v>
      </c>
      <c r="AL30" s="11">
        <f t="shared" si="101"/>
        <v>1</v>
      </c>
      <c r="AM30" s="11">
        <f t="shared" si="30"/>
        <v>0</v>
      </c>
      <c r="AN30" s="22">
        <v>1</v>
      </c>
      <c r="AO30" s="22"/>
      <c r="AP30" s="22">
        <f t="shared" si="31"/>
        <v>0</v>
      </c>
      <c r="AQ30" s="22">
        <f t="shared" ref="AQ30:AT30" si="102">IF(OR(E30="",E30="TBD",E30="N/A",E30="SDK",E30="SAAS"),0,1)</f>
        <v>0</v>
      </c>
      <c r="AR30" s="22">
        <f t="shared" si="102"/>
        <v>0</v>
      </c>
      <c r="AS30" s="22">
        <f t="shared" si="102"/>
        <v>0</v>
      </c>
      <c r="AT30" s="22">
        <f t="shared" si="102"/>
        <v>0</v>
      </c>
      <c r="AV30" s="11">
        <f t="shared" si="33"/>
        <v>4</v>
      </c>
      <c r="AW30" s="22">
        <f t="shared" ref="AW30:AZ30" si="103">IF(OR(E30="",E30="N/A",E30="SDK",E30="SAAS"),0,1)</f>
        <v>1</v>
      </c>
      <c r="AX30" s="22">
        <f t="shared" si="103"/>
        <v>1</v>
      </c>
      <c r="AY30" s="22">
        <f t="shared" si="103"/>
        <v>1</v>
      </c>
      <c r="AZ30" s="22">
        <f t="shared" si="103"/>
        <v>1</v>
      </c>
      <c r="BB30" s="22"/>
      <c r="BC30" s="22"/>
      <c r="BD30" s="22"/>
      <c r="BE30" s="22"/>
    </row>
    <row r="31" spans="1:57">
      <c r="A31" s="23" t="s">
        <v>188</v>
      </c>
      <c r="B31" s="24" t="s">
        <v>26</v>
      </c>
      <c r="C31" s="47" t="s">
        <v>189</v>
      </c>
      <c r="D31" s="42"/>
      <c r="E31" s="43" t="s">
        <v>135</v>
      </c>
      <c r="F31" s="43" t="s">
        <v>135</v>
      </c>
      <c r="G31" s="43" t="s">
        <v>135</v>
      </c>
      <c r="H31" s="43" t="s">
        <v>135</v>
      </c>
      <c r="I31" s="31"/>
      <c r="J31" s="31"/>
      <c r="K31" s="34">
        <f t="shared" si="23"/>
        <v>0</v>
      </c>
      <c r="L31" s="31" t="s">
        <v>105</v>
      </c>
      <c r="M31" s="31" t="s">
        <v>106</v>
      </c>
      <c r="N31" s="37" t="s">
        <v>107</v>
      </c>
      <c r="O31" s="31"/>
      <c r="P31" s="31"/>
      <c r="Q31" s="31"/>
      <c r="R31" s="31"/>
      <c r="S31" s="31"/>
      <c r="T31" s="31"/>
      <c r="U31" s="31"/>
      <c r="V31" s="31" t="s">
        <v>108</v>
      </c>
      <c r="W31" s="31" t="s">
        <v>109</v>
      </c>
      <c r="X31" s="31"/>
      <c r="Y31" s="31"/>
      <c r="Z31" s="31"/>
      <c r="AB31" s="11">
        <f t="shared" si="24"/>
        <v>0</v>
      </c>
      <c r="AC31" s="11">
        <f t="shared" si="25"/>
        <v>0</v>
      </c>
      <c r="AD31" s="11">
        <f t="shared" ref="AD31:AD81" si="104">IF(ISNUMBER(MATCH(A31,$A$2:A30,0)),0,1)</f>
        <v>1</v>
      </c>
      <c r="AF31" s="11">
        <f t="shared" si="26"/>
        <v>0</v>
      </c>
      <c r="AG31" s="11">
        <f t="shared" si="27"/>
        <v>1</v>
      </c>
      <c r="AH31" s="11">
        <f t="shared" si="28"/>
        <v>0</v>
      </c>
      <c r="AI31" s="22">
        <v>1</v>
      </c>
      <c r="AK31" s="11">
        <f t="shared" ref="AK31:AL31" si="105">SUMIFS(AM$3:AM$251,$A$3:$A$251,$A31)</f>
        <v>0</v>
      </c>
      <c r="AL31" s="11">
        <f t="shared" si="105"/>
        <v>1</v>
      </c>
      <c r="AM31" s="11">
        <f t="shared" si="30"/>
        <v>0</v>
      </c>
      <c r="AN31" s="22">
        <v>1</v>
      </c>
      <c r="AO31" s="22"/>
      <c r="AP31" s="22">
        <f t="shared" si="31"/>
        <v>0</v>
      </c>
      <c r="AQ31" s="22">
        <f t="shared" ref="AQ31:AT31" si="106">IF(OR(E31="",E31="TBD",E31="N/A",E31="SDK",E31="SAAS"),0,1)</f>
        <v>0</v>
      </c>
      <c r="AR31" s="22">
        <f t="shared" si="106"/>
        <v>0</v>
      </c>
      <c r="AS31" s="22">
        <f t="shared" si="106"/>
        <v>0</v>
      </c>
      <c r="AT31" s="22">
        <f t="shared" si="106"/>
        <v>0</v>
      </c>
      <c r="AV31" s="11">
        <f t="shared" si="33"/>
        <v>4</v>
      </c>
      <c r="AW31" s="22">
        <f t="shared" ref="AW31:AZ31" si="107">IF(OR(E31="",E31="N/A",E31="SDK",E31="SAAS"),0,1)</f>
        <v>1</v>
      </c>
      <c r="AX31" s="22">
        <f t="shared" si="107"/>
        <v>1</v>
      </c>
      <c r="AY31" s="22">
        <f t="shared" si="107"/>
        <v>1</v>
      </c>
      <c r="AZ31" s="22">
        <f t="shared" si="107"/>
        <v>1</v>
      </c>
      <c r="BB31" s="22"/>
      <c r="BC31" s="22"/>
      <c r="BD31" s="22"/>
      <c r="BE31" s="22"/>
    </row>
    <row r="32" spans="1:57">
      <c r="A32" s="84" t="s">
        <v>190</v>
      </c>
      <c r="B32" s="84" t="s">
        <v>26</v>
      </c>
      <c r="C32" s="85" t="s">
        <v>191</v>
      </c>
      <c r="D32" s="42"/>
      <c r="E32" s="43" t="s">
        <v>135</v>
      </c>
      <c r="F32" s="43" t="s">
        <v>135</v>
      </c>
      <c r="G32" s="43" t="s">
        <v>135</v>
      </c>
      <c r="H32" s="43" t="s">
        <v>135</v>
      </c>
      <c r="I32" s="31"/>
      <c r="J32" s="31"/>
      <c r="K32" s="34">
        <f t="shared" si="23"/>
        <v>0</v>
      </c>
      <c r="L32" s="31" t="s">
        <v>105</v>
      </c>
      <c r="M32" s="31" t="s">
        <v>106</v>
      </c>
      <c r="N32" s="37" t="s">
        <v>107</v>
      </c>
      <c r="O32" s="31"/>
      <c r="P32" s="31"/>
      <c r="Q32" s="31"/>
      <c r="R32" s="31"/>
      <c r="S32" s="31"/>
      <c r="T32" s="31"/>
      <c r="U32" s="31"/>
      <c r="V32" s="31" t="s">
        <v>108</v>
      </c>
      <c r="W32" s="31" t="s">
        <v>109</v>
      </c>
      <c r="X32" s="31"/>
      <c r="Y32" s="31"/>
      <c r="Z32" s="31"/>
      <c r="AB32" s="11">
        <f t="shared" si="24"/>
        <v>0</v>
      </c>
      <c r="AC32" s="11">
        <f t="shared" si="25"/>
        <v>0</v>
      </c>
      <c r="AD32" s="11">
        <f t="shared" si="104"/>
        <v>1</v>
      </c>
      <c r="AF32" s="11">
        <f t="shared" si="26"/>
        <v>0</v>
      </c>
      <c r="AG32" s="11">
        <f t="shared" si="27"/>
        <v>1</v>
      </c>
      <c r="AH32" s="11">
        <f t="shared" si="28"/>
        <v>0</v>
      </c>
      <c r="AI32" s="22">
        <v>1</v>
      </c>
      <c r="AK32" s="11">
        <f t="shared" ref="AK32:AL32" si="108">SUMIFS(AM$3:AM$251,$A$3:$A$251,$A32)</f>
        <v>0</v>
      </c>
      <c r="AL32" s="11">
        <f t="shared" si="108"/>
        <v>1</v>
      </c>
      <c r="AM32" s="11">
        <f t="shared" si="30"/>
        <v>0</v>
      </c>
      <c r="AN32" s="22">
        <v>1</v>
      </c>
      <c r="AO32" s="22"/>
      <c r="AP32" s="22">
        <f t="shared" si="31"/>
        <v>0</v>
      </c>
      <c r="AQ32" s="22">
        <f t="shared" ref="AQ32:AT32" si="109">IF(OR(E32="",E32="TBD",E32="N/A",E32="SDK",E32="SAAS"),0,1)</f>
        <v>0</v>
      </c>
      <c r="AR32" s="22">
        <f t="shared" si="109"/>
        <v>0</v>
      </c>
      <c r="AS32" s="22">
        <f t="shared" si="109"/>
        <v>0</v>
      </c>
      <c r="AT32" s="22">
        <f t="shared" si="109"/>
        <v>0</v>
      </c>
      <c r="AV32" s="11">
        <f t="shared" si="33"/>
        <v>4</v>
      </c>
      <c r="AW32" s="22">
        <f t="shared" ref="AW32:AZ32" si="110">IF(OR(E32="",E32="N/A",E32="SDK",E32="SAAS"),0,1)</f>
        <v>1</v>
      </c>
      <c r="AX32" s="22">
        <f t="shared" si="110"/>
        <v>1</v>
      </c>
      <c r="AY32" s="22">
        <f t="shared" si="110"/>
        <v>1</v>
      </c>
      <c r="AZ32" s="22">
        <f t="shared" si="110"/>
        <v>1</v>
      </c>
      <c r="BB32" s="22"/>
      <c r="BC32" s="22"/>
      <c r="BD32" s="22"/>
      <c r="BE32" s="22"/>
    </row>
    <row r="33" spans="1:57">
      <c r="A33" s="86" t="s">
        <v>192</v>
      </c>
      <c r="B33" s="24" t="s">
        <v>26</v>
      </c>
      <c r="C33" s="87" t="s">
        <v>193</v>
      </c>
      <c r="D33" s="88" t="s">
        <v>194</v>
      </c>
      <c r="E33" s="31" t="s">
        <v>194</v>
      </c>
      <c r="F33" s="31" t="s">
        <v>194</v>
      </c>
      <c r="G33" s="31" t="s">
        <v>194</v>
      </c>
      <c r="H33" s="31" t="s">
        <v>194</v>
      </c>
      <c r="I33" s="31"/>
      <c r="J33" s="31"/>
      <c r="K33" s="34">
        <f t="shared" si="23"/>
        <v>0</v>
      </c>
      <c r="L33" s="31" t="s">
        <v>105</v>
      </c>
      <c r="M33" s="31" t="s">
        <v>106</v>
      </c>
      <c r="N33" s="37" t="s">
        <v>107</v>
      </c>
      <c r="O33" s="31"/>
      <c r="P33" s="31"/>
      <c r="Q33" s="31"/>
      <c r="R33" s="31"/>
      <c r="S33" s="31"/>
      <c r="T33" s="31"/>
      <c r="U33" s="31"/>
      <c r="V33" s="31" t="s">
        <v>108</v>
      </c>
      <c r="W33" s="31" t="s">
        <v>109</v>
      </c>
      <c r="X33" s="31"/>
      <c r="Y33" s="31"/>
      <c r="Z33" s="31"/>
      <c r="AB33" s="11">
        <f t="shared" si="24"/>
        <v>0</v>
      </c>
      <c r="AC33" s="11">
        <f t="shared" si="25"/>
        <v>1</v>
      </c>
      <c r="AD33" s="11">
        <f t="shared" si="104"/>
        <v>1</v>
      </c>
      <c r="AF33" s="11">
        <f t="shared" si="26"/>
        <v>0</v>
      </c>
      <c r="AG33" s="11">
        <f t="shared" si="27"/>
        <v>1</v>
      </c>
      <c r="AH33" s="11">
        <f t="shared" si="28"/>
        <v>0</v>
      </c>
      <c r="AI33" s="22">
        <v>1</v>
      </c>
      <c r="AK33" s="11">
        <f t="shared" ref="AK33:AL33" si="111">SUMIFS(AM$3:AM$251,$A$3:$A$251,$A33)</f>
        <v>1</v>
      </c>
      <c r="AL33" s="11">
        <f t="shared" si="111"/>
        <v>1</v>
      </c>
      <c r="AM33" s="11">
        <f t="shared" si="30"/>
        <v>1</v>
      </c>
      <c r="AN33" s="22">
        <v>1</v>
      </c>
      <c r="AO33" s="22"/>
      <c r="AP33" s="22">
        <f t="shared" si="31"/>
        <v>0</v>
      </c>
      <c r="AQ33" s="22">
        <f t="shared" ref="AQ33:AT33" si="112">IF(OR(E33="",E33="TBD",E33="N/A",E33="SDK",E33="SAAS"),0,1)</f>
        <v>0</v>
      </c>
      <c r="AR33" s="22">
        <f t="shared" si="112"/>
        <v>0</v>
      </c>
      <c r="AS33" s="22">
        <f t="shared" si="112"/>
        <v>0</v>
      </c>
      <c r="AT33" s="22">
        <f t="shared" si="112"/>
        <v>0</v>
      </c>
      <c r="AV33" s="11">
        <f t="shared" si="33"/>
        <v>0</v>
      </c>
      <c r="AW33" s="22">
        <f t="shared" ref="AW33:AZ33" si="113">IF(OR(E33="",E33="N/A",E33="SDK",E33="SAAS"),0,1)</f>
        <v>0</v>
      </c>
      <c r="AX33" s="22">
        <f t="shared" si="113"/>
        <v>0</v>
      </c>
      <c r="AY33" s="22">
        <f t="shared" si="113"/>
        <v>0</v>
      </c>
      <c r="AZ33" s="22">
        <f t="shared" si="113"/>
        <v>0</v>
      </c>
      <c r="BB33" s="22"/>
      <c r="BC33" s="22"/>
      <c r="BD33" s="22"/>
      <c r="BE33" s="22"/>
    </row>
    <row r="34" spans="1:57">
      <c r="A34" s="23" t="s">
        <v>195</v>
      </c>
      <c r="B34" s="24" t="s">
        <v>26</v>
      </c>
      <c r="C34" s="47" t="s">
        <v>196</v>
      </c>
      <c r="D34" s="88" t="s">
        <v>194</v>
      </c>
      <c r="E34" s="31" t="s">
        <v>194</v>
      </c>
      <c r="F34" s="31" t="s">
        <v>194</v>
      </c>
      <c r="G34" s="31" t="s">
        <v>194</v>
      </c>
      <c r="H34" s="31" t="s">
        <v>194</v>
      </c>
      <c r="I34" s="31"/>
      <c r="J34" s="31"/>
      <c r="K34" s="34">
        <f t="shared" si="23"/>
        <v>0</v>
      </c>
      <c r="L34" s="31" t="s">
        <v>105</v>
      </c>
      <c r="M34" s="31" t="s">
        <v>106</v>
      </c>
      <c r="N34" s="37" t="s">
        <v>107</v>
      </c>
      <c r="O34" s="31"/>
      <c r="P34" s="31"/>
      <c r="Q34" s="31"/>
      <c r="R34" s="31"/>
      <c r="S34" s="31"/>
      <c r="T34" s="31"/>
      <c r="U34" s="31"/>
      <c r="V34" s="31" t="s">
        <v>108</v>
      </c>
      <c r="W34" s="31" t="s">
        <v>109</v>
      </c>
      <c r="X34" s="31"/>
      <c r="Y34" s="31"/>
      <c r="Z34" s="31"/>
      <c r="AB34" s="11">
        <f t="shared" si="24"/>
        <v>0</v>
      </c>
      <c r="AC34" s="11">
        <f t="shared" si="25"/>
        <v>1</v>
      </c>
      <c r="AD34" s="11">
        <f t="shared" si="104"/>
        <v>1</v>
      </c>
      <c r="AF34" s="11">
        <f t="shared" si="26"/>
        <v>0</v>
      </c>
      <c r="AG34" s="11">
        <f t="shared" si="27"/>
        <v>1</v>
      </c>
      <c r="AH34" s="11">
        <f t="shared" si="28"/>
        <v>0</v>
      </c>
      <c r="AI34" s="22">
        <v>1</v>
      </c>
      <c r="AK34" s="11">
        <f t="shared" ref="AK34:AL34" si="114">SUMIFS(AM$3:AM$251,$A$3:$A$251,$A34)</f>
        <v>1</v>
      </c>
      <c r="AL34" s="11">
        <f t="shared" si="114"/>
        <v>1</v>
      </c>
      <c r="AM34" s="11">
        <f t="shared" si="30"/>
        <v>1</v>
      </c>
      <c r="AN34" s="22">
        <v>1</v>
      </c>
      <c r="AO34" s="22"/>
      <c r="AP34" s="22">
        <f t="shared" si="31"/>
        <v>0</v>
      </c>
      <c r="AQ34" s="22">
        <f t="shared" ref="AQ34:AT34" si="115">IF(OR(E34="",E34="TBD",E34="N/A",E34="SDK",E34="SAAS"),0,1)</f>
        <v>0</v>
      </c>
      <c r="AR34" s="22">
        <f t="shared" si="115"/>
        <v>0</v>
      </c>
      <c r="AS34" s="22">
        <f t="shared" si="115"/>
        <v>0</v>
      </c>
      <c r="AT34" s="22">
        <f t="shared" si="115"/>
        <v>0</v>
      </c>
      <c r="AV34" s="11">
        <f t="shared" si="33"/>
        <v>0</v>
      </c>
      <c r="AW34" s="22">
        <f t="shared" ref="AW34:AZ34" si="116">IF(OR(E34="",E34="N/A",E34="SDK",E34="SAAS"),0,1)</f>
        <v>0</v>
      </c>
      <c r="AX34" s="22">
        <f t="shared" si="116"/>
        <v>0</v>
      </c>
      <c r="AY34" s="22">
        <f t="shared" si="116"/>
        <v>0</v>
      </c>
      <c r="AZ34" s="22">
        <f t="shared" si="116"/>
        <v>0</v>
      </c>
      <c r="BB34" s="22"/>
      <c r="BC34" s="22"/>
      <c r="BD34" s="22"/>
      <c r="BE34" s="22"/>
    </row>
    <row r="35" spans="1:57">
      <c r="A35" s="23" t="s">
        <v>197</v>
      </c>
      <c r="B35" s="24" t="s">
        <v>26</v>
      </c>
      <c r="C35" s="47" t="s">
        <v>198</v>
      </c>
      <c r="D35" s="88" t="s">
        <v>194</v>
      </c>
      <c r="E35" s="31" t="s">
        <v>194</v>
      </c>
      <c r="F35" s="31" t="s">
        <v>194</v>
      </c>
      <c r="G35" s="31" t="s">
        <v>194</v>
      </c>
      <c r="H35" s="31" t="s">
        <v>194</v>
      </c>
      <c r="I35" s="31"/>
      <c r="J35" s="31"/>
      <c r="K35" s="34">
        <f t="shared" si="23"/>
        <v>0</v>
      </c>
      <c r="L35" s="31" t="s">
        <v>105</v>
      </c>
      <c r="M35" s="31" t="s">
        <v>106</v>
      </c>
      <c r="N35" s="37" t="s">
        <v>107</v>
      </c>
      <c r="O35" s="31"/>
      <c r="P35" s="31"/>
      <c r="Q35" s="31"/>
      <c r="R35" s="31"/>
      <c r="S35" s="31"/>
      <c r="T35" s="31"/>
      <c r="U35" s="31"/>
      <c r="V35" s="31" t="s">
        <v>108</v>
      </c>
      <c r="W35" s="31" t="s">
        <v>109</v>
      </c>
      <c r="X35" s="31"/>
      <c r="Y35" s="31"/>
      <c r="Z35" s="31"/>
      <c r="AB35" s="11">
        <f t="shared" si="24"/>
        <v>0</v>
      </c>
      <c r="AC35" s="11">
        <f t="shared" si="25"/>
        <v>1</v>
      </c>
      <c r="AD35" s="11">
        <f t="shared" si="104"/>
        <v>1</v>
      </c>
      <c r="AF35" s="11">
        <f t="shared" si="26"/>
        <v>0</v>
      </c>
      <c r="AG35" s="11">
        <f t="shared" si="27"/>
        <v>1</v>
      </c>
      <c r="AH35" s="11">
        <f t="shared" si="28"/>
        <v>0</v>
      </c>
      <c r="AI35" s="22">
        <v>1</v>
      </c>
      <c r="AK35" s="11">
        <f t="shared" ref="AK35:AL35" si="117">SUMIFS(AM$3:AM$251,$A$3:$A$251,$A35)</f>
        <v>1</v>
      </c>
      <c r="AL35" s="11">
        <f t="shared" si="117"/>
        <v>1</v>
      </c>
      <c r="AM35" s="11">
        <f t="shared" si="30"/>
        <v>1</v>
      </c>
      <c r="AN35" s="22">
        <v>1</v>
      </c>
      <c r="AO35" s="22"/>
      <c r="AP35" s="22">
        <f t="shared" si="31"/>
        <v>0</v>
      </c>
      <c r="AQ35" s="22">
        <f t="shared" ref="AQ35:AT35" si="118">IF(OR(E35="",E35="TBD",E35="N/A",E35="SDK",E35="SAAS"),0,1)</f>
        <v>0</v>
      </c>
      <c r="AR35" s="22">
        <f t="shared" si="118"/>
        <v>0</v>
      </c>
      <c r="AS35" s="22">
        <f t="shared" si="118"/>
        <v>0</v>
      </c>
      <c r="AT35" s="22">
        <f t="shared" si="118"/>
        <v>0</v>
      </c>
      <c r="AV35" s="11">
        <f t="shared" si="33"/>
        <v>0</v>
      </c>
      <c r="AW35" s="22">
        <f t="shared" ref="AW35:AZ35" si="119">IF(OR(E35="",E35="N/A",E35="SDK",E35="SAAS"),0,1)</f>
        <v>0</v>
      </c>
      <c r="AX35" s="22">
        <f t="shared" si="119"/>
        <v>0</v>
      </c>
      <c r="AY35" s="22">
        <f t="shared" si="119"/>
        <v>0</v>
      </c>
      <c r="AZ35" s="22">
        <f t="shared" si="119"/>
        <v>0</v>
      </c>
      <c r="BB35" s="22"/>
      <c r="BC35" s="22"/>
      <c r="BD35" s="22"/>
      <c r="BE35" s="22"/>
    </row>
    <row r="36" spans="1:57">
      <c r="A36" s="23" t="s">
        <v>199</v>
      </c>
      <c r="B36" s="24" t="s">
        <v>26</v>
      </c>
      <c r="C36" s="47" t="s">
        <v>200</v>
      </c>
      <c r="D36" s="88" t="s">
        <v>194</v>
      </c>
      <c r="E36" s="31" t="s">
        <v>194</v>
      </c>
      <c r="F36" s="31" t="s">
        <v>194</v>
      </c>
      <c r="G36" s="31" t="s">
        <v>194</v>
      </c>
      <c r="H36" s="31" t="s">
        <v>194</v>
      </c>
      <c r="I36" s="31"/>
      <c r="J36" s="31"/>
      <c r="K36" s="34">
        <f t="shared" si="23"/>
        <v>0</v>
      </c>
      <c r="L36" s="31" t="s">
        <v>105</v>
      </c>
      <c r="M36" s="31" t="s">
        <v>106</v>
      </c>
      <c r="N36" s="37" t="s">
        <v>107</v>
      </c>
      <c r="O36" s="31"/>
      <c r="P36" s="31"/>
      <c r="Q36" s="31"/>
      <c r="R36" s="31"/>
      <c r="S36" s="31"/>
      <c r="T36" s="31"/>
      <c r="U36" s="31"/>
      <c r="V36" s="31" t="s">
        <v>108</v>
      </c>
      <c r="W36" s="31" t="s">
        <v>109</v>
      </c>
      <c r="X36" s="31"/>
      <c r="Y36" s="31"/>
      <c r="Z36" s="31"/>
      <c r="AB36" s="11">
        <f t="shared" si="24"/>
        <v>0</v>
      </c>
      <c r="AC36" s="11">
        <f t="shared" si="25"/>
        <v>1</v>
      </c>
      <c r="AD36" s="11">
        <f t="shared" si="104"/>
        <v>1</v>
      </c>
      <c r="AF36" s="11">
        <f t="shared" si="26"/>
        <v>0</v>
      </c>
      <c r="AG36" s="11">
        <f t="shared" si="27"/>
        <v>1</v>
      </c>
      <c r="AH36" s="11">
        <f t="shared" si="28"/>
        <v>0</v>
      </c>
      <c r="AI36" s="22">
        <v>1</v>
      </c>
      <c r="AK36" s="11">
        <f t="shared" ref="AK36:AL36" si="120">SUMIFS(AM$3:AM$251,$A$3:$A$251,$A36)</f>
        <v>1</v>
      </c>
      <c r="AL36" s="11">
        <f t="shared" si="120"/>
        <v>1</v>
      </c>
      <c r="AM36" s="11">
        <f t="shared" si="30"/>
        <v>1</v>
      </c>
      <c r="AN36" s="22">
        <v>1</v>
      </c>
      <c r="AO36" s="22"/>
      <c r="AP36" s="22">
        <f t="shared" si="31"/>
        <v>0</v>
      </c>
      <c r="AQ36" s="22">
        <f t="shared" ref="AQ36:AT36" si="121">IF(OR(E36="",E36="TBD",E36="N/A",E36="SDK",E36="SAAS"),0,1)</f>
        <v>0</v>
      </c>
      <c r="AR36" s="22">
        <f t="shared" si="121"/>
        <v>0</v>
      </c>
      <c r="AS36" s="22">
        <f t="shared" si="121"/>
        <v>0</v>
      </c>
      <c r="AT36" s="22">
        <f t="shared" si="121"/>
        <v>0</v>
      </c>
      <c r="AV36" s="11">
        <f t="shared" si="33"/>
        <v>0</v>
      </c>
      <c r="AW36" s="22">
        <f t="shared" ref="AW36:AZ36" si="122">IF(OR(E36="",E36="N/A",E36="SDK",E36="SAAS"),0,1)</f>
        <v>0</v>
      </c>
      <c r="AX36" s="22">
        <f t="shared" si="122"/>
        <v>0</v>
      </c>
      <c r="AY36" s="22">
        <f t="shared" si="122"/>
        <v>0</v>
      </c>
      <c r="AZ36" s="22">
        <f t="shared" si="122"/>
        <v>0</v>
      </c>
      <c r="BB36" s="22"/>
      <c r="BC36" s="22"/>
      <c r="BD36" s="22"/>
      <c r="BE36" s="22"/>
    </row>
    <row r="37" spans="1:57">
      <c r="A37" s="23" t="s">
        <v>201</v>
      </c>
      <c r="B37" s="24" t="s">
        <v>26</v>
      </c>
      <c r="C37" s="47" t="s">
        <v>202</v>
      </c>
      <c r="D37" s="88" t="s">
        <v>194</v>
      </c>
      <c r="E37" s="31" t="s">
        <v>194</v>
      </c>
      <c r="F37" s="31" t="s">
        <v>194</v>
      </c>
      <c r="G37" s="31" t="s">
        <v>194</v>
      </c>
      <c r="H37" s="31" t="s">
        <v>194</v>
      </c>
      <c r="I37" s="31"/>
      <c r="J37" s="31"/>
      <c r="K37" s="34">
        <f t="shared" si="23"/>
        <v>0</v>
      </c>
      <c r="L37" s="31" t="s">
        <v>105</v>
      </c>
      <c r="M37" s="31" t="s">
        <v>106</v>
      </c>
      <c r="N37" s="37" t="s">
        <v>107</v>
      </c>
      <c r="O37" s="31"/>
      <c r="P37" s="31"/>
      <c r="Q37" s="31"/>
      <c r="R37" s="31"/>
      <c r="S37" s="31"/>
      <c r="T37" s="31"/>
      <c r="U37" s="31"/>
      <c r="V37" s="31" t="s">
        <v>108</v>
      </c>
      <c r="W37" s="31" t="s">
        <v>109</v>
      </c>
      <c r="X37" s="31"/>
      <c r="Y37" s="31"/>
      <c r="Z37" s="31"/>
      <c r="AB37" s="11">
        <f t="shared" si="24"/>
        <v>0</v>
      </c>
      <c r="AC37" s="11">
        <f t="shared" si="25"/>
        <v>1</v>
      </c>
      <c r="AD37" s="11">
        <f t="shared" si="104"/>
        <v>1</v>
      </c>
      <c r="AF37" s="11">
        <f t="shared" si="26"/>
        <v>0</v>
      </c>
      <c r="AG37" s="11">
        <f t="shared" si="27"/>
        <v>1</v>
      </c>
      <c r="AH37" s="11">
        <f t="shared" si="28"/>
        <v>0</v>
      </c>
      <c r="AI37" s="22">
        <v>1</v>
      </c>
      <c r="AK37" s="11">
        <f t="shared" ref="AK37:AL37" si="123">SUMIFS(AM$3:AM$251,$A$3:$A$251,$A37)</f>
        <v>1</v>
      </c>
      <c r="AL37" s="11">
        <f t="shared" si="123"/>
        <v>1</v>
      </c>
      <c r="AM37" s="11">
        <f t="shared" si="30"/>
        <v>1</v>
      </c>
      <c r="AN37" s="22">
        <v>1</v>
      </c>
      <c r="AO37" s="22"/>
      <c r="AP37" s="22">
        <f t="shared" si="31"/>
        <v>0</v>
      </c>
      <c r="AQ37" s="22">
        <f t="shared" ref="AQ37:AT37" si="124">IF(OR(E37="",E37="TBD",E37="N/A",E37="SDK",E37="SAAS"),0,1)</f>
        <v>0</v>
      </c>
      <c r="AR37" s="22">
        <f t="shared" si="124"/>
        <v>0</v>
      </c>
      <c r="AS37" s="22">
        <f t="shared" si="124"/>
        <v>0</v>
      </c>
      <c r="AT37" s="22">
        <f t="shared" si="124"/>
        <v>0</v>
      </c>
      <c r="AV37" s="11">
        <f t="shared" si="33"/>
        <v>0</v>
      </c>
      <c r="AW37" s="22">
        <f t="shared" ref="AW37:AZ37" si="125">IF(OR(E37="",E37="N/A",E37="SDK",E37="SAAS"),0,1)</f>
        <v>0</v>
      </c>
      <c r="AX37" s="22">
        <f t="shared" si="125"/>
        <v>0</v>
      </c>
      <c r="AY37" s="22">
        <f t="shared" si="125"/>
        <v>0</v>
      </c>
      <c r="AZ37" s="22">
        <f t="shared" si="125"/>
        <v>0</v>
      </c>
      <c r="BB37" s="22"/>
      <c r="BC37" s="22"/>
      <c r="BD37" s="22"/>
      <c r="BE37" s="22"/>
    </row>
    <row r="38" spans="1:57">
      <c r="A38" s="23" t="s">
        <v>203</v>
      </c>
      <c r="B38" s="24" t="s">
        <v>26</v>
      </c>
      <c r="C38" s="47" t="s">
        <v>204</v>
      </c>
      <c r="D38" s="88" t="s">
        <v>194</v>
      </c>
      <c r="E38" s="31" t="s">
        <v>194</v>
      </c>
      <c r="F38" s="31" t="s">
        <v>194</v>
      </c>
      <c r="G38" s="31" t="s">
        <v>194</v>
      </c>
      <c r="H38" s="31" t="s">
        <v>194</v>
      </c>
      <c r="I38" s="31"/>
      <c r="J38" s="31"/>
      <c r="K38" s="34">
        <f t="shared" si="23"/>
        <v>0</v>
      </c>
      <c r="L38" s="31" t="s">
        <v>105</v>
      </c>
      <c r="M38" s="31" t="s">
        <v>106</v>
      </c>
      <c r="N38" s="37" t="s">
        <v>107</v>
      </c>
      <c r="O38" s="31"/>
      <c r="P38" s="31"/>
      <c r="Q38" s="31"/>
      <c r="R38" s="31"/>
      <c r="S38" s="31"/>
      <c r="T38" s="31"/>
      <c r="U38" s="31"/>
      <c r="V38" s="31" t="s">
        <v>108</v>
      </c>
      <c r="W38" s="31" t="s">
        <v>109</v>
      </c>
      <c r="X38" s="31"/>
      <c r="Y38" s="31"/>
      <c r="Z38" s="31"/>
      <c r="AB38" s="11">
        <f t="shared" si="24"/>
        <v>0</v>
      </c>
      <c r="AC38" s="11">
        <f t="shared" si="25"/>
        <v>1</v>
      </c>
      <c r="AD38" s="11">
        <f t="shared" si="104"/>
        <v>1</v>
      </c>
      <c r="AF38" s="11">
        <f t="shared" si="26"/>
        <v>0</v>
      </c>
      <c r="AG38" s="11">
        <f t="shared" si="27"/>
        <v>1</v>
      </c>
      <c r="AH38" s="11">
        <f t="shared" si="28"/>
        <v>0</v>
      </c>
      <c r="AI38" s="22">
        <v>1</v>
      </c>
      <c r="AK38" s="11">
        <f t="shared" ref="AK38:AL38" si="126">SUMIFS(AM$3:AM$251,$A$3:$A$251,$A38)</f>
        <v>1</v>
      </c>
      <c r="AL38" s="11">
        <f t="shared" si="126"/>
        <v>1</v>
      </c>
      <c r="AM38" s="11">
        <f t="shared" si="30"/>
        <v>1</v>
      </c>
      <c r="AN38" s="22">
        <v>1</v>
      </c>
      <c r="AO38" s="22"/>
      <c r="AP38" s="22">
        <f t="shared" si="31"/>
        <v>0</v>
      </c>
      <c r="AQ38" s="22">
        <f t="shared" ref="AQ38:AT38" si="127">IF(OR(E38="",E38="TBD",E38="N/A",E38="SDK",E38="SAAS"),0,1)</f>
        <v>0</v>
      </c>
      <c r="AR38" s="22">
        <f t="shared" si="127"/>
        <v>0</v>
      </c>
      <c r="AS38" s="22">
        <f t="shared" si="127"/>
        <v>0</v>
      </c>
      <c r="AT38" s="22">
        <f t="shared" si="127"/>
        <v>0</v>
      </c>
      <c r="AV38" s="11">
        <f t="shared" si="33"/>
        <v>0</v>
      </c>
      <c r="AW38" s="22">
        <f t="shared" ref="AW38:AZ38" si="128">IF(OR(E38="",E38="N/A",E38="SDK",E38="SAAS"),0,1)</f>
        <v>0</v>
      </c>
      <c r="AX38" s="22">
        <f t="shared" si="128"/>
        <v>0</v>
      </c>
      <c r="AY38" s="22">
        <f t="shared" si="128"/>
        <v>0</v>
      </c>
      <c r="AZ38" s="22">
        <f t="shared" si="128"/>
        <v>0</v>
      </c>
      <c r="BB38" s="22"/>
      <c r="BC38" s="22"/>
      <c r="BD38" s="22"/>
      <c r="BE38" s="22"/>
    </row>
    <row r="39" spans="1:57">
      <c r="A39" s="23" t="s">
        <v>205</v>
      </c>
      <c r="B39" s="24" t="s">
        <v>26</v>
      </c>
      <c r="C39" s="47" t="s">
        <v>206</v>
      </c>
      <c r="D39" s="88" t="s">
        <v>194</v>
      </c>
      <c r="E39" s="31" t="s">
        <v>194</v>
      </c>
      <c r="F39" s="31" t="s">
        <v>194</v>
      </c>
      <c r="G39" s="31" t="s">
        <v>194</v>
      </c>
      <c r="H39" s="31" t="s">
        <v>194</v>
      </c>
      <c r="I39" s="31"/>
      <c r="J39" s="31"/>
      <c r="K39" s="34">
        <f t="shared" si="23"/>
        <v>0</v>
      </c>
      <c r="L39" s="31" t="s">
        <v>105</v>
      </c>
      <c r="M39" s="31" t="s">
        <v>106</v>
      </c>
      <c r="N39" s="37" t="s">
        <v>107</v>
      </c>
      <c r="O39" s="31"/>
      <c r="P39" s="31"/>
      <c r="Q39" s="31"/>
      <c r="R39" s="31"/>
      <c r="S39" s="31"/>
      <c r="T39" s="31"/>
      <c r="U39" s="31"/>
      <c r="V39" s="31" t="s">
        <v>108</v>
      </c>
      <c r="W39" s="31" t="s">
        <v>109</v>
      </c>
      <c r="X39" s="31"/>
      <c r="Y39" s="31"/>
      <c r="Z39" s="31"/>
      <c r="AB39" s="11">
        <f t="shared" si="24"/>
        <v>0</v>
      </c>
      <c r="AC39" s="11">
        <f t="shared" si="25"/>
        <v>1</v>
      </c>
      <c r="AD39" s="11">
        <f t="shared" si="104"/>
        <v>1</v>
      </c>
      <c r="AF39" s="11">
        <f t="shared" si="26"/>
        <v>0</v>
      </c>
      <c r="AG39" s="11">
        <f t="shared" si="27"/>
        <v>1</v>
      </c>
      <c r="AH39" s="11">
        <f t="shared" si="28"/>
        <v>0</v>
      </c>
      <c r="AI39" s="22">
        <v>1</v>
      </c>
      <c r="AK39" s="11">
        <f t="shared" ref="AK39:AL39" si="129">SUMIFS(AM$3:AM$251,$A$3:$A$251,$A39)</f>
        <v>1</v>
      </c>
      <c r="AL39" s="11">
        <f t="shared" si="129"/>
        <v>1</v>
      </c>
      <c r="AM39" s="11">
        <f t="shared" si="30"/>
        <v>1</v>
      </c>
      <c r="AN39" s="22">
        <v>1</v>
      </c>
      <c r="AO39" s="22"/>
      <c r="AP39" s="22">
        <f t="shared" si="31"/>
        <v>0</v>
      </c>
      <c r="AQ39" s="22">
        <f t="shared" ref="AQ39:AT39" si="130">IF(OR(E39="",E39="TBD",E39="N/A",E39="SDK",E39="SAAS"),0,1)</f>
        <v>0</v>
      </c>
      <c r="AR39" s="22">
        <f t="shared" si="130"/>
        <v>0</v>
      </c>
      <c r="AS39" s="22">
        <f t="shared" si="130"/>
        <v>0</v>
      </c>
      <c r="AT39" s="22">
        <f t="shared" si="130"/>
        <v>0</v>
      </c>
      <c r="AV39" s="11">
        <f t="shared" si="33"/>
        <v>0</v>
      </c>
      <c r="AW39" s="22">
        <f t="shared" ref="AW39:AZ39" si="131">IF(OR(E39="",E39="N/A",E39="SDK",E39="SAAS"),0,1)</f>
        <v>0</v>
      </c>
      <c r="AX39" s="22">
        <f t="shared" si="131"/>
        <v>0</v>
      </c>
      <c r="AY39" s="22">
        <f t="shared" si="131"/>
        <v>0</v>
      </c>
      <c r="AZ39" s="22">
        <f t="shared" si="131"/>
        <v>0</v>
      </c>
      <c r="BB39" s="22"/>
      <c r="BC39" s="22"/>
      <c r="BD39" s="22"/>
      <c r="BE39" s="22"/>
    </row>
    <row r="40" spans="1:57">
      <c r="A40" s="23" t="s">
        <v>207</v>
      </c>
      <c r="B40" s="24" t="s">
        <v>26</v>
      </c>
      <c r="C40" s="47" t="s">
        <v>208</v>
      </c>
      <c r="D40" s="88" t="s">
        <v>194</v>
      </c>
      <c r="E40" s="31" t="s">
        <v>194</v>
      </c>
      <c r="F40" s="31" t="s">
        <v>194</v>
      </c>
      <c r="G40" s="31" t="s">
        <v>194</v>
      </c>
      <c r="H40" s="31" t="s">
        <v>194</v>
      </c>
      <c r="I40" s="31"/>
      <c r="J40" s="31"/>
      <c r="K40" s="34">
        <f t="shared" si="23"/>
        <v>0</v>
      </c>
      <c r="L40" s="31" t="s">
        <v>105</v>
      </c>
      <c r="M40" s="31" t="s">
        <v>106</v>
      </c>
      <c r="N40" s="37" t="s">
        <v>107</v>
      </c>
      <c r="O40" s="31"/>
      <c r="P40" s="31"/>
      <c r="Q40" s="31"/>
      <c r="R40" s="31"/>
      <c r="S40" s="31"/>
      <c r="T40" s="31"/>
      <c r="U40" s="31"/>
      <c r="V40" s="31" t="s">
        <v>108</v>
      </c>
      <c r="W40" s="31" t="s">
        <v>109</v>
      </c>
      <c r="X40" s="31"/>
      <c r="Y40" s="31"/>
      <c r="Z40" s="31"/>
      <c r="AB40" s="11">
        <f t="shared" si="24"/>
        <v>0</v>
      </c>
      <c r="AC40" s="11">
        <f t="shared" si="25"/>
        <v>1</v>
      </c>
      <c r="AD40" s="11">
        <f t="shared" si="104"/>
        <v>1</v>
      </c>
      <c r="AF40" s="11">
        <f t="shared" si="26"/>
        <v>0</v>
      </c>
      <c r="AG40" s="11">
        <f t="shared" si="27"/>
        <v>1</v>
      </c>
      <c r="AH40" s="11">
        <f t="shared" si="28"/>
        <v>0</v>
      </c>
      <c r="AI40" s="22">
        <v>1</v>
      </c>
      <c r="AK40" s="11">
        <f t="shared" ref="AK40:AL40" si="132">SUMIFS(AM$3:AM$251,$A$3:$A$251,$A40)</f>
        <v>1</v>
      </c>
      <c r="AL40" s="11">
        <f t="shared" si="132"/>
        <v>1</v>
      </c>
      <c r="AM40" s="11">
        <f t="shared" si="30"/>
        <v>1</v>
      </c>
      <c r="AN40" s="22">
        <v>1</v>
      </c>
      <c r="AO40" s="22"/>
      <c r="AP40" s="22">
        <f t="shared" si="31"/>
        <v>0</v>
      </c>
      <c r="AQ40" s="22">
        <f t="shared" ref="AQ40:AT40" si="133">IF(OR(E40="",E40="TBD",E40="N/A",E40="SDK",E40="SAAS"),0,1)</f>
        <v>0</v>
      </c>
      <c r="AR40" s="22">
        <f t="shared" si="133"/>
        <v>0</v>
      </c>
      <c r="AS40" s="22">
        <f t="shared" si="133"/>
        <v>0</v>
      </c>
      <c r="AT40" s="22">
        <f t="shared" si="133"/>
        <v>0</v>
      </c>
      <c r="AV40" s="11">
        <f t="shared" si="33"/>
        <v>0</v>
      </c>
      <c r="AW40" s="22">
        <f t="shared" ref="AW40:AZ40" si="134">IF(OR(E40="",E40="N/A",E40="SDK",E40="SAAS"),0,1)</f>
        <v>0</v>
      </c>
      <c r="AX40" s="22">
        <f t="shared" si="134"/>
        <v>0</v>
      </c>
      <c r="AY40" s="22">
        <f t="shared" si="134"/>
        <v>0</v>
      </c>
      <c r="AZ40" s="22">
        <f t="shared" si="134"/>
        <v>0</v>
      </c>
      <c r="BB40" s="22"/>
      <c r="BC40" s="22"/>
      <c r="BD40" s="22"/>
      <c r="BE40" s="22"/>
    </row>
    <row r="41" spans="1:57">
      <c r="A41" s="23" t="s">
        <v>209</v>
      </c>
      <c r="B41" s="24" t="s">
        <v>26</v>
      </c>
      <c r="C41" s="47" t="s">
        <v>210</v>
      </c>
      <c r="D41" s="88" t="s">
        <v>194</v>
      </c>
      <c r="E41" s="31" t="s">
        <v>194</v>
      </c>
      <c r="F41" s="31" t="s">
        <v>194</v>
      </c>
      <c r="G41" s="31" t="s">
        <v>194</v>
      </c>
      <c r="H41" s="31" t="s">
        <v>194</v>
      </c>
      <c r="I41" s="31"/>
      <c r="J41" s="31"/>
      <c r="K41" s="34">
        <f t="shared" si="23"/>
        <v>0</v>
      </c>
      <c r="L41" s="31" t="s">
        <v>105</v>
      </c>
      <c r="M41" s="31" t="s">
        <v>106</v>
      </c>
      <c r="N41" s="37" t="s">
        <v>107</v>
      </c>
      <c r="O41" s="31"/>
      <c r="P41" s="31"/>
      <c r="Q41" s="31"/>
      <c r="R41" s="31"/>
      <c r="S41" s="31"/>
      <c r="T41" s="31"/>
      <c r="U41" s="31"/>
      <c r="V41" s="31" t="s">
        <v>108</v>
      </c>
      <c r="W41" s="31" t="s">
        <v>109</v>
      </c>
      <c r="X41" s="31"/>
      <c r="Y41" s="31"/>
      <c r="Z41" s="31"/>
      <c r="AB41" s="11">
        <f t="shared" si="24"/>
        <v>0</v>
      </c>
      <c r="AC41" s="11">
        <f t="shared" si="25"/>
        <v>1</v>
      </c>
      <c r="AD41" s="11">
        <f t="shared" si="104"/>
        <v>1</v>
      </c>
      <c r="AF41" s="11">
        <f t="shared" si="26"/>
        <v>0</v>
      </c>
      <c r="AG41" s="11">
        <f t="shared" si="27"/>
        <v>1</v>
      </c>
      <c r="AH41" s="11">
        <f t="shared" si="28"/>
        <v>0</v>
      </c>
      <c r="AI41" s="22">
        <v>1</v>
      </c>
      <c r="AK41" s="11">
        <f t="shared" ref="AK41:AL41" si="135">SUMIFS(AM$3:AM$251,$A$3:$A$251,$A41)</f>
        <v>1</v>
      </c>
      <c r="AL41" s="11">
        <f t="shared" si="135"/>
        <v>1</v>
      </c>
      <c r="AM41" s="11">
        <f t="shared" si="30"/>
        <v>1</v>
      </c>
      <c r="AN41" s="22">
        <v>1</v>
      </c>
      <c r="AO41" s="22"/>
      <c r="AP41" s="22">
        <f t="shared" si="31"/>
        <v>0</v>
      </c>
      <c r="AQ41" s="22">
        <f t="shared" ref="AQ41:AT41" si="136">IF(OR(E41="",E41="TBD",E41="N/A",E41="SDK",E41="SAAS"),0,1)</f>
        <v>0</v>
      </c>
      <c r="AR41" s="22">
        <f t="shared" si="136"/>
        <v>0</v>
      </c>
      <c r="AS41" s="22">
        <f t="shared" si="136"/>
        <v>0</v>
      </c>
      <c r="AT41" s="22">
        <f t="shared" si="136"/>
        <v>0</v>
      </c>
      <c r="AV41" s="11">
        <f t="shared" si="33"/>
        <v>0</v>
      </c>
      <c r="AW41" s="22">
        <f t="shared" ref="AW41:AZ41" si="137">IF(OR(E41="",E41="N/A",E41="SDK",E41="SAAS"),0,1)</f>
        <v>0</v>
      </c>
      <c r="AX41" s="22">
        <f t="shared" si="137"/>
        <v>0</v>
      </c>
      <c r="AY41" s="22">
        <f t="shared" si="137"/>
        <v>0</v>
      </c>
      <c r="AZ41" s="22">
        <f t="shared" si="137"/>
        <v>0</v>
      </c>
      <c r="BB41" s="22"/>
      <c r="BC41" s="22"/>
      <c r="BD41" s="22"/>
      <c r="BE41" s="22"/>
    </row>
    <row r="42" spans="1:57">
      <c r="A42" s="23" t="s">
        <v>211</v>
      </c>
      <c r="B42" s="24" t="s">
        <v>26</v>
      </c>
      <c r="C42" s="47" t="s">
        <v>212</v>
      </c>
      <c r="D42" s="88" t="s">
        <v>194</v>
      </c>
      <c r="E42" s="31" t="s">
        <v>194</v>
      </c>
      <c r="F42" s="31" t="s">
        <v>194</v>
      </c>
      <c r="G42" s="31" t="s">
        <v>194</v>
      </c>
      <c r="H42" s="31" t="s">
        <v>194</v>
      </c>
      <c r="I42" s="31"/>
      <c r="J42" s="31"/>
      <c r="K42" s="34">
        <f t="shared" si="23"/>
        <v>0</v>
      </c>
      <c r="L42" s="31" t="s">
        <v>105</v>
      </c>
      <c r="M42" s="31" t="s">
        <v>106</v>
      </c>
      <c r="N42" s="37" t="s">
        <v>107</v>
      </c>
      <c r="O42" s="31"/>
      <c r="P42" s="31"/>
      <c r="Q42" s="31"/>
      <c r="R42" s="31"/>
      <c r="S42" s="31"/>
      <c r="T42" s="31"/>
      <c r="U42" s="31"/>
      <c r="V42" s="31" t="s">
        <v>108</v>
      </c>
      <c r="W42" s="31" t="s">
        <v>109</v>
      </c>
      <c r="X42" s="31"/>
      <c r="Y42" s="31"/>
      <c r="Z42" s="31"/>
      <c r="AB42" s="11">
        <f t="shared" si="24"/>
        <v>0</v>
      </c>
      <c r="AC42" s="11">
        <f t="shared" si="25"/>
        <v>1</v>
      </c>
      <c r="AD42" s="11">
        <f t="shared" si="104"/>
        <v>1</v>
      </c>
      <c r="AF42" s="11">
        <f t="shared" si="26"/>
        <v>0</v>
      </c>
      <c r="AG42" s="11">
        <f t="shared" si="27"/>
        <v>1</v>
      </c>
      <c r="AH42" s="11">
        <f t="shared" si="28"/>
        <v>0</v>
      </c>
      <c r="AI42" s="22">
        <v>1</v>
      </c>
      <c r="AK42" s="11">
        <f t="shared" ref="AK42:AL42" si="138">SUMIFS(AM$3:AM$251,$A$3:$A$251,$A42)</f>
        <v>1</v>
      </c>
      <c r="AL42" s="11">
        <f t="shared" si="138"/>
        <v>1</v>
      </c>
      <c r="AM42" s="11">
        <f t="shared" si="30"/>
        <v>1</v>
      </c>
      <c r="AN42" s="22">
        <v>1</v>
      </c>
      <c r="AO42" s="22"/>
      <c r="AP42" s="22">
        <f t="shared" si="31"/>
        <v>0</v>
      </c>
      <c r="AQ42" s="22">
        <f t="shared" ref="AQ42:AT42" si="139">IF(OR(E42="",E42="TBD",E42="N/A",E42="SDK",E42="SAAS"),0,1)</f>
        <v>0</v>
      </c>
      <c r="AR42" s="22">
        <f t="shared" si="139"/>
        <v>0</v>
      </c>
      <c r="AS42" s="22">
        <f t="shared" si="139"/>
        <v>0</v>
      </c>
      <c r="AT42" s="22">
        <f t="shared" si="139"/>
        <v>0</v>
      </c>
      <c r="AV42" s="11">
        <f t="shared" si="33"/>
        <v>0</v>
      </c>
      <c r="AW42" s="22">
        <f t="shared" ref="AW42:AZ42" si="140">IF(OR(E42="",E42="N/A",E42="SDK",E42="SAAS"),0,1)</f>
        <v>0</v>
      </c>
      <c r="AX42" s="22">
        <f t="shared" si="140"/>
        <v>0</v>
      </c>
      <c r="AY42" s="22">
        <f t="shared" si="140"/>
        <v>0</v>
      </c>
      <c r="AZ42" s="22">
        <f t="shared" si="140"/>
        <v>0</v>
      </c>
      <c r="BB42" s="22"/>
      <c r="BC42" s="22"/>
      <c r="BD42" s="22"/>
      <c r="BE42" s="22"/>
    </row>
    <row r="43" spans="1:57">
      <c r="A43" s="23" t="s">
        <v>213</v>
      </c>
      <c r="B43" s="24" t="s">
        <v>26</v>
      </c>
      <c r="C43" s="47" t="s">
        <v>214</v>
      </c>
      <c r="D43" s="88" t="s">
        <v>194</v>
      </c>
      <c r="E43" s="31" t="s">
        <v>194</v>
      </c>
      <c r="F43" s="31" t="s">
        <v>194</v>
      </c>
      <c r="G43" s="31" t="s">
        <v>194</v>
      </c>
      <c r="H43" s="31" t="s">
        <v>194</v>
      </c>
      <c r="I43" s="31"/>
      <c r="J43" s="31"/>
      <c r="K43" s="34">
        <f t="shared" si="23"/>
        <v>0</v>
      </c>
      <c r="L43" s="31" t="s">
        <v>105</v>
      </c>
      <c r="M43" s="31" t="s">
        <v>106</v>
      </c>
      <c r="N43" s="37" t="s">
        <v>107</v>
      </c>
      <c r="O43" s="31"/>
      <c r="P43" s="31"/>
      <c r="Q43" s="31"/>
      <c r="R43" s="31"/>
      <c r="S43" s="31"/>
      <c r="T43" s="31"/>
      <c r="U43" s="31"/>
      <c r="V43" s="31" t="s">
        <v>108</v>
      </c>
      <c r="W43" s="31" t="s">
        <v>109</v>
      </c>
      <c r="X43" s="31"/>
      <c r="Y43" s="31"/>
      <c r="Z43" s="31"/>
      <c r="AB43" s="11">
        <f t="shared" si="24"/>
        <v>0</v>
      </c>
      <c r="AC43" s="11">
        <f t="shared" si="25"/>
        <v>1</v>
      </c>
      <c r="AD43" s="11">
        <f t="shared" si="104"/>
        <v>1</v>
      </c>
      <c r="AF43" s="11">
        <f t="shared" si="26"/>
        <v>0</v>
      </c>
      <c r="AG43" s="11">
        <f t="shared" si="27"/>
        <v>1</v>
      </c>
      <c r="AH43" s="11">
        <f t="shared" si="28"/>
        <v>0</v>
      </c>
      <c r="AI43" s="22">
        <v>1</v>
      </c>
      <c r="AK43" s="11">
        <f t="shared" ref="AK43:AL43" si="141">SUMIFS(AM$3:AM$251,$A$3:$A$251,$A43)</f>
        <v>1</v>
      </c>
      <c r="AL43" s="11">
        <f t="shared" si="141"/>
        <v>1</v>
      </c>
      <c r="AM43" s="11">
        <f t="shared" si="30"/>
        <v>1</v>
      </c>
      <c r="AN43" s="22">
        <v>1</v>
      </c>
      <c r="AO43" s="22"/>
      <c r="AP43" s="22">
        <f t="shared" si="31"/>
        <v>0</v>
      </c>
      <c r="AQ43" s="22">
        <f t="shared" ref="AQ43:AT43" si="142">IF(OR(E43="",E43="TBD",E43="N/A",E43="SDK",E43="SAAS"),0,1)</f>
        <v>0</v>
      </c>
      <c r="AR43" s="22">
        <f t="shared" si="142"/>
        <v>0</v>
      </c>
      <c r="AS43" s="22">
        <f t="shared" si="142"/>
        <v>0</v>
      </c>
      <c r="AT43" s="22">
        <f t="shared" si="142"/>
        <v>0</v>
      </c>
      <c r="AV43" s="11">
        <f t="shared" si="33"/>
        <v>0</v>
      </c>
      <c r="AW43" s="22">
        <f t="shared" ref="AW43:AZ43" si="143">IF(OR(E43="",E43="N/A",E43="SDK",E43="SAAS"),0,1)</f>
        <v>0</v>
      </c>
      <c r="AX43" s="22">
        <f t="shared" si="143"/>
        <v>0</v>
      </c>
      <c r="AY43" s="22">
        <f t="shared" si="143"/>
        <v>0</v>
      </c>
      <c r="AZ43" s="22">
        <f t="shared" si="143"/>
        <v>0</v>
      </c>
      <c r="BB43" s="22"/>
      <c r="BC43" s="22"/>
      <c r="BD43" s="22"/>
      <c r="BE43" s="22"/>
    </row>
    <row r="44" spans="1:57">
      <c r="A44" s="23" t="s">
        <v>215</v>
      </c>
      <c r="B44" s="24" t="s">
        <v>26</v>
      </c>
      <c r="C44" s="47" t="s">
        <v>216</v>
      </c>
      <c r="D44" s="88" t="s">
        <v>194</v>
      </c>
      <c r="E44" s="31" t="s">
        <v>194</v>
      </c>
      <c r="F44" s="31" t="s">
        <v>194</v>
      </c>
      <c r="G44" s="31" t="s">
        <v>194</v>
      </c>
      <c r="H44" s="31" t="s">
        <v>194</v>
      </c>
      <c r="I44" s="31"/>
      <c r="J44" s="31"/>
      <c r="K44" s="34">
        <f t="shared" si="23"/>
        <v>0</v>
      </c>
      <c r="L44" s="31" t="s">
        <v>105</v>
      </c>
      <c r="M44" s="31" t="s">
        <v>106</v>
      </c>
      <c r="N44" s="37" t="s">
        <v>107</v>
      </c>
      <c r="O44" s="31"/>
      <c r="P44" s="31"/>
      <c r="Q44" s="31"/>
      <c r="R44" s="31"/>
      <c r="S44" s="31"/>
      <c r="T44" s="31"/>
      <c r="U44" s="31"/>
      <c r="V44" s="31" t="s">
        <v>108</v>
      </c>
      <c r="W44" s="31" t="s">
        <v>109</v>
      </c>
      <c r="X44" s="31"/>
      <c r="Y44" s="31"/>
      <c r="Z44" s="31"/>
      <c r="AB44" s="11">
        <f t="shared" si="24"/>
        <v>0</v>
      </c>
      <c r="AC44" s="11">
        <f t="shared" si="25"/>
        <v>1</v>
      </c>
      <c r="AD44" s="11">
        <f t="shared" si="104"/>
        <v>1</v>
      </c>
      <c r="AF44" s="11">
        <f t="shared" si="26"/>
        <v>0</v>
      </c>
      <c r="AG44" s="11">
        <f t="shared" si="27"/>
        <v>1</v>
      </c>
      <c r="AH44" s="11">
        <f t="shared" si="28"/>
        <v>0</v>
      </c>
      <c r="AI44" s="22">
        <v>1</v>
      </c>
      <c r="AK44" s="11">
        <f t="shared" ref="AK44:AL44" si="144">SUMIFS(AM$3:AM$251,$A$3:$A$251,$A44)</f>
        <v>1</v>
      </c>
      <c r="AL44" s="11">
        <f t="shared" si="144"/>
        <v>1</v>
      </c>
      <c r="AM44" s="11">
        <f t="shared" si="30"/>
        <v>1</v>
      </c>
      <c r="AN44" s="22">
        <v>1</v>
      </c>
      <c r="AO44" s="22"/>
      <c r="AP44" s="22">
        <f t="shared" si="31"/>
        <v>0</v>
      </c>
      <c r="AQ44" s="22">
        <f t="shared" ref="AQ44:AT44" si="145">IF(OR(E44="",E44="TBD",E44="N/A",E44="SDK",E44="SAAS"),0,1)</f>
        <v>0</v>
      </c>
      <c r="AR44" s="22">
        <f t="shared" si="145"/>
        <v>0</v>
      </c>
      <c r="AS44" s="22">
        <f t="shared" si="145"/>
        <v>0</v>
      </c>
      <c r="AT44" s="22">
        <f t="shared" si="145"/>
        <v>0</v>
      </c>
      <c r="AV44" s="11">
        <f t="shared" si="33"/>
        <v>0</v>
      </c>
      <c r="AW44" s="22">
        <f t="shared" ref="AW44:AZ44" si="146">IF(OR(E44="",E44="N/A",E44="SDK",E44="SAAS"),0,1)</f>
        <v>0</v>
      </c>
      <c r="AX44" s="22">
        <f t="shared" si="146"/>
        <v>0</v>
      </c>
      <c r="AY44" s="22">
        <f t="shared" si="146"/>
        <v>0</v>
      </c>
      <c r="AZ44" s="22">
        <f t="shared" si="146"/>
        <v>0</v>
      </c>
      <c r="BB44" s="22"/>
      <c r="BC44" s="22"/>
      <c r="BD44" s="22"/>
      <c r="BE44" s="22"/>
    </row>
    <row r="45" spans="1:57">
      <c r="A45" s="23" t="s">
        <v>217</v>
      </c>
      <c r="B45" s="24" t="s">
        <v>26</v>
      </c>
      <c r="C45" s="47" t="s">
        <v>218</v>
      </c>
      <c r="D45" s="88" t="s">
        <v>194</v>
      </c>
      <c r="E45" s="31" t="s">
        <v>194</v>
      </c>
      <c r="F45" s="31" t="s">
        <v>194</v>
      </c>
      <c r="G45" s="31" t="s">
        <v>194</v>
      </c>
      <c r="H45" s="31" t="s">
        <v>194</v>
      </c>
      <c r="I45" s="31"/>
      <c r="J45" s="31"/>
      <c r="K45" s="34">
        <f t="shared" si="23"/>
        <v>0</v>
      </c>
      <c r="L45" s="31" t="s">
        <v>105</v>
      </c>
      <c r="M45" s="31" t="s">
        <v>106</v>
      </c>
      <c r="N45" s="37" t="s">
        <v>107</v>
      </c>
      <c r="O45" s="31"/>
      <c r="P45" s="31"/>
      <c r="Q45" s="31"/>
      <c r="R45" s="31"/>
      <c r="S45" s="31"/>
      <c r="T45" s="31"/>
      <c r="U45" s="31"/>
      <c r="V45" s="31" t="s">
        <v>108</v>
      </c>
      <c r="W45" s="31" t="s">
        <v>109</v>
      </c>
      <c r="X45" s="31"/>
      <c r="Y45" s="31"/>
      <c r="Z45" s="31"/>
      <c r="AB45" s="11">
        <f t="shared" si="24"/>
        <v>0</v>
      </c>
      <c r="AC45" s="11">
        <f t="shared" si="25"/>
        <v>1</v>
      </c>
      <c r="AD45" s="11">
        <f t="shared" si="104"/>
        <v>1</v>
      </c>
      <c r="AF45" s="11">
        <f t="shared" si="26"/>
        <v>0</v>
      </c>
      <c r="AG45" s="11">
        <f t="shared" si="27"/>
        <v>1</v>
      </c>
      <c r="AH45" s="11">
        <f t="shared" si="28"/>
        <v>0</v>
      </c>
      <c r="AI45" s="22">
        <v>1</v>
      </c>
      <c r="AK45" s="11">
        <f t="shared" ref="AK45:AL45" si="147">SUMIFS(AM$3:AM$251,$A$3:$A$251,$A45)</f>
        <v>1</v>
      </c>
      <c r="AL45" s="11">
        <f t="shared" si="147"/>
        <v>1</v>
      </c>
      <c r="AM45" s="11">
        <f t="shared" si="30"/>
        <v>1</v>
      </c>
      <c r="AN45" s="22">
        <v>1</v>
      </c>
      <c r="AO45" s="22"/>
      <c r="AP45" s="22">
        <f t="shared" si="31"/>
        <v>0</v>
      </c>
      <c r="AQ45" s="22">
        <f t="shared" ref="AQ45:AT45" si="148">IF(OR(E45="",E45="TBD",E45="N/A",E45="SDK",E45="SAAS"),0,1)</f>
        <v>0</v>
      </c>
      <c r="AR45" s="22">
        <f t="shared" si="148"/>
        <v>0</v>
      </c>
      <c r="AS45" s="22">
        <f t="shared" si="148"/>
        <v>0</v>
      </c>
      <c r="AT45" s="22">
        <f t="shared" si="148"/>
        <v>0</v>
      </c>
      <c r="AV45" s="11">
        <f t="shared" si="33"/>
        <v>0</v>
      </c>
      <c r="AW45" s="22">
        <f t="shared" ref="AW45:AZ45" si="149">IF(OR(E45="",E45="N/A",E45="SDK",E45="SAAS"),0,1)</f>
        <v>0</v>
      </c>
      <c r="AX45" s="22">
        <f t="shared" si="149"/>
        <v>0</v>
      </c>
      <c r="AY45" s="22">
        <f t="shared" si="149"/>
        <v>0</v>
      </c>
      <c r="AZ45" s="22">
        <f t="shared" si="149"/>
        <v>0</v>
      </c>
      <c r="BB45" s="22"/>
      <c r="BC45" s="22"/>
      <c r="BD45" s="22"/>
      <c r="BE45" s="22"/>
    </row>
    <row r="46" spans="1:57">
      <c r="A46" s="23" t="s">
        <v>219</v>
      </c>
      <c r="B46" s="24" t="s">
        <v>26</v>
      </c>
      <c r="C46" s="47" t="s">
        <v>220</v>
      </c>
      <c r="D46" s="88" t="s">
        <v>194</v>
      </c>
      <c r="E46" s="31" t="s">
        <v>194</v>
      </c>
      <c r="F46" s="31" t="s">
        <v>194</v>
      </c>
      <c r="G46" s="31" t="s">
        <v>194</v>
      </c>
      <c r="H46" s="31" t="s">
        <v>194</v>
      </c>
      <c r="I46" s="31"/>
      <c r="J46" s="31"/>
      <c r="K46" s="34">
        <f t="shared" si="23"/>
        <v>0</v>
      </c>
      <c r="L46" s="31" t="s">
        <v>105</v>
      </c>
      <c r="M46" s="31" t="s">
        <v>106</v>
      </c>
      <c r="N46" s="37" t="s">
        <v>107</v>
      </c>
      <c r="O46" s="31"/>
      <c r="P46" s="31"/>
      <c r="Q46" s="31"/>
      <c r="R46" s="31"/>
      <c r="S46" s="31"/>
      <c r="T46" s="31"/>
      <c r="U46" s="31"/>
      <c r="V46" s="31" t="s">
        <v>108</v>
      </c>
      <c r="W46" s="31" t="s">
        <v>109</v>
      </c>
      <c r="X46" s="31"/>
      <c r="Y46" s="31"/>
      <c r="Z46" s="31"/>
      <c r="AB46" s="11">
        <f t="shared" si="24"/>
        <v>0</v>
      </c>
      <c r="AC46" s="11">
        <f t="shared" si="25"/>
        <v>1</v>
      </c>
      <c r="AD46" s="11">
        <f t="shared" si="104"/>
        <v>1</v>
      </c>
      <c r="AF46" s="11">
        <f t="shared" si="26"/>
        <v>0</v>
      </c>
      <c r="AG46" s="11">
        <f t="shared" si="27"/>
        <v>1</v>
      </c>
      <c r="AH46" s="11">
        <f t="shared" si="28"/>
        <v>0</v>
      </c>
      <c r="AI46" s="22">
        <v>1</v>
      </c>
      <c r="AK46" s="11">
        <f t="shared" ref="AK46:AL46" si="150">SUMIFS(AM$3:AM$251,$A$3:$A$251,$A46)</f>
        <v>1</v>
      </c>
      <c r="AL46" s="11">
        <f t="shared" si="150"/>
        <v>1</v>
      </c>
      <c r="AM46" s="11">
        <f t="shared" si="30"/>
        <v>1</v>
      </c>
      <c r="AN46" s="22">
        <v>1</v>
      </c>
      <c r="AO46" s="22"/>
      <c r="AP46" s="22">
        <f t="shared" si="31"/>
        <v>0</v>
      </c>
      <c r="AQ46" s="22">
        <f t="shared" ref="AQ46:AT46" si="151">IF(OR(E46="",E46="TBD",E46="N/A",E46="SDK",E46="SAAS"),0,1)</f>
        <v>0</v>
      </c>
      <c r="AR46" s="22">
        <f t="shared" si="151"/>
        <v>0</v>
      </c>
      <c r="AS46" s="22">
        <f t="shared" si="151"/>
        <v>0</v>
      </c>
      <c r="AT46" s="22">
        <f t="shared" si="151"/>
        <v>0</v>
      </c>
      <c r="AV46" s="11">
        <f t="shared" si="33"/>
        <v>0</v>
      </c>
      <c r="AW46" s="22">
        <f t="shared" ref="AW46:AZ46" si="152">IF(OR(E46="",E46="N/A",E46="SDK",E46="SAAS"),0,1)</f>
        <v>0</v>
      </c>
      <c r="AX46" s="22">
        <f t="shared" si="152"/>
        <v>0</v>
      </c>
      <c r="AY46" s="22">
        <f t="shared" si="152"/>
        <v>0</v>
      </c>
      <c r="AZ46" s="22">
        <f t="shared" si="152"/>
        <v>0</v>
      </c>
      <c r="BB46" s="22"/>
      <c r="BC46" s="22"/>
      <c r="BD46" s="22"/>
      <c r="BE46" s="22"/>
    </row>
    <row r="47" spans="1:57">
      <c r="A47" s="23" t="s">
        <v>221</v>
      </c>
      <c r="B47" s="24" t="s">
        <v>26</v>
      </c>
      <c r="C47" s="47" t="s">
        <v>222</v>
      </c>
      <c r="D47" s="88" t="s">
        <v>194</v>
      </c>
      <c r="E47" s="31" t="s">
        <v>194</v>
      </c>
      <c r="F47" s="31" t="s">
        <v>194</v>
      </c>
      <c r="G47" s="31" t="s">
        <v>194</v>
      </c>
      <c r="H47" s="31" t="s">
        <v>194</v>
      </c>
      <c r="I47" s="31"/>
      <c r="J47" s="31"/>
      <c r="K47" s="34">
        <f t="shared" si="23"/>
        <v>0</v>
      </c>
      <c r="L47" s="31" t="s">
        <v>105</v>
      </c>
      <c r="M47" s="31" t="s">
        <v>106</v>
      </c>
      <c r="N47" s="37" t="s">
        <v>107</v>
      </c>
      <c r="O47" s="31"/>
      <c r="P47" s="31"/>
      <c r="Q47" s="31"/>
      <c r="R47" s="31"/>
      <c r="S47" s="31"/>
      <c r="T47" s="31"/>
      <c r="U47" s="31"/>
      <c r="V47" s="31" t="s">
        <v>108</v>
      </c>
      <c r="W47" s="31" t="s">
        <v>109</v>
      </c>
      <c r="X47" s="31"/>
      <c r="Y47" s="31"/>
      <c r="Z47" s="31"/>
      <c r="AB47" s="11">
        <f t="shared" si="24"/>
        <v>0</v>
      </c>
      <c r="AC47" s="11">
        <f t="shared" si="25"/>
        <v>1</v>
      </c>
      <c r="AD47" s="11">
        <f t="shared" si="104"/>
        <v>1</v>
      </c>
      <c r="AF47" s="11">
        <f t="shared" si="26"/>
        <v>0</v>
      </c>
      <c r="AG47" s="11">
        <f t="shared" si="27"/>
        <v>1</v>
      </c>
      <c r="AH47" s="11">
        <f t="shared" si="28"/>
        <v>0</v>
      </c>
      <c r="AI47" s="22">
        <v>1</v>
      </c>
      <c r="AK47" s="11">
        <f t="shared" ref="AK47:AL47" si="153">SUMIFS(AM$3:AM$251,$A$3:$A$251,$A47)</f>
        <v>1</v>
      </c>
      <c r="AL47" s="11">
        <f t="shared" si="153"/>
        <v>1</v>
      </c>
      <c r="AM47" s="11">
        <f t="shared" si="30"/>
        <v>1</v>
      </c>
      <c r="AN47" s="22">
        <v>1</v>
      </c>
      <c r="AO47" s="22"/>
      <c r="AP47" s="22">
        <f t="shared" si="31"/>
        <v>0</v>
      </c>
      <c r="AQ47" s="22">
        <f t="shared" ref="AQ47:AT47" si="154">IF(OR(E47="",E47="TBD",E47="N/A",E47="SDK",E47="SAAS"),0,1)</f>
        <v>0</v>
      </c>
      <c r="AR47" s="22">
        <f t="shared" si="154"/>
        <v>0</v>
      </c>
      <c r="AS47" s="22">
        <f t="shared" si="154"/>
        <v>0</v>
      </c>
      <c r="AT47" s="22">
        <f t="shared" si="154"/>
        <v>0</v>
      </c>
      <c r="AV47" s="11">
        <f t="shared" si="33"/>
        <v>0</v>
      </c>
      <c r="AW47" s="22">
        <f t="shared" ref="AW47:AZ47" si="155">IF(OR(E47="",E47="N/A",E47="SDK",E47="SAAS"),0,1)</f>
        <v>0</v>
      </c>
      <c r="AX47" s="22">
        <f t="shared" si="155"/>
        <v>0</v>
      </c>
      <c r="AY47" s="22">
        <f t="shared" si="155"/>
        <v>0</v>
      </c>
      <c r="AZ47" s="22">
        <f t="shared" si="155"/>
        <v>0</v>
      </c>
      <c r="BB47" s="22"/>
      <c r="BC47" s="22"/>
      <c r="BD47" s="22"/>
      <c r="BE47" s="22"/>
    </row>
    <row r="48" spans="1:57">
      <c r="A48" s="23" t="s">
        <v>223</v>
      </c>
      <c r="B48" s="84" t="s">
        <v>26</v>
      </c>
      <c r="C48" s="47" t="s">
        <v>224</v>
      </c>
      <c r="D48" s="88" t="s">
        <v>194</v>
      </c>
      <c r="E48" s="31" t="s">
        <v>194</v>
      </c>
      <c r="F48" s="31" t="s">
        <v>194</v>
      </c>
      <c r="G48" s="31" t="s">
        <v>194</v>
      </c>
      <c r="H48" s="31" t="s">
        <v>194</v>
      </c>
      <c r="I48" s="31"/>
      <c r="J48" s="31"/>
      <c r="K48" s="34">
        <f t="shared" si="23"/>
        <v>0</v>
      </c>
      <c r="L48" s="31" t="s">
        <v>105</v>
      </c>
      <c r="M48" s="31" t="s">
        <v>106</v>
      </c>
      <c r="N48" s="37" t="s">
        <v>107</v>
      </c>
      <c r="O48" s="31"/>
      <c r="P48" s="31"/>
      <c r="Q48" s="31"/>
      <c r="R48" s="31"/>
      <c r="S48" s="31"/>
      <c r="T48" s="31"/>
      <c r="U48" s="31"/>
      <c r="V48" s="31" t="s">
        <v>108</v>
      </c>
      <c r="W48" s="31" t="s">
        <v>109</v>
      </c>
      <c r="X48" s="31"/>
      <c r="Y48" s="31"/>
      <c r="Z48" s="31"/>
      <c r="AB48" s="11">
        <f t="shared" si="24"/>
        <v>0</v>
      </c>
      <c r="AC48" s="11">
        <f t="shared" si="25"/>
        <v>1</v>
      </c>
      <c r="AD48" s="11">
        <f t="shared" si="104"/>
        <v>1</v>
      </c>
      <c r="AF48" s="11">
        <f t="shared" si="26"/>
        <v>0</v>
      </c>
      <c r="AG48" s="11">
        <f t="shared" si="27"/>
        <v>1</v>
      </c>
      <c r="AH48" s="11">
        <f t="shared" si="28"/>
        <v>0</v>
      </c>
      <c r="AI48" s="22">
        <v>1</v>
      </c>
      <c r="AK48" s="11">
        <f t="shared" ref="AK48:AL48" si="156">SUMIFS(AM$3:AM$251,$A$3:$A$251,$A48)</f>
        <v>1</v>
      </c>
      <c r="AL48" s="11">
        <f t="shared" si="156"/>
        <v>1</v>
      </c>
      <c r="AM48" s="11">
        <f t="shared" si="30"/>
        <v>1</v>
      </c>
      <c r="AN48" s="22">
        <v>1</v>
      </c>
      <c r="AO48" s="22"/>
      <c r="AP48" s="22">
        <f t="shared" si="31"/>
        <v>0</v>
      </c>
      <c r="AQ48" s="22">
        <f t="shared" ref="AQ48:AT48" si="157">IF(OR(E48="",E48="TBD",E48="N/A",E48="SDK",E48="SAAS"),0,1)</f>
        <v>0</v>
      </c>
      <c r="AR48" s="22">
        <f t="shared" si="157"/>
        <v>0</v>
      </c>
      <c r="AS48" s="22">
        <f t="shared" si="157"/>
        <v>0</v>
      </c>
      <c r="AT48" s="22">
        <f t="shared" si="157"/>
        <v>0</v>
      </c>
      <c r="AV48" s="11">
        <f t="shared" si="33"/>
        <v>0</v>
      </c>
      <c r="AW48" s="22">
        <f t="shared" ref="AW48:AZ48" si="158">IF(OR(E48="",E48="N/A",E48="SDK",E48="SAAS"),0,1)</f>
        <v>0</v>
      </c>
      <c r="AX48" s="22">
        <f t="shared" si="158"/>
        <v>0</v>
      </c>
      <c r="AY48" s="22">
        <f t="shared" si="158"/>
        <v>0</v>
      </c>
      <c r="AZ48" s="22">
        <f t="shared" si="158"/>
        <v>0</v>
      </c>
      <c r="BB48" s="22"/>
      <c r="BC48" s="22"/>
      <c r="BD48" s="22"/>
      <c r="BE48" s="22"/>
    </row>
    <row r="49" spans="1:57">
      <c r="A49" s="84" t="s">
        <v>225</v>
      </c>
      <c r="B49" s="84" t="s">
        <v>26</v>
      </c>
      <c r="C49" s="85" t="s">
        <v>226</v>
      </c>
      <c r="D49" s="88" t="s">
        <v>194</v>
      </c>
      <c r="E49" s="31" t="s">
        <v>194</v>
      </c>
      <c r="F49" s="31" t="s">
        <v>194</v>
      </c>
      <c r="G49" s="31" t="s">
        <v>194</v>
      </c>
      <c r="H49" s="31" t="s">
        <v>194</v>
      </c>
      <c r="I49" s="31"/>
      <c r="J49" s="31"/>
      <c r="K49" s="34">
        <f t="shared" si="23"/>
        <v>0</v>
      </c>
      <c r="L49" s="31" t="s">
        <v>105</v>
      </c>
      <c r="M49" s="31" t="s">
        <v>106</v>
      </c>
      <c r="N49" s="37" t="s">
        <v>107</v>
      </c>
      <c r="O49" s="31"/>
      <c r="P49" s="31"/>
      <c r="Q49" s="31"/>
      <c r="R49" s="31"/>
      <c r="S49" s="31"/>
      <c r="T49" s="31"/>
      <c r="U49" s="31"/>
      <c r="V49" s="31" t="s">
        <v>108</v>
      </c>
      <c r="W49" s="31" t="s">
        <v>109</v>
      </c>
      <c r="X49" s="31"/>
      <c r="Y49" s="31"/>
      <c r="Z49" s="31"/>
      <c r="AB49" s="11">
        <f t="shared" si="24"/>
        <v>0</v>
      </c>
      <c r="AC49" s="11">
        <f t="shared" si="25"/>
        <v>1</v>
      </c>
      <c r="AD49" s="11">
        <f t="shared" si="104"/>
        <v>1</v>
      </c>
      <c r="AF49" s="11">
        <f t="shared" si="26"/>
        <v>0</v>
      </c>
      <c r="AG49" s="11">
        <f t="shared" si="27"/>
        <v>1</v>
      </c>
      <c r="AH49" s="11">
        <f t="shared" si="28"/>
        <v>0</v>
      </c>
      <c r="AI49" s="22">
        <v>1</v>
      </c>
      <c r="AK49" s="11">
        <f t="shared" ref="AK49:AL49" si="159">SUMIFS(AM$3:AM$251,$A$3:$A$251,$A49)</f>
        <v>1</v>
      </c>
      <c r="AL49" s="11">
        <f t="shared" si="159"/>
        <v>1</v>
      </c>
      <c r="AM49" s="11">
        <f t="shared" si="30"/>
        <v>1</v>
      </c>
      <c r="AN49" s="22">
        <v>1</v>
      </c>
      <c r="AO49" s="22"/>
      <c r="AP49" s="22">
        <f t="shared" si="31"/>
        <v>0</v>
      </c>
      <c r="AQ49" s="22">
        <f t="shared" ref="AQ49:AT49" si="160">IF(OR(E49="",E49="TBD",E49="N/A",E49="SDK",E49="SAAS"),0,1)</f>
        <v>0</v>
      </c>
      <c r="AR49" s="22">
        <f t="shared" si="160"/>
        <v>0</v>
      </c>
      <c r="AS49" s="22">
        <f t="shared" si="160"/>
        <v>0</v>
      </c>
      <c r="AT49" s="22">
        <f t="shared" si="160"/>
        <v>0</v>
      </c>
      <c r="AV49" s="11">
        <f t="shared" si="33"/>
        <v>0</v>
      </c>
      <c r="AW49" s="22">
        <f t="shared" ref="AW49:AZ49" si="161">IF(OR(E49="",E49="N/A",E49="SDK",E49="SAAS"),0,1)</f>
        <v>0</v>
      </c>
      <c r="AX49" s="22">
        <f t="shared" si="161"/>
        <v>0</v>
      </c>
      <c r="AY49" s="22">
        <f t="shared" si="161"/>
        <v>0</v>
      </c>
      <c r="AZ49" s="22">
        <f t="shared" si="161"/>
        <v>0</v>
      </c>
      <c r="BB49" s="22"/>
      <c r="BC49" s="22"/>
      <c r="BD49" s="22"/>
      <c r="BE49" s="22"/>
    </row>
    <row r="50" spans="1:57">
      <c r="A50" s="23" t="s">
        <v>227</v>
      </c>
      <c r="B50" s="24" t="s">
        <v>26</v>
      </c>
      <c r="C50" s="47" t="s">
        <v>228</v>
      </c>
      <c r="D50" s="88" t="s">
        <v>135</v>
      </c>
      <c r="E50" s="31" t="s">
        <v>135</v>
      </c>
      <c r="F50" s="31" t="s">
        <v>135</v>
      </c>
      <c r="G50" s="31" t="s">
        <v>135</v>
      </c>
      <c r="H50" s="31" t="s">
        <v>135</v>
      </c>
      <c r="I50" s="31"/>
      <c r="J50" s="31"/>
      <c r="K50" s="34">
        <f t="shared" si="23"/>
        <v>0</v>
      </c>
      <c r="L50" s="31" t="s">
        <v>105</v>
      </c>
      <c r="M50" s="31" t="s">
        <v>106</v>
      </c>
      <c r="N50" s="37" t="s">
        <v>107</v>
      </c>
      <c r="O50" s="31"/>
      <c r="P50" s="31"/>
      <c r="Q50" s="31"/>
      <c r="R50" s="31"/>
      <c r="S50" s="31"/>
      <c r="T50" s="31"/>
      <c r="U50" s="31"/>
      <c r="V50" s="31" t="s">
        <v>108</v>
      </c>
      <c r="W50" s="31" t="s">
        <v>109</v>
      </c>
      <c r="X50" s="31"/>
      <c r="Y50" s="31"/>
      <c r="Z50" s="31"/>
      <c r="AB50" s="11">
        <f t="shared" si="24"/>
        <v>0</v>
      </c>
      <c r="AC50" s="11">
        <f t="shared" si="25"/>
        <v>0</v>
      </c>
      <c r="AD50" s="11">
        <f t="shared" si="104"/>
        <v>1</v>
      </c>
      <c r="AF50" s="11">
        <f t="shared" si="26"/>
        <v>0</v>
      </c>
      <c r="AG50" s="11">
        <f t="shared" si="27"/>
        <v>1</v>
      </c>
      <c r="AH50" s="11">
        <f t="shared" si="28"/>
        <v>0</v>
      </c>
      <c r="AI50" s="22">
        <v>1</v>
      </c>
      <c r="AK50" s="11">
        <f t="shared" ref="AK50:AL50" si="162">SUMIFS(AM$3:AM$251,$A$3:$A$251,$A50)</f>
        <v>0</v>
      </c>
      <c r="AL50" s="11">
        <f t="shared" si="162"/>
        <v>1</v>
      </c>
      <c r="AM50" s="11">
        <f t="shared" si="30"/>
        <v>0</v>
      </c>
      <c r="AN50" s="22">
        <v>1</v>
      </c>
      <c r="AO50" s="22"/>
      <c r="AP50" s="22">
        <f t="shared" si="31"/>
        <v>0</v>
      </c>
      <c r="AQ50" s="22">
        <f t="shared" ref="AQ50:AT50" si="163">IF(OR(E50="",E50="TBD",E50="N/A",E50="SDK",E50="SAAS"),0,1)</f>
        <v>0</v>
      </c>
      <c r="AR50" s="22">
        <f t="shared" si="163"/>
        <v>0</v>
      </c>
      <c r="AS50" s="22">
        <f t="shared" si="163"/>
        <v>0</v>
      </c>
      <c r="AT50" s="22">
        <f t="shared" si="163"/>
        <v>0</v>
      </c>
      <c r="AV50" s="11">
        <f t="shared" si="33"/>
        <v>4</v>
      </c>
      <c r="AW50" s="22">
        <f t="shared" ref="AW50:AZ50" si="164">IF(OR(E50="",E50="N/A",E50="SDK",E50="SAAS"),0,1)</f>
        <v>1</v>
      </c>
      <c r="AX50" s="22">
        <f t="shared" si="164"/>
        <v>1</v>
      </c>
      <c r="AY50" s="22">
        <f t="shared" si="164"/>
        <v>1</v>
      </c>
      <c r="AZ50" s="22">
        <f t="shared" si="164"/>
        <v>1</v>
      </c>
      <c r="BB50" s="22"/>
      <c r="BC50" s="22"/>
      <c r="BD50" s="22"/>
      <c r="BE50" s="22"/>
    </row>
    <row r="51" spans="1:57">
      <c r="A51" s="23" t="s">
        <v>229</v>
      </c>
      <c r="B51" s="24" t="s">
        <v>26</v>
      </c>
      <c r="C51" s="47" t="s">
        <v>230</v>
      </c>
      <c r="D51" s="88" t="s">
        <v>135</v>
      </c>
      <c r="E51" s="31" t="s">
        <v>135</v>
      </c>
      <c r="F51" s="31" t="s">
        <v>135</v>
      </c>
      <c r="G51" s="31" t="s">
        <v>135</v>
      </c>
      <c r="H51" s="31" t="s">
        <v>135</v>
      </c>
      <c r="I51" s="31"/>
      <c r="J51" s="31"/>
      <c r="K51" s="34">
        <f t="shared" si="23"/>
        <v>0</v>
      </c>
      <c r="L51" s="31" t="s">
        <v>105</v>
      </c>
      <c r="M51" s="31" t="s">
        <v>106</v>
      </c>
      <c r="N51" s="37" t="s">
        <v>107</v>
      </c>
      <c r="O51" s="31"/>
      <c r="P51" s="31"/>
      <c r="Q51" s="31"/>
      <c r="R51" s="31"/>
      <c r="S51" s="31"/>
      <c r="T51" s="31"/>
      <c r="U51" s="31"/>
      <c r="V51" s="31" t="s">
        <v>108</v>
      </c>
      <c r="W51" s="31" t="s">
        <v>109</v>
      </c>
      <c r="X51" s="31"/>
      <c r="Y51" s="31"/>
      <c r="Z51" s="31"/>
      <c r="AB51" s="11">
        <f t="shared" si="24"/>
        <v>0</v>
      </c>
      <c r="AC51" s="11">
        <f t="shared" si="25"/>
        <v>0</v>
      </c>
      <c r="AD51" s="11">
        <f t="shared" si="104"/>
        <v>1</v>
      </c>
      <c r="AF51" s="11">
        <f t="shared" si="26"/>
        <v>0</v>
      </c>
      <c r="AG51" s="11">
        <f t="shared" si="27"/>
        <v>1</v>
      </c>
      <c r="AH51" s="11">
        <f t="shared" si="28"/>
        <v>0</v>
      </c>
      <c r="AI51" s="22">
        <v>1</v>
      </c>
      <c r="AK51" s="11">
        <f t="shared" ref="AK51:AL51" si="165">SUMIFS(AM$3:AM$251,$A$3:$A$251,$A51)</f>
        <v>0</v>
      </c>
      <c r="AL51" s="11">
        <f t="shared" si="165"/>
        <v>1</v>
      </c>
      <c r="AM51" s="11">
        <f t="shared" si="30"/>
        <v>0</v>
      </c>
      <c r="AN51" s="22">
        <v>1</v>
      </c>
      <c r="AO51" s="22"/>
      <c r="AP51" s="22">
        <f t="shared" si="31"/>
        <v>0</v>
      </c>
      <c r="AQ51" s="22">
        <f t="shared" ref="AQ51:AT51" si="166">IF(OR(E51="",E51="TBD",E51="N/A",E51="SDK",E51="SAAS"),0,1)</f>
        <v>0</v>
      </c>
      <c r="AR51" s="22">
        <f t="shared" si="166"/>
        <v>0</v>
      </c>
      <c r="AS51" s="22">
        <f t="shared" si="166"/>
        <v>0</v>
      </c>
      <c r="AT51" s="22">
        <f t="shared" si="166"/>
        <v>0</v>
      </c>
      <c r="AV51" s="11">
        <f t="shared" si="33"/>
        <v>4</v>
      </c>
      <c r="AW51" s="22">
        <f t="shared" ref="AW51:AZ51" si="167">IF(OR(E51="",E51="N/A",E51="SDK",E51="SAAS"),0,1)</f>
        <v>1</v>
      </c>
      <c r="AX51" s="22">
        <f t="shared" si="167"/>
        <v>1</v>
      </c>
      <c r="AY51" s="22">
        <f t="shared" si="167"/>
        <v>1</v>
      </c>
      <c r="AZ51" s="22">
        <f t="shared" si="167"/>
        <v>1</v>
      </c>
      <c r="BB51" s="22"/>
      <c r="BC51" s="22"/>
      <c r="BD51" s="22"/>
      <c r="BE51" s="22"/>
    </row>
    <row r="52" spans="1:57">
      <c r="A52" s="23" t="s">
        <v>231</v>
      </c>
      <c r="B52" s="24" t="s">
        <v>26</v>
      </c>
      <c r="C52" s="47" t="s">
        <v>232</v>
      </c>
      <c r="E52" s="31" t="s">
        <v>135</v>
      </c>
      <c r="F52" s="31" t="s">
        <v>135</v>
      </c>
      <c r="G52" s="31" t="s">
        <v>135</v>
      </c>
      <c r="H52" s="31" t="s">
        <v>135</v>
      </c>
      <c r="I52" s="31"/>
      <c r="J52" s="31"/>
      <c r="K52" s="34">
        <f t="shared" si="23"/>
        <v>0</v>
      </c>
      <c r="L52" s="31" t="s">
        <v>105</v>
      </c>
      <c r="M52" s="31" t="s">
        <v>106</v>
      </c>
      <c r="N52" s="37" t="s">
        <v>107</v>
      </c>
      <c r="O52" s="31"/>
      <c r="P52" s="31"/>
      <c r="Q52" s="31"/>
      <c r="R52" s="31"/>
      <c r="S52" s="31"/>
      <c r="T52" s="31"/>
      <c r="U52" s="31"/>
      <c r="V52" s="31" t="s">
        <v>108</v>
      </c>
      <c r="W52" s="31" t="s">
        <v>109</v>
      </c>
      <c r="X52" s="31"/>
      <c r="Y52" s="31"/>
      <c r="Z52" s="31"/>
      <c r="AB52" s="11">
        <f t="shared" si="24"/>
        <v>0</v>
      </c>
      <c r="AC52" s="11">
        <f t="shared" si="25"/>
        <v>0</v>
      </c>
      <c r="AD52" s="11">
        <f t="shared" si="104"/>
        <v>1</v>
      </c>
      <c r="AF52" s="11">
        <f t="shared" si="26"/>
        <v>0</v>
      </c>
      <c r="AG52" s="11">
        <f t="shared" si="27"/>
        <v>1</v>
      </c>
      <c r="AH52" s="11">
        <f t="shared" si="28"/>
        <v>0</v>
      </c>
      <c r="AI52" s="22">
        <v>1</v>
      </c>
      <c r="AK52" s="11">
        <f t="shared" ref="AK52:AL52" si="168">SUMIFS(AM$3:AM$251,$A$3:$A$251,$A52)</f>
        <v>0</v>
      </c>
      <c r="AL52" s="11">
        <f t="shared" si="168"/>
        <v>1</v>
      </c>
      <c r="AM52" s="11">
        <f t="shared" si="30"/>
        <v>0</v>
      </c>
      <c r="AN52" s="22">
        <v>1</v>
      </c>
      <c r="AO52" s="22"/>
      <c r="AP52" s="22">
        <f t="shared" si="31"/>
        <v>0</v>
      </c>
      <c r="AQ52" s="22">
        <f t="shared" ref="AQ52:AT52" si="169">IF(OR(E52="",E52="TBD",E52="N/A",E52="SDK",E52="SAAS"),0,1)</f>
        <v>0</v>
      </c>
      <c r="AR52" s="22">
        <f t="shared" si="169"/>
        <v>0</v>
      </c>
      <c r="AS52" s="22">
        <f t="shared" si="169"/>
        <v>0</v>
      </c>
      <c r="AT52" s="22">
        <f t="shared" si="169"/>
        <v>0</v>
      </c>
      <c r="AV52" s="11">
        <f t="shared" si="33"/>
        <v>4</v>
      </c>
      <c r="AW52" s="22">
        <f t="shared" ref="AW52:AZ52" si="170">IF(OR(E52="",E52="N/A",E52="SDK",E52="SAAS"),0,1)</f>
        <v>1</v>
      </c>
      <c r="AX52" s="22">
        <f t="shared" si="170"/>
        <v>1</v>
      </c>
      <c r="AY52" s="22">
        <f t="shared" si="170"/>
        <v>1</v>
      </c>
      <c r="AZ52" s="22">
        <f t="shared" si="170"/>
        <v>1</v>
      </c>
      <c r="BB52" s="22"/>
      <c r="BC52" s="22"/>
      <c r="BD52" s="22"/>
      <c r="BE52" s="22"/>
    </row>
    <row r="53" spans="1:57">
      <c r="A53" s="23" t="s">
        <v>233</v>
      </c>
      <c r="B53" s="24" t="s">
        <v>26</v>
      </c>
      <c r="C53" s="47" t="s">
        <v>234</v>
      </c>
      <c r="D53" s="88" t="s">
        <v>135</v>
      </c>
      <c r="E53" s="31" t="s">
        <v>135</v>
      </c>
      <c r="F53" s="31" t="s">
        <v>135</v>
      </c>
      <c r="G53" s="31" t="s">
        <v>135</v>
      </c>
      <c r="H53" s="31" t="s">
        <v>135</v>
      </c>
      <c r="I53" s="31"/>
      <c r="J53" s="31"/>
      <c r="K53" s="34">
        <f t="shared" si="23"/>
        <v>0</v>
      </c>
      <c r="L53" s="31" t="s">
        <v>105</v>
      </c>
      <c r="M53" s="31" t="s">
        <v>106</v>
      </c>
      <c r="N53" s="37" t="s">
        <v>107</v>
      </c>
      <c r="O53" s="31"/>
      <c r="P53" s="31"/>
      <c r="Q53" s="31"/>
      <c r="R53" s="31"/>
      <c r="S53" s="31"/>
      <c r="T53" s="31"/>
      <c r="U53" s="31"/>
      <c r="V53" s="31" t="s">
        <v>108</v>
      </c>
      <c r="W53" s="31" t="s">
        <v>109</v>
      </c>
      <c r="X53" s="31"/>
      <c r="Y53" s="31"/>
      <c r="Z53" s="31"/>
      <c r="AB53" s="11">
        <f t="shared" si="24"/>
        <v>0</v>
      </c>
      <c r="AC53" s="11">
        <f t="shared" si="25"/>
        <v>0</v>
      </c>
      <c r="AD53" s="11">
        <f t="shared" si="104"/>
        <v>1</v>
      </c>
      <c r="AF53" s="11">
        <f t="shared" si="26"/>
        <v>0</v>
      </c>
      <c r="AG53" s="11">
        <f t="shared" si="27"/>
        <v>1</v>
      </c>
      <c r="AH53" s="11">
        <f t="shared" si="28"/>
        <v>0</v>
      </c>
      <c r="AI53" s="22">
        <v>1</v>
      </c>
      <c r="AK53" s="11">
        <f t="shared" ref="AK53:AL53" si="171">SUMIFS(AM$3:AM$251,$A$3:$A$251,$A53)</f>
        <v>0</v>
      </c>
      <c r="AL53" s="11">
        <f t="shared" si="171"/>
        <v>1</v>
      </c>
      <c r="AM53" s="11">
        <f t="shared" si="30"/>
        <v>0</v>
      </c>
      <c r="AN53" s="22">
        <v>1</v>
      </c>
      <c r="AO53" s="22"/>
      <c r="AP53" s="22">
        <f t="shared" si="31"/>
        <v>0</v>
      </c>
      <c r="AQ53" s="22">
        <f t="shared" ref="AQ53:AT53" si="172">IF(OR(E53="",E53="TBD",E53="N/A",E53="SDK",E53="SAAS"),0,1)</f>
        <v>0</v>
      </c>
      <c r="AR53" s="22">
        <f t="shared" si="172"/>
        <v>0</v>
      </c>
      <c r="AS53" s="22">
        <f t="shared" si="172"/>
        <v>0</v>
      </c>
      <c r="AT53" s="22">
        <f t="shared" si="172"/>
        <v>0</v>
      </c>
      <c r="AV53" s="11">
        <f t="shared" si="33"/>
        <v>4</v>
      </c>
      <c r="AW53" s="22">
        <f t="shared" ref="AW53:AZ53" si="173">IF(OR(E53="",E53="N/A",E53="SDK",E53="SAAS"),0,1)</f>
        <v>1</v>
      </c>
      <c r="AX53" s="22">
        <f t="shared" si="173"/>
        <v>1</v>
      </c>
      <c r="AY53" s="22">
        <f t="shared" si="173"/>
        <v>1</v>
      </c>
      <c r="AZ53" s="22">
        <f t="shared" si="173"/>
        <v>1</v>
      </c>
      <c r="BB53" s="22"/>
      <c r="BC53" s="22"/>
      <c r="BD53" s="22"/>
      <c r="BE53" s="22"/>
    </row>
    <row r="54" spans="1:57">
      <c r="A54" s="23" t="s">
        <v>235</v>
      </c>
      <c r="B54" s="24" t="s">
        <v>26</v>
      </c>
      <c r="C54" s="47" t="s">
        <v>236</v>
      </c>
      <c r="D54" s="88" t="s">
        <v>135</v>
      </c>
      <c r="E54" s="31" t="s">
        <v>135</v>
      </c>
      <c r="F54" s="31" t="s">
        <v>135</v>
      </c>
      <c r="G54" s="31" t="s">
        <v>135</v>
      </c>
      <c r="H54" s="31" t="s">
        <v>135</v>
      </c>
      <c r="I54" s="31"/>
      <c r="J54" s="31"/>
      <c r="K54" s="34">
        <f t="shared" si="23"/>
        <v>0</v>
      </c>
      <c r="L54" s="31" t="s">
        <v>105</v>
      </c>
      <c r="M54" s="31" t="s">
        <v>106</v>
      </c>
      <c r="N54" s="37" t="s">
        <v>107</v>
      </c>
      <c r="O54" s="31"/>
      <c r="P54" s="31"/>
      <c r="Q54" s="31"/>
      <c r="R54" s="31"/>
      <c r="S54" s="31"/>
      <c r="T54" s="31"/>
      <c r="U54" s="31"/>
      <c r="V54" s="31" t="s">
        <v>108</v>
      </c>
      <c r="W54" s="31" t="s">
        <v>109</v>
      </c>
      <c r="X54" s="31"/>
      <c r="Y54" s="31"/>
      <c r="Z54" s="31"/>
      <c r="AB54" s="11">
        <f t="shared" si="24"/>
        <v>0</v>
      </c>
      <c r="AC54" s="11">
        <f t="shared" si="25"/>
        <v>0</v>
      </c>
      <c r="AD54" s="11">
        <f t="shared" si="104"/>
        <v>1</v>
      </c>
      <c r="AF54" s="11">
        <f t="shared" si="26"/>
        <v>0</v>
      </c>
      <c r="AG54" s="11">
        <f t="shared" si="27"/>
        <v>1</v>
      </c>
      <c r="AH54" s="11">
        <f t="shared" si="28"/>
        <v>0</v>
      </c>
      <c r="AI54" s="22">
        <v>1</v>
      </c>
      <c r="AK54" s="11">
        <f t="shared" ref="AK54:AL54" si="174">SUMIFS(AM$3:AM$251,$A$3:$A$251,$A54)</f>
        <v>0</v>
      </c>
      <c r="AL54" s="11">
        <f t="shared" si="174"/>
        <v>1</v>
      </c>
      <c r="AM54" s="11">
        <f t="shared" si="30"/>
        <v>0</v>
      </c>
      <c r="AN54" s="22">
        <v>1</v>
      </c>
      <c r="AO54" s="22"/>
      <c r="AP54" s="22">
        <f t="shared" si="31"/>
        <v>0</v>
      </c>
      <c r="AQ54" s="22">
        <f t="shared" ref="AQ54:AT54" si="175">IF(OR(E54="",E54="TBD",E54="N/A",E54="SDK",E54="SAAS"),0,1)</f>
        <v>0</v>
      </c>
      <c r="AR54" s="22">
        <f t="shared" si="175"/>
        <v>0</v>
      </c>
      <c r="AS54" s="22">
        <f t="shared" si="175"/>
        <v>0</v>
      </c>
      <c r="AT54" s="22">
        <f t="shared" si="175"/>
        <v>0</v>
      </c>
      <c r="AV54" s="11">
        <f t="shared" si="33"/>
        <v>4</v>
      </c>
      <c r="AW54" s="22">
        <f t="shared" ref="AW54:AZ54" si="176">IF(OR(E54="",E54="N/A",E54="SDK",E54="SAAS"),0,1)</f>
        <v>1</v>
      </c>
      <c r="AX54" s="22">
        <f t="shared" si="176"/>
        <v>1</v>
      </c>
      <c r="AY54" s="22">
        <f t="shared" si="176"/>
        <v>1</v>
      </c>
      <c r="AZ54" s="22">
        <f t="shared" si="176"/>
        <v>1</v>
      </c>
      <c r="BB54" s="22"/>
      <c r="BC54" s="22"/>
      <c r="BD54" s="22"/>
      <c r="BE54" s="22"/>
    </row>
    <row r="55" spans="1:57">
      <c r="A55" s="23" t="s">
        <v>237</v>
      </c>
      <c r="B55" s="24" t="s">
        <v>26</v>
      </c>
      <c r="C55" s="47" t="s">
        <v>238</v>
      </c>
      <c r="D55" s="88" t="s">
        <v>135</v>
      </c>
      <c r="E55" s="31" t="s">
        <v>135</v>
      </c>
      <c r="F55" s="31" t="s">
        <v>135</v>
      </c>
      <c r="G55" s="31" t="s">
        <v>135</v>
      </c>
      <c r="H55" s="31" t="s">
        <v>135</v>
      </c>
      <c r="I55" s="31"/>
      <c r="J55" s="31"/>
      <c r="K55" s="34">
        <f t="shared" si="23"/>
        <v>0</v>
      </c>
      <c r="L55" s="31" t="s">
        <v>105</v>
      </c>
      <c r="M55" s="31" t="s">
        <v>106</v>
      </c>
      <c r="N55" s="37" t="s">
        <v>107</v>
      </c>
      <c r="O55" s="31"/>
      <c r="P55" s="31"/>
      <c r="Q55" s="31"/>
      <c r="R55" s="31"/>
      <c r="S55" s="31"/>
      <c r="T55" s="31"/>
      <c r="U55" s="31"/>
      <c r="V55" s="31" t="s">
        <v>108</v>
      </c>
      <c r="W55" s="31" t="s">
        <v>109</v>
      </c>
      <c r="X55" s="31"/>
      <c r="Y55" s="31"/>
      <c r="Z55" s="31"/>
      <c r="AB55" s="11">
        <f t="shared" si="24"/>
        <v>0</v>
      </c>
      <c r="AC55" s="11">
        <f t="shared" si="25"/>
        <v>0</v>
      </c>
      <c r="AD55" s="11">
        <f t="shared" si="104"/>
        <v>1</v>
      </c>
      <c r="AF55" s="11">
        <f t="shared" si="26"/>
        <v>0</v>
      </c>
      <c r="AG55" s="11">
        <f t="shared" si="27"/>
        <v>1</v>
      </c>
      <c r="AH55" s="11">
        <f t="shared" si="28"/>
        <v>0</v>
      </c>
      <c r="AI55" s="22">
        <v>1</v>
      </c>
      <c r="AK55" s="11">
        <f t="shared" ref="AK55:AL55" si="177">SUMIFS(AM$3:AM$251,$A$3:$A$251,$A55)</f>
        <v>0</v>
      </c>
      <c r="AL55" s="11">
        <f t="shared" si="177"/>
        <v>1</v>
      </c>
      <c r="AM55" s="11">
        <f t="shared" si="30"/>
        <v>0</v>
      </c>
      <c r="AN55" s="22">
        <v>1</v>
      </c>
      <c r="AO55" s="22"/>
      <c r="AP55" s="22">
        <f t="shared" si="31"/>
        <v>0</v>
      </c>
      <c r="AQ55" s="22">
        <f t="shared" ref="AQ55:AT55" si="178">IF(OR(E55="",E55="TBD",E55="N/A",E55="SDK",E55="SAAS"),0,1)</f>
        <v>0</v>
      </c>
      <c r="AR55" s="22">
        <f t="shared" si="178"/>
        <v>0</v>
      </c>
      <c r="AS55" s="22">
        <f t="shared" si="178"/>
        <v>0</v>
      </c>
      <c r="AT55" s="22">
        <f t="shared" si="178"/>
        <v>0</v>
      </c>
      <c r="AV55" s="11">
        <f t="shared" si="33"/>
        <v>4</v>
      </c>
      <c r="AW55" s="22">
        <f t="shared" ref="AW55:AZ55" si="179">IF(OR(E55="",E55="N/A",E55="SDK",E55="SAAS"),0,1)</f>
        <v>1</v>
      </c>
      <c r="AX55" s="22">
        <f t="shared" si="179"/>
        <v>1</v>
      </c>
      <c r="AY55" s="22">
        <f t="shared" si="179"/>
        <v>1</v>
      </c>
      <c r="AZ55" s="22">
        <f t="shared" si="179"/>
        <v>1</v>
      </c>
      <c r="BB55" s="22"/>
      <c r="BC55" s="22"/>
      <c r="BD55" s="22"/>
      <c r="BE55" s="22"/>
    </row>
    <row r="56" spans="1:57">
      <c r="A56" s="23" t="s">
        <v>239</v>
      </c>
      <c r="B56" s="24" t="s">
        <v>26</v>
      </c>
      <c r="C56" s="47" t="s">
        <v>240</v>
      </c>
      <c r="D56" s="88" t="s">
        <v>135</v>
      </c>
      <c r="E56" s="31" t="s">
        <v>135</v>
      </c>
      <c r="F56" s="31" t="s">
        <v>135</v>
      </c>
      <c r="G56" s="31" t="s">
        <v>135</v>
      </c>
      <c r="H56" s="31" t="s">
        <v>135</v>
      </c>
      <c r="I56" s="31"/>
      <c r="J56" s="31"/>
      <c r="K56" s="34">
        <f t="shared" si="23"/>
        <v>0</v>
      </c>
      <c r="L56" s="31" t="s">
        <v>105</v>
      </c>
      <c r="M56" s="31" t="s">
        <v>106</v>
      </c>
      <c r="N56" s="37" t="s">
        <v>107</v>
      </c>
      <c r="O56" s="31"/>
      <c r="P56" s="31"/>
      <c r="Q56" s="31"/>
      <c r="R56" s="31"/>
      <c r="S56" s="31"/>
      <c r="T56" s="31"/>
      <c r="U56" s="31"/>
      <c r="V56" s="31" t="s">
        <v>108</v>
      </c>
      <c r="W56" s="31" t="s">
        <v>109</v>
      </c>
      <c r="X56" s="31"/>
      <c r="Y56" s="31"/>
      <c r="Z56" s="31"/>
      <c r="AB56" s="11">
        <f t="shared" si="24"/>
        <v>0</v>
      </c>
      <c r="AC56" s="11">
        <f t="shared" si="25"/>
        <v>0</v>
      </c>
      <c r="AD56" s="11">
        <f t="shared" si="104"/>
        <v>1</v>
      </c>
      <c r="AF56" s="11">
        <f t="shared" si="26"/>
        <v>0</v>
      </c>
      <c r="AG56" s="11">
        <f t="shared" si="27"/>
        <v>1</v>
      </c>
      <c r="AH56" s="11">
        <f t="shared" si="28"/>
        <v>0</v>
      </c>
      <c r="AI56" s="22">
        <v>1</v>
      </c>
      <c r="AK56" s="11">
        <f t="shared" ref="AK56:AL56" si="180">SUMIFS(AM$3:AM$251,$A$3:$A$251,$A56)</f>
        <v>0</v>
      </c>
      <c r="AL56" s="11">
        <f t="shared" si="180"/>
        <v>1</v>
      </c>
      <c r="AM56" s="11">
        <f t="shared" si="30"/>
        <v>0</v>
      </c>
      <c r="AN56" s="22">
        <v>1</v>
      </c>
      <c r="AO56" s="22"/>
      <c r="AP56" s="22">
        <f t="shared" si="31"/>
        <v>0</v>
      </c>
      <c r="AQ56" s="22">
        <f t="shared" ref="AQ56:AT56" si="181">IF(OR(E56="",E56="TBD",E56="N/A",E56="SDK",E56="SAAS"),0,1)</f>
        <v>0</v>
      </c>
      <c r="AR56" s="22">
        <f t="shared" si="181"/>
        <v>0</v>
      </c>
      <c r="AS56" s="22">
        <f t="shared" si="181"/>
        <v>0</v>
      </c>
      <c r="AT56" s="22">
        <f t="shared" si="181"/>
        <v>0</v>
      </c>
      <c r="AV56" s="11">
        <f t="shared" si="33"/>
        <v>4</v>
      </c>
      <c r="AW56" s="22">
        <f t="shared" ref="AW56:AZ56" si="182">IF(OR(E56="",E56="N/A",E56="SDK",E56="SAAS"),0,1)</f>
        <v>1</v>
      </c>
      <c r="AX56" s="22">
        <f t="shared" si="182"/>
        <v>1</v>
      </c>
      <c r="AY56" s="22">
        <f t="shared" si="182"/>
        <v>1</v>
      </c>
      <c r="AZ56" s="22">
        <f t="shared" si="182"/>
        <v>1</v>
      </c>
      <c r="BB56" s="22"/>
      <c r="BC56" s="22"/>
      <c r="BD56" s="22"/>
      <c r="BE56" s="22"/>
    </row>
    <row r="57" spans="1:57">
      <c r="A57" s="23" t="s">
        <v>241</v>
      </c>
      <c r="B57" s="24" t="s">
        <v>26</v>
      </c>
      <c r="C57" s="47" t="s">
        <v>242</v>
      </c>
      <c r="D57" s="88" t="s">
        <v>135</v>
      </c>
      <c r="E57" s="31" t="s">
        <v>135</v>
      </c>
      <c r="F57" s="31" t="s">
        <v>135</v>
      </c>
      <c r="G57" s="31" t="s">
        <v>135</v>
      </c>
      <c r="H57" s="31" t="s">
        <v>135</v>
      </c>
      <c r="I57" s="31"/>
      <c r="J57" s="31">
        <v>47</v>
      </c>
      <c r="K57" s="34">
        <f t="shared" si="23"/>
        <v>164.5</v>
      </c>
      <c r="L57" s="31" t="s">
        <v>105</v>
      </c>
      <c r="M57" s="31" t="s">
        <v>106</v>
      </c>
      <c r="N57" s="37" t="s">
        <v>107</v>
      </c>
      <c r="O57" s="31"/>
      <c r="P57" s="31"/>
      <c r="Q57" s="31"/>
      <c r="R57" s="31"/>
      <c r="S57" s="31"/>
      <c r="T57" s="31"/>
      <c r="U57" s="31"/>
      <c r="V57" s="31" t="s">
        <v>108</v>
      </c>
      <c r="W57" s="31" t="s">
        <v>109</v>
      </c>
      <c r="X57" s="31"/>
      <c r="Y57" s="31"/>
      <c r="Z57" s="31"/>
      <c r="AB57" s="11">
        <f t="shared" si="24"/>
        <v>0</v>
      </c>
      <c r="AC57" s="11">
        <f t="shared" si="25"/>
        <v>0</v>
      </c>
      <c r="AD57" s="11">
        <f t="shared" si="104"/>
        <v>1</v>
      </c>
      <c r="AF57" s="11">
        <f t="shared" si="26"/>
        <v>0</v>
      </c>
      <c r="AG57" s="11">
        <f t="shared" si="27"/>
        <v>1</v>
      </c>
      <c r="AH57" s="11">
        <f t="shared" si="28"/>
        <v>0</v>
      </c>
      <c r="AI57" s="22">
        <v>1</v>
      </c>
      <c r="AK57" s="11">
        <f t="shared" ref="AK57:AL57" si="183">SUMIFS(AM$3:AM$251,$A$3:$A$251,$A57)</f>
        <v>0</v>
      </c>
      <c r="AL57" s="11">
        <f t="shared" si="183"/>
        <v>1</v>
      </c>
      <c r="AM57" s="11">
        <f t="shared" si="30"/>
        <v>0</v>
      </c>
      <c r="AN57" s="22">
        <v>1</v>
      </c>
      <c r="AO57" s="22"/>
      <c r="AP57" s="22">
        <f t="shared" si="31"/>
        <v>0</v>
      </c>
      <c r="AQ57" s="22">
        <f t="shared" ref="AQ57:AT57" si="184">IF(OR(E57="",E57="TBD",E57="N/A",E57="SDK",E57="SAAS"),0,1)</f>
        <v>0</v>
      </c>
      <c r="AR57" s="22">
        <f t="shared" si="184"/>
        <v>0</v>
      </c>
      <c r="AS57" s="22">
        <f t="shared" si="184"/>
        <v>0</v>
      </c>
      <c r="AT57" s="22">
        <f t="shared" si="184"/>
        <v>0</v>
      </c>
      <c r="AV57" s="11">
        <f t="shared" si="33"/>
        <v>4</v>
      </c>
      <c r="AW57" s="22">
        <f t="shared" ref="AW57:AZ57" si="185">IF(OR(E57="",E57="N/A",E57="SDK",E57="SAAS"),0,1)</f>
        <v>1</v>
      </c>
      <c r="AX57" s="22">
        <f t="shared" si="185"/>
        <v>1</v>
      </c>
      <c r="AY57" s="22">
        <f t="shared" si="185"/>
        <v>1</v>
      </c>
      <c r="AZ57" s="22">
        <f t="shared" si="185"/>
        <v>1</v>
      </c>
      <c r="BB57" s="22"/>
      <c r="BC57" s="22"/>
      <c r="BD57" s="22"/>
      <c r="BE57" s="22"/>
    </row>
    <row r="58" spans="1:57">
      <c r="A58" s="23" t="s">
        <v>243</v>
      </c>
      <c r="B58" s="24" t="s">
        <v>26</v>
      </c>
      <c r="C58" s="47" t="s">
        <v>244</v>
      </c>
      <c r="D58" s="88" t="s">
        <v>135</v>
      </c>
      <c r="E58" s="31" t="s">
        <v>135</v>
      </c>
      <c r="F58" s="31" t="s">
        <v>135</v>
      </c>
      <c r="G58" s="31" t="s">
        <v>135</v>
      </c>
      <c r="H58" s="31" t="s">
        <v>135</v>
      </c>
      <c r="I58" s="31"/>
      <c r="J58" s="31">
        <v>12</v>
      </c>
      <c r="K58" s="34">
        <f t="shared" si="23"/>
        <v>42</v>
      </c>
      <c r="L58" s="31" t="s">
        <v>105</v>
      </c>
      <c r="M58" s="31" t="s">
        <v>106</v>
      </c>
      <c r="N58" s="37" t="s">
        <v>107</v>
      </c>
      <c r="O58" s="31"/>
      <c r="P58" s="31"/>
      <c r="Q58" s="31"/>
      <c r="R58" s="31"/>
      <c r="S58" s="31"/>
      <c r="T58" s="31"/>
      <c r="U58" s="31"/>
      <c r="V58" s="31" t="s">
        <v>108</v>
      </c>
      <c r="W58" s="31" t="s">
        <v>109</v>
      </c>
      <c r="X58" s="31"/>
      <c r="Y58" s="31"/>
      <c r="Z58" s="31"/>
      <c r="AB58" s="11">
        <f t="shared" si="24"/>
        <v>0</v>
      </c>
      <c r="AC58" s="11">
        <f t="shared" si="25"/>
        <v>0</v>
      </c>
      <c r="AD58" s="11">
        <f t="shared" si="104"/>
        <v>1</v>
      </c>
      <c r="AF58" s="11">
        <f t="shared" si="26"/>
        <v>0</v>
      </c>
      <c r="AG58" s="11">
        <f t="shared" si="27"/>
        <v>1</v>
      </c>
      <c r="AH58" s="11">
        <f t="shared" si="28"/>
        <v>0</v>
      </c>
      <c r="AI58" s="22">
        <v>1</v>
      </c>
      <c r="AK58" s="11">
        <f t="shared" ref="AK58:AL58" si="186">SUMIFS(AM$3:AM$251,$A$3:$A$251,$A58)</f>
        <v>0</v>
      </c>
      <c r="AL58" s="11">
        <f t="shared" si="186"/>
        <v>1</v>
      </c>
      <c r="AM58" s="11">
        <f t="shared" si="30"/>
        <v>0</v>
      </c>
      <c r="AN58" s="22">
        <v>1</v>
      </c>
      <c r="AO58" s="22"/>
      <c r="AP58" s="22">
        <f t="shared" si="31"/>
        <v>0</v>
      </c>
      <c r="AQ58" s="22">
        <f t="shared" ref="AQ58:AT58" si="187">IF(OR(E58="",E58="TBD",E58="N/A",E58="SDK",E58="SAAS"),0,1)</f>
        <v>0</v>
      </c>
      <c r="AR58" s="22">
        <f t="shared" si="187"/>
        <v>0</v>
      </c>
      <c r="AS58" s="22">
        <f t="shared" si="187"/>
        <v>0</v>
      </c>
      <c r="AT58" s="22">
        <f t="shared" si="187"/>
        <v>0</v>
      </c>
      <c r="AV58" s="11">
        <f t="shared" si="33"/>
        <v>4</v>
      </c>
      <c r="AW58" s="22">
        <f t="shared" ref="AW58:AZ58" si="188">IF(OR(E58="",E58="N/A",E58="SDK",E58="SAAS"),0,1)</f>
        <v>1</v>
      </c>
      <c r="AX58" s="22">
        <f t="shared" si="188"/>
        <v>1</v>
      </c>
      <c r="AY58" s="22">
        <f t="shared" si="188"/>
        <v>1</v>
      </c>
      <c r="AZ58" s="22">
        <f t="shared" si="188"/>
        <v>1</v>
      </c>
      <c r="BB58" s="22"/>
      <c r="BC58" s="22"/>
      <c r="BD58" s="22"/>
      <c r="BE58" s="22"/>
    </row>
    <row r="59" spans="1:57">
      <c r="A59" s="84" t="s">
        <v>245</v>
      </c>
      <c r="B59" s="84" t="s">
        <v>26</v>
      </c>
      <c r="C59" s="85" t="s">
        <v>246</v>
      </c>
      <c r="D59" s="88" t="s">
        <v>135</v>
      </c>
      <c r="E59" s="31" t="s">
        <v>135</v>
      </c>
      <c r="F59" s="31" t="s">
        <v>135</v>
      </c>
      <c r="G59" s="31" t="s">
        <v>135</v>
      </c>
      <c r="H59" s="31" t="s">
        <v>135</v>
      </c>
      <c r="I59" s="31"/>
      <c r="J59" s="31"/>
      <c r="K59" s="34">
        <f t="shared" si="23"/>
        <v>0</v>
      </c>
      <c r="L59" s="31" t="s">
        <v>105</v>
      </c>
      <c r="M59" s="31" t="s">
        <v>106</v>
      </c>
      <c r="N59" s="37" t="s">
        <v>107</v>
      </c>
      <c r="O59" s="31"/>
      <c r="P59" s="31"/>
      <c r="Q59" s="31"/>
      <c r="R59" s="31"/>
      <c r="S59" s="31"/>
      <c r="T59" s="31"/>
      <c r="U59" s="31"/>
      <c r="V59" s="31" t="s">
        <v>108</v>
      </c>
      <c r="W59" s="31" t="s">
        <v>109</v>
      </c>
      <c r="X59" s="31"/>
      <c r="Y59" s="31"/>
      <c r="Z59" s="31"/>
      <c r="AB59" s="11">
        <f t="shared" si="24"/>
        <v>0</v>
      </c>
      <c r="AC59" s="11">
        <f t="shared" si="25"/>
        <v>0</v>
      </c>
      <c r="AD59" s="11">
        <f t="shared" si="104"/>
        <v>1</v>
      </c>
      <c r="AF59" s="11">
        <f t="shared" si="26"/>
        <v>0</v>
      </c>
      <c r="AG59" s="11">
        <f t="shared" si="27"/>
        <v>1</v>
      </c>
      <c r="AH59" s="11">
        <f t="shared" si="28"/>
        <v>0</v>
      </c>
      <c r="AI59" s="22">
        <v>1</v>
      </c>
      <c r="AK59" s="11">
        <f t="shared" ref="AK59:AL59" si="189">SUMIFS(AM$3:AM$251,$A$3:$A$251,$A59)</f>
        <v>0</v>
      </c>
      <c r="AL59" s="11">
        <f t="shared" si="189"/>
        <v>1</v>
      </c>
      <c r="AM59" s="11">
        <f t="shared" si="30"/>
        <v>0</v>
      </c>
      <c r="AN59" s="22">
        <v>1</v>
      </c>
      <c r="AO59" s="22"/>
      <c r="AP59" s="22">
        <f t="shared" si="31"/>
        <v>0</v>
      </c>
      <c r="AQ59" s="22">
        <f t="shared" ref="AQ59:AT59" si="190">IF(OR(E59="",E59="TBD",E59="N/A",E59="SDK",E59="SAAS"),0,1)</f>
        <v>0</v>
      </c>
      <c r="AR59" s="22">
        <f t="shared" si="190"/>
        <v>0</v>
      </c>
      <c r="AS59" s="22">
        <f t="shared" si="190"/>
        <v>0</v>
      </c>
      <c r="AT59" s="22">
        <f t="shared" si="190"/>
        <v>0</v>
      </c>
      <c r="AV59" s="11">
        <f t="shared" si="33"/>
        <v>4</v>
      </c>
      <c r="AW59" s="22">
        <f t="shared" ref="AW59:AZ59" si="191">IF(OR(E59="",E59="N/A",E59="SDK",E59="SAAS"),0,1)</f>
        <v>1</v>
      </c>
      <c r="AX59" s="22">
        <f t="shared" si="191"/>
        <v>1</v>
      </c>
      <c r="AY59" s="22">
        <f t="shared" si="191"/>
        <v>1</v>
      </c>
      <c r="AZ59" s="22">
        <f t="shared" si="191"/>
        <v>1</v>
      </c>
      <c r="BB59" s="22"/>
      <c r="BC59" s="22"/>
      <c r="BD59" s="22"/>
      <c r="BE59" s="22"/>
    </row>
    <row r="60" spans="1:57">
      <c r="A60" s="84" t="s">
        <v>247</v>
      </c>
      <c r="B60" s="84" t="s">
        <v>26</v>
      </c>
      <c r="C60" s="85" t="s">
        <v>248</v>
      </c>
      <c r="D60" s="88" t="s">
        <v>135</v>
      </c>
      <c r="E60" s="31" t="s">
        <v>135</v>
      </c>
      <c r="F60" s="31" t="s">
        <v>135</v>
      </c>
      <c r="G60" s="31" t="s">
        <v>135</v>
      </c>
      <c r="H60" s="31" t="s">
        <v>135</v>
      </c>
      <c r="I60" s="31"/>
      <c r="J60" s="31"/>
      <c r="K60" s="34">
        <f t="shared" si="23"/>
        <v>0</v>
      </c>
      <c r="L60" s="31" t="s">
        <v>105</v>
      </c>
      <c r="M60" s="31" t="s">
        <v>106</v>
      </c>
      <c r="N60" s="37" t="s">
        <v>107</v>
      </c>
      <c r="O60" s="31"/>
      <c r="P60" s="31"/>
      <c r="Q60" s="31"/>
      <c r="R60" s="31"/>
      <c r="S60" s="31"/>
      <c r="T60" s="31"/>
      <c r="U60" s="31"/>
      <c r="V60" s="31" t="s">
        <v>108</v>
      </c>
      <c r="W60" s="31" t="s">
        <v>109</v>
      </c>
      <c r="X60" s="31"/>
      <c r="Y60" s="31"/>
      <c r="Z60" s="31"/>
      <c r="AB60" s="11">
        <f t="shared" si="24"/>
        <v>0</v>
      </c>
      <c r="AC60" s="11">
        <f t="shared" si="25"/>
        <v>0</v>
      </c>
      <c r="AD60" s="11">
        <f t="shared" si="104"/>
        <v>1</v>
      </c>
      <c r="AF60" s="11">
        <f t="shared" si="26"/>
        <v>0</v>
      </c>
      <c r="AG60" s="11">
        <f t="shared" si="27"/>
        <v>1</v>
      </c>
      <c r="AH60" s="11">
        <f t="shared" si="28"/>
        <v>0</v>
      </c>
      <c r="AI60" s="22">
        <v>1</v>
      </c>
      <c r="AK60" s="11">
        <f t="shared" ref="AK60:AL60" si="192">SUMIFS(AM$3:AM$251,$A$3:$A$251,$A60)</f>
        <v>0</v>
      </c>
      <c r="AL60" s="11">
        <f t="shared" si="192"/>
        <v>1</v>
      </c>
      <c r="AM60" s="11">
        <f t="shared" si="30"/>
        <v>0</v>
      </c>
      <c r="AN60" s="22">
        <v>1</v>
      </c>
      <c r="AO60" s="22"/>
      <c r="AP60" s="22">
        <f t="shared" si="31"/>
        <v>0</v>
      </c>
      <c r="AQ60" s="22">
        <f t="shared" ref="AQ60:AT60" si="193">IF(OR(E60="",E60="TBD",E60="N/A",E60="SDK",E60="SAAS"),0,1)</f>
        <v>0</v>
      </c>
      <c r="AR60" s="22">
        <f t="shared" si="193"/>
        <v>0</v>
      </c>
      <c r="AS60" s="22">
        <f t="shared" si="193"/>
        <v>0</v>
      </c>
      <c r="AT60" s="22">
        <f t="shared" si="193"/>
        <v>0</v>
      </c>
      <c r="AV60" s="11">
        <f t="shared" si="33"/>
        <v>4</v>
      </c>
      <c r="AW60" s="22">
        <f t="shared" ref="AW60:AZ60" si="194">IF(OR(E60="",E60="N/A",E60="SDK",E60="SAAS"),0,1)</f>
        <v>1</v>
      </c>
      <c r="AX60" s="22">
        <f t="shared" si="194"/>
        <v>1</v>
      </c>
      <c r="AY60" s="22">
        <f t="shared" si="194"/>
        <v>1</v>
      </c>
      <c r="AZ60" s="22">
        <f t="shared" si="194"/>
        <v>1</v>
      </c>
      <c r="BB60" s="22"/>
      <c r="BC60" s="22"/>
      <c r="BD60" s="22"/>
      <c r="BE60" s="22"/>
    </row>
    <row r="61" spans="1:57">
      <c r="A61" s="91" t="s">
        <v>249</v>
      </c>
      <c r="B61" s="91" t="s">
        <v>26</v>
      </c>
      <c r="C61" s="92" t="s">
        <v>250</v>
      </c>
      <c r="D61" s="88" t="s">
        <v>135</v>
      </c>
      <c r="E61" s="31" t="s">
        <v>135</v>
      </c>
      <c r="F61" s="31" t="s">
        <v>135</v>
      </c>
      <c r="G61" s="31" t="s">
        <v>135</v>
      </c>
      <c r="H61" s="31" t="s">
        <v>135</v>
      </c>
      <c r="I61" s="31"/>
      <c r="J61" s="31"/>
      <c r="K61" s="34">
        <f t="shared" si="23"/>
        <v>0</v>
      </c>
      <c r="L61" s="31" t="s">
        <v>105</v>
      </c>
      <c r="M61" s="31" t="s">
        <v>106</v>
      </c>
      <c r="N61" s="37" t="s">
        <v>107</v>
      </c>
      <c r="O61" s="31"/>
      <c r="P61" s="31"/>
      <c r="Q61" s="31"/>
      <c r="R61" s="31"/>
      <c r="S61" s="31"/>
      <c r="T61" s="31"/>
      <c r="U61" s="31"/>
      <c r="V61" s="31" t="s">
        <v>108</v>
      </c>
      <c r="W61" s="31" t="s">
        <v>109</v>
      </c>
      <c r="X61" s="31"/>
      <c r="Y61" s="31"/>
      <c r="Z61" s="31"/>
      <c r="AB61" s="11">
        <f t="shared" si="24"/>
        <v>0</v>
      </c>
      <c r="AC61" s="11">
        <f t="shared" si="25"/>
        <v>0</v>
      </c>
      <c r="AD61" s="11">
        <f t="shared" si="104"/>
        <v>1</v>
      </c>
      <c r="AF61" s="11">
        <f t="shared" si="26"/>
        <v>0</v>
      </c>
      <c r="AG61" s="11">
        <f t="shared" si="27"/>
        <v>1</v>
      </c>
      <c r="AH61" s="11">
        <f t="shared" si="28"/>
        <v>0</v>
      </c>
      <c r="AI61" s="22">
        <v>1</v>
      </c>
      <c r="AK61" s="11">
        <f t="shared" ref="AK61:AL61" si="195">SUMIFS(AM$3:AM$251,$A$3:$A$251,$A61)</f>
        <v>0</v>
      </c>
      <c r="AL61" s="11">
        <f t="shared" si="195"/>
        <v>1</v>
      </c>
      <c r="AM61" s="11">
        <f t="shared" si="30"/>
        <v>0</v>
      </c>
      <c r="AN61" s="22">
        <v>1</v>
      </c>
      <c r="AO61" s="22"/>
      <c r="AP61" s="22">
        <f t="shared" si="31"/>
        <v>0</v>
      </c>
      <c r="AQ61" s="22">
        <f t="shared" ref="AQ61:AT61" si="196">IF(OR(E61="",E61="TBD",E61="N/A",E61="SDK",E61="SAAS"),0,1)</f>
        <v>0</v>
      </c>
      <c r="AR61" s="22">
        <f t="shared" si="196"/>
        <v>0</v>
      </c>
      <c r="AS61" s="22">
        <f t="shared" si="196"/>
        <v>0</v>
      </c>
      <c r="AT61" s="22">
        <f t="shared" si="196"/>
        <v>0</v>
      </c>
      <c r="AV61" s="11">
        <f t="shared" si="33"/>
        <v>4</v>
      </c>
      <c r="AW61" s="22">
        <f t="shared" ref="AW61:AZ61" si="197">IF(OR(E61="",E61="N/A",E61="SDK",E61="SAAS"),0,1)</f>
        <v>1</v>
      </c>
      <c r="AX61" s="22">
        <f t="shared" si="197"/>
        <v>1</v>
      </c>
      <c r="AY61" s="22">
        <f t="shared" si="197"/>
        <v>1</v>
      </c>
      <c r="AZ61" s="22">
        <f t="shared" si="197"/>
        <v>1</v>
      </c>
      <c r="BB61" s="22"/>
      <c r="BC61" s="22"/>
      <c r="BD61" s="22"/>
      <c r="BE61" s="22"/>
    </row>
    <row r="62" spans="1:57">
      <c r="A62" s="93" t="s">
        <v>251</v>
      </c>
      <c r="B62" s="93" t="s">
        <v>26</v>
      </c>
      <c r="C62" s="94" t="s">
        <v>252</v>
      </c>
      <c r="D62" s="88" t="s">
        <v>135</v>
      </c>
      <c r="E62" s="31" t="s">
        <v>135</v>
      </c>
      <c r="F62" s="31" t="s">
        <v>135</v>
      </c>
      <c r="G62" s="31" t="s">
        <v>135</v>
      </c>
      <c r="H62" s="31" t="s">
        <v>135</v>
      </c>
      <c r="I62" s="31"/>
      <c r="J62" s="31"/>
      <c r="K62" s="34">
        <f t="shared" si="23"/>
        <v>0</v>
      </c>
      <c r="L62" s="31" t="s">
        <v>105</v>
      </c>
      <c r="M62" s="31" t="s">
        <v>106</v>
      </c>
      <c r="N62" s="37" t="s">
        <v>107</v>
      </c>
      <c r="O62" s="31"/>
      <c r="P62" s="31"/>
      <c r="Q62" s="31"/>
      <c r="R62" s="31"/>
      <c r="S62" s="31"/>
      <c r="T62" s="31"/>
      <c r="U62" s="31"/>
      <c r="V62" s="31" t="s">
        <v>108</v>
      </c>
      <c r="W62" s="31" t="s">
        <v>109</v>
      </c>
      <c r="X62" s="31"/>
      <c r="Y62" s="31"/>
      <c r="Z62" s="31"/>
      <c r="AB62" s="11">
        <f t="shared" si="24"/>
        <v>0</v>
      </c>
      <c r="AC62" s="11">
        <f t="shared" si="25"/>
        <v>0</v>
      </c>
      <c r="AD62" s="11">
        <f t="shared" si="104"/>
        <v>1</v>
      </c>
      <c r="AF62" s="11">
        <f t="shared" si="26"/>
        <v>0</v>
      </c>
      <c r="AG62" s="11">
        <f t="shared" si="27"/>
        <v>1</v>
      </c>
      <c r="AH62" s="11">
        <f t="shared" si="28"/>
        <v>0</v>
      </c>
      <c r="AI62" s="22">
        <v>1</v>
      </c>
      <c r="AK62" s="11">
        <f t="shared" ref="AK62:AL62" si="198">SUMIFS(AM$3:AM$251,$A$3:$A$251,$A62)</f>
        <v>0</v>
      </c>
      <c r="AL62" s="11">
        <f t="shared" si="198"/>
        <v>1</v>
      </c>
      <c r="AM62" s="11">
        <f t="shared" si="30"/>
        <v>0</v>
      </c>
      <c r="AN62" s="22">
        <v>1</v>
      </c>
      <c r="AO62" s="22"/>
      <c r="AP62" s="22">
        <f t="shared" si="31"/>
        <v>0</v>
      </c>
      <c r="AQ62" s="22">
        <f t="shared" ref="AQ62:AT62" si="199">IF(OR(E62="",E62="TBD",E62="N/A",E62="SDK",E62="SAAS"),0,1)</f>
        <v>0</v>
      </c>
      <c r="AR62" s="22">
        <f t="shared" si="199"/>
        <v>0</v>
      </c>
      <c r="AS62" s="22">
        <f t="shared" si="199"/>
        <v>0</v>
      </c>
      <c r="AT62" s="22">
        <f t="shared" si="199"/>
        <v>0</v>
      </c>
      <c r="AV62" s="11">
        <f t="shared" si="33"/>
        <v>4</v>
      </c>
      <c r="AW62" s="22">
        <f t="shared" ref="AW62:AZ62" si="200">IF(OR(E62="",E62="N/A",E62="SDK",E62="SAAS"),0,1)</f>
        <v>1</v>
      </c>
      <c r="AX62" s="22">
        <f t="shared" si="200"/>
        <v>1</v>
      </c>
      <c r="AY62" s="22">
        <f t="shared" si="200"/>
        <v>1</v>
      </c>
      <c r="AZ62" s="22">
        <f t="shared" si="200"/>
        <v>1</v>
      </c>
      <c r="BB62" s="22"/>
      <c r="BC62" s="22"/>
      <c r="BD62" s="22"/>
      <c r="BE62" s="22"/>
    </row>
    <row r="63" spans="1:57">
      <c r="A63" s="93" t="s">
        <v>253</v>
      </c>
      <c r="B63" s="93" t="s">
        <v>26</v>
      </c>
      <c r="C63" s="94" t="s">
        <v>254</v>
      </c>
      <c r="D63" s="88" t="s">
        <v>135</v>
      </c>
      <c r="E63" s="31" t="s">
        <v>135</v>
      </c>
      <c r="F63" s="31" t="s">
        <v>135</v>
      </c>
      <c r="G63" s="31" t="s">
        <v>135</v>
      </c>
      <c r="H63" s="31" t="s">
        <v>135</v>
      </c>
      <c r="I63" s="31"/>
      <c r="J63" s="31"/>
      <c r="K63" s="34">
        <f t="shared" si="23"/>
        <v>0</v>
      </c>
      <c r="L63" s="31" t="s">
        <v>105</v>
      </c>
      <c r="M63" s="31" t="s">
        <v>106</v>
      </c>
      <c r="N63" s="37" t="s">
        <v>107</v>
      </c>
      <c r="O63" s="31"/>
      <c r="P63" s="31"/>
      <c r="Q63" s="31"/>
      <c r="R63" s="31"/>
      <c r="S63" s="31"/>
      <c r="T63" s="31"/>
      <c r="U63" s="31"/>
      <c r="V63" s="31" t="s">
        <v>108</v>
      </c>
      <c r="W63" s="31" t="s">
        <v>109</v>
      </c>
      <c r="X63" s="31"/>
      <c r="Y63" s="31"/>
      <c r="Z63" s="31"/>
      <c r="AB63" s="11">
        <f t="shared" si="24"/>
        <v>0</v>
      </c>
      <c r="AC63" s="11">
        <f t="shared" si="25"/>
        <v>0</v>
      </c>
      <c r="AD63" s="11">
        <f t="shared" si="104"/>
        <v>1</v>
      </c>
      <c r="AF63" s="11">
        <f t="shared" si="26"/>
        <v>0</v>
      </c>
      <c r="AG63" s="11">
        <f t="shared" si="27"/>
        <v>1</v>
      </c>
      <c r="AH63" s="11">
        <f t="shared" si="28"/>
        <v>0</v>
      </c>
      <c r="AI63" s="22">
        <v>1</v>
      </c>
      <c r="AK63" s="11">
        <f t="shared" ref="AK63:AL63" si="201">SUMIFS(AM$3:AM$251,$A$3:$A$251,$A63)</f>
        <v>0</v>
      </c>
      <c r="AL63" s="11">
        <f t="shared" si="201"/>
        <v>1</v>
      </c>
      <c r="AM63" s="11">
        <f t="shared" si="30"/>
        <v>0</v>
      </c>
      <c r="AN63" s="22">
        <v>1</v>
      </c>
      <c r="AO63" s="22"/>
      <c r="AP63" s="22">
        <f t="shared" si="31"/>
        <v>0</v>
      </c>
      <c r="AQ63" s="22">
        <f t="shared" ref="AQ63:AT63" si="202">IF(OR(E63="",E63="TBD",E63="N/A",E63="SDK",E63="SAAS"),0,1)</f>
        <v>0</v>
      </c>
      <c r="AR63" s="22">
        <f t="shared" si="202"/>
        <v>0</v>
      </c>
      <c r="AS63" s="22">
        <f t="shared" si="202"/>
        <v>0</v>
      </c>
      <c r="AT63" s="22">
        <f t="shared" si="202"/>
        <v>0</v>
      </c>
      <c r="AV63" s="11">
        <f t="shared" si="33"/>
        <v>4</v>
      </c>
      <c r="AW63" s="22">
        <f t="shared" ref="AW63:AZ63" si="203">IF(OR(E63="",E63="N/A",E63="SDK",E63="SAAS"),0,1)</f>
        <v>1</v>
      </c>
      <c r="AX63" s="22">
        <f t="shared" si="203"/>
        <v>1</v>
      </c>
      <c r="AY63" s="22">
        <f t="shared" si="203"/>
        <v>1</v>
      </c>
      <c r="AZ63" s="22">
        <f t="shared" si="203"/>
        <v>1</v>
      </c>
      <c r="BB63" s="22"/>
      <c r="BC63" s="22"/>
      <c r="BD63" s="22"/>
      <c r="BE63" s="22"/>
    </row>
    <row r="64" spans="1:57">
      <c r="A64" s="93" t="s">
        <v>255</v>
      </c>
      <c r="B64" s="93" t="s">
        <v>26</v>
      </c>
      <c r="C64" s="94" t="s">
        <v>256</v>
      </c>
      <c r="D64" s="88" t="s">
        <v>135</v>
      </c>
      <c r="E64" s="31" t="s">
        <v>135</v>
      </c>
      <c r="F64" s="31" t="s">
        <v>135</v>
      </c>
      <c r="G64" s="31" t="s">
        <v>135</v>
      </c>
      <c r="H64" s="31" t="s">
        <v>135</v>
      </c>
      <c r="I64" s="31"/>
      <c r="J64" s="31">
        <v>5</v>
      </c>
      <c r="K64" s="34">
        <f t="shared" si="23"/>
        <v>17.5</v>
      </c>
      <c r="L64" s="31" t="s">
        <v>105</v>
      </c>
      <c r="M64" s="31" t="s">
        <v>106</v>
      </c>
      <c r="N64" s="37" t="s">
        <v>107</v>
      </c>
      <c r="O64" s="31"/>
      <c r="P64" s="31"/>
      <c r="Q64" s="31"/>
      <c r="R64" s="31"/>
      <c r="S64" s="31"/>
      <c r="T64" s="31"/>
      <c r="U64" s="31"/>
      <c r="V64" s="31" t="s">
        <v>108</v>
      </c>
      <c r="W64" s="31" t="s">
        <v>109</v>
      </c>
      <c r="X64" s="31"/>
      <c r="Y64" s="31"/>
      <c r="Z64" s="31"/>
      <c r="AB64" s="11">
        <f t="shared" si="24"/>
        <v>0</v>
      </c>
      <c r="AC64" s="11">
        <f t="shared" si="25"/>
        <v>0</v>
      </c>
      <c r="AD64" s="11">
        <f t="shared" si="104"/>
        <v>1</v>
      </c>
      <c r="AF64" s="11">
        <f t="shared" si="26"/>
        <v>0</v>
      </c>
      <c r="AG64" s="11">
        <f t="shared" si="27"/>
        <v>1</v>
      </c>
      <c r="AH64" s="11">
        <f t="shared" si="28"/>
        <v>0</v>
      </c>
      <c r="AI64" s="22">
        <v>1</v>
      </c>
      <c r="AK64" s="11">
        <f t="shared" ref="AK64:AL64" si="204">SUMIFS(AM$3:AM$251,$A$3:$A$251,$A64)</f>
        <v>0</v>
      </c>
      <c r="AL64" s="11">
        <f t="shared" si="204"/>
        <v>1</v>
      </c>
      <c r="AM64" s="11">
        <f t="shared" si="30"/>
        <v>0</v>
      </c>
      <c r="AN64" s="22">
        <v>1</v>
      </c>
      <c r="AO64" s="22"/>
      <c r="AP64" s="22">
        <f t="shared" si="31"/>
        <v>0</v>
      </c>
      <c r="AQ64" s="22">
        <f t="shared" ref="AQ64:AT64" si="205">IF(OR(E64="",E64="TBD",E64="N/A",E64="SDK",E64="SAAS"),0,1)</f>
        <v>0</v>
      </c>
      <c r="AR64" s="22">
        <f t="shared" si="205"/>
        <v>0</v>
      </c>
      <c r="AS64" s="22">
        <f t="shared" si="205"/>
        <v>0</v>
      </c>
      <c r="AT64" s="22">
        <f t="shared" si="205"/>
        <v>0</v>
      </c>
      <c r="AV64" s="11">
        <f t="shared" si="33"/>
        <v>4</v>
      </c>
      <c r="AW64" s="22">
        <f t="shared" ref="AW64:AZ64" si="206">IF(OR(E64="",E64="N/A",E64="SDK",E64="SAAS"),0,1)</f>
        <v>1</v>
      </c>
      <c r="AX64" s="22">
        <f t="shared" si="206"/>
        <v>1</v>
      </c>
      <c r="AY64" s="22">
        <f t="shared" si="206"/>
        <v>1</v>
      </c>
      <c r="AZ64" s="22">
        <f t="shared" si="206"/>
        <v>1</v>
      </c>
      <c r="BB64" s="22"/>
      <c r="BC64" s="22"/>
      <c r="BD64" s="22"/>
      <c r="BE64" s="22"/>
    </row>
    <row r="65" spans="1:57">
      <c r="A65" s="95" t="s">
        <v>257</v>
      </c>
      <c r="B65" s="95" t="s">
        <v>26</v>
      </c>
      <c r="C65" s="96" t="s">
        <v>258</v>
      </c>
      <c r="D65" s="88" t="s">
        <v>135</v>
      </c>
      <c r="E65" s="31" t="s">
        <v>135</v>
      </c>
      <c r="F65" s="31" t="s">
        <v>135</v>
      </c>
      <c r="G65" s="31" t="s">
        <v>135</v>
      </c>
      <c r="H65" s="31" t="s">
        <v>135</v>
      </c>
      <c r="I65" s="31"/>
      <c r="J65" s="31"/>
      <c r="K65" s="34">
        <f t="shared" si="23"/>
        <v>0</v>
      </c>
      <c r="L65" s="31" t="s">
        <v>105</v>
      </c>
      <c r="M65" s="31" t="s">
        <v>106</v>
      </c>
      <c r="N65" s="37" t="s">
        <v>107</v>
      </c>
      <c r="O65" s="31"/>
      <c r="P65" s="31"/>
      <c r="Q65" s="31"/>
      <c r="R65" s="31"/>
      <c r="S65" s="31"/>
      <c r="T65" s="31"/>
      <c r="U65" s="31"/>
      <c r="V65" s="31" t="s">
        <v>108</v>
      </c>
      <c r="W65" s="31" t="s">
        <v>109</v>
      </c>
      <c r="X65" s="31"/>
      <c r="Y65" s="31"/>
      <c r="Z65" s="31"/>
      <c r="AB65" s="11">
        <f t="shared" si="24"/>
        <v>0</v>
      </c>
      <c r="AC65" s="11">
        <f t="shared" si="25"/>
        <v>0</v>
      </c>
      <c r="AD65" s="11">
        <f t="shared" si="104"/>
        <v>1</v>
      </c>
      <c r="AF65" s="11">
        <f t="shared" si="26"/>
        <v>0</v>
      </c>
      <c r="AG65" s="11">
        <f t="shared" si="27"/>
        <v>1</v>
      </c>
      <c r="AH65" s="11">
        <f t="shared" si="28"/>
        <v>0</v>
      </c>
      <c r="AI65" s="22">
        <v>1</v>
      </c>
      <c r="AK65" s="11">
        <f t="shared" ref="AK65:AL65" si="207">SUMIFS(AM$3:AM$251,$A$3:$A$251,$A65)</f>
        <v>0</v>
      </c>
      <c r="AL65" s="11">
        <f t="shared" si="207"/>
        <v>1</v>
      </c>
      <c r="AM65" s="11">
        <f t="shared" si="30"/>
        <v>0</v>
      </c>
      <c r="AN65" s="22">
        <v>1</v>
      </c>
      <c r="AO65" s="22"/>
      <c r="AP65" s="22">
        <f t="shared" si="31"/>
        <v>0</v>
      </c>
      <c r="AQ65" s="22">
        <f t="shared" ref="AQ65:AT65" si="208">IF(OR(E65="",E65="TBD",E65="N/A",E65="SDK",E65="SAAS"),0,1)</f>
        <v>0</v>
      </c>
      <c r="AR65" s="22">
        <f t="shared" si="208"/>
        <v>0</v>
      </c>
      <c r="AS65" s="22">
        <f t="shared" si="208"/>
        <v>0</v>
      </c>
      <c r="AT65" s="22">
        <f t="shared" si="208"/>
        <v>0</v>
      </c>
      <c r="AV65" s="11">
        <f t="shared" si="33"/>
        <v>4</v>
      </c>
      <c r="AW65" s="22">
        <f t="shared" ref="AW65:AZ65" si="209">IF(OR(E65="",E65="N/A",E65="SDK",E65="SAAS"),0,1)</f>
        <v>1</v>
      </c>
      <c r="AX65" s="22">
        <f t="shared" si="209"/>
        <v>1</v>
      </c>
      <c r="AY65" s="22">
        <f t="shared" si="209"/>
        <v>1</v>
      </c>
      <c r="AZ65" s="22">
        <f t="shared" si="209"/>
        <v>1</v>
      </c>
      <c r="BB65" s="22"/>
      <c r="BC65" s="22"/>
      <c r="BD65" s="22"/>
      <c r="BE65" s="22"/>
    </row>
    <row r="66" spans="1:57">
      <c r="A66" s="91" t="s">
        <v>259</v>
      </c>
      <c r="B66" s="91" t="s">
        <v>26</v>
      </c>
      <c r="C66" s="92" t="s">
        <v>260</v>
      </c>
      <c r="D66" s="88" t="s">
        <v>135</v>
      </c>
      <c r="E66" s="31" t="s">
        <v>135</v>
      </c>
      <c r="F66" s="31" t="s">
        <v>135</v>
      </c>
      <c r="G66" s="31" t="s">
        <v>135</v>
      </c>
      <c r="H66" s="31" t="s">
        <v>135</v>
      </c>
      <c r="I66" s="31"/>
      <c r="J66" s="31"/>
      <c r="K66" s="34">
        <f t="shared" si="23"/>
        <v>0</v>
      </c>
      <c r="L66" s="31" t="s">
        <v>105</v>
      </c>
      <c r="M66" s="31" t="s">
        <v>106</v>
      </c>
      <c r="N66" s="37" t="s">
        <v>107</v>
      </c>
      <c r="O66" s="31"/>
      <c r="P66" s="31"/>
      <c r="Q66" s="31"/>
      <c r="R66" s="31"/>
      <c r="S66" s="31"/>
      <c r="T66" s="31"/>
      <c r="U66" s="31"/>
      <c r="V66" s="31" t="s">
        <v>108</v>
      </c>
      <c r="W66" s="31" t="s">
        <v>109</v>
      </c>
      <c r="X66" s="31"/>
      <c r="Y66" s="31"/>
      <c r="Z66" s="31"/>
      <c r="AB66" s="11">
        <f t="shared" si="24"/>
        <v>0</v>
      </c>
      <c r="AC66" s="11">
        <f t="shared" si="25"/>
        <v>0</v>
      </c>
      <c r="AD66" s="11">
        <f t="shared" si="104"/>
        <v>1</v>
      </c>
      <c r="AF66" s="11">
        <f t="shared" si="26"/>
        <v>0</v>
      </c>
      <c r="AG66" s="11">
        <f t="shared" si="27"/>
        <v>1</v>
      </c>
      <c r="AH66" s="11">
        <f t="shared" si="28"/>
        <v>0</v>
      </c>
      <c r="AI66" s="22">
        <v>1</v>
      </c>
      <c r="AK66" s="11">
        <f t="shared" ref="AK66:AL66" si="210">SUMIFS(AM$3:AM$251,$A$3:$A$251,$A66)</f>
        <v>0</v>
      </c>
      <c r="AL66" s="11">
        <f t="shared" si="210"/>
        <v>1</v>
      </c>
      <c r="AM66" s="11">
        <f t="shared" si="30"/>
        <v>0</v>
      </c>
      <c r="AN66" s="22">
        <v>1</v>
      </c>
      <c r="AO66" s="22"/>
      <c r="AP66" s="22">
        <f t="shared" si="31"/>
        <v>0</v>
      </c>
      <c r="AQ66" s="22">
        <f t="shared" ref="AQ66:AT66" si="211">IF(OR(E66="",E66="TBD",E66="N/A",E66="SDK",E66="SAAS"),0,1)</f>
        <v>0</v>
      </c>
      <c r="AR66" s="22">
        <f t="shared" si="211"/>
        <v>0</v>
      </c>
      <c r="AS66" s="22">
        <f t="shared" si="211"/>
        <v>0</v>
      </c>
      <c r="AT66" s="22">
        <f t="shared" si="211"/>
        <v>0</v>
      </c>
      <c r="AV66" s="11">
        <f t="shared" si="33"/>
        <v>4</v>
      </c>
      <c r="AW66" s="22">
        <f t="shared" ref="AW66:AZ66" si="212">IF(OR(E66="",E66="N/A",E66="SDK",E66="SAAS"),0,1)</f>
        <v>1</v>
      </c>
      <c r="AX66" s="22">
        <f t="shared" si="212"/>
        <v>1</v>
      </c>
      <c r="AY66" s="22">
        <f t="shared" si="212"/>
        <v>1</v>
      </c>
      <c r="AZ66" s="22">
        <f t="shared" si="212"/>
        <v>1</v>
      </c>
      <c r="BB66" s="22"/>
      <c r="BC66" s="22"/>
      <c r="BD66" s="22"/>
      <c r="BE66" s="22"/>
    </row>
    <row r="67" spans="1:57">
      <c r="A67" s="95" t="s">
        <v>261</v>
      </c>
      <c r="B67" s="95" t="s">
        <v>26</v>
      </c>
      <c r="C67" s="96" t="s">
        <v>262</v>
      </c>
      <c r="D67" s="88" t="s">
        <v>135</v>
      </c>
      <c r="E67" s="31" t="s">
        <v>135</v>
      </c>
      <c r="F67" s="31" t="s">
        <v>135</v>
      </c>
      <c r="G67" s="31" t="s">
        <v>135</v>
      </c>
      <c r="H67" s="31" t="s">
        <v>135</v>
      </c>
      <c r="I67" s="31"/>
      <c r="J67" s="31"/>
      <c r="K67" s="34">
        <f t="shared" si="23"/>
        <v>0</v>
      </c>
      <c r="L67" s="31" t="s">
        <v>105</v>
      </c>
      <c r="M67" s="31" t="s">
        <v>106</v>
      </c>
      <c r="N67" s="37" t="s">
        <v>107</v>
      </c>
      <c r="O67" s="31"/>
      <c r="P67" s="31"/>
      <c r="Q67" s="31"/>
      <c r="R67" s="31"/>
      <c r="S67" s="31"/>
      <c r="T67" s="31"/>
      <c r="U67" s="31"/>
      <c r="V67" s="31" t="s">
        <v>108</v>
      </c>
      <c r="W67" s="31" t="s">
        <v>109</v>
      </c>
      <c r="X67" s="31"/>
      <c r="Y67" s="31"/>
      <c r="Z67" s="31"/>
      <c r="AB67" s="11">
        <f t="shared" si="24"/>
        <v>0</v>
      </c>
      <c r="AC67" s="11">
        <f t="shared" si="25"/>
        <v>0</v>
      </c>
      <c r="AD67" s="11">
        <f t="shared" si="104"/>
        <v>1</v>
      </c>
      <c r="AF67" s="11">
        <f t="shared" si="26"/>
        <v>0</v>
      </c>
      <c r="AG67" s="11">
        <f t="shared" si="27"/>
        <v>1</v>
      </c>
      <c r="AH67" s="11">
        <f t="shared" si="28"/>
        <v>0</v>
      </c>
      <c r="AI67" s="22">
        <v>1</v>
      </c>
      <c r="AK67" s="11">
        <f t="shared" ref="AK67:AL67" si="213">SUMIFS(AM$3:AM$251,$A$3:$A$251,$A67)</f>
        <v>0</v>
      </c>
      <c r="AL67" s="11">
        <f t="shared" si="213"/>
        <v>1</v>
      </c>
      <c r="AM67" s="11">
        <f t="shared" si="30"/>
        <v>0</v>
      </c>
      <c r="AN67" s="22">
        <v>1</v>
      </c>
      <c r="AO67" s="22"/>
      <c r="AP67" s="22">
        <f t="shared" si="31"/>
        <v>0</v>
      </c>
      <c r="AQ67" s="22">
        <f t="shared" ref="AQ67:AT67" si="214">IF(OR(E67="",E67="TBD",E67="N/A",E67="SDK",E67="SAAS"),0,1)</f>
        <v>0</v>
      </c>
      <c r="AR67" s="22">
        <f t="shared" si="214"/>
        <v>0</v>
      </c>
      <c r="AS67" s="22">
        <f t="shared" si="214"/>
        <v>0</v>
      </c>
      <c r="AT67" s="22">
        <f t="shared" si="214"/>
        <v>0</v>
      </c>
      <c r="AV67" s="11">
        <f t="shared" si="33"/>
        <v>4</v>
      </c>
      <c r="AW67" s="22">
        <f t="shared" ref="AW67:AZ67" si="215">IF(OR(E67="",E67="N/A",E67="SDK",E67="SAAS"),0,1)</f>
        <v>1</v>
      </c>
      <c r="AX67" s="22">
        <f t="shared" si="215"/>
        <v>1</v>
      </c>
      <c r="AY67" s="22">
        <f t="shared" si="215"/>
        <v>1</v>
      </c>
      <c r="AZ67" s="22">
        <f t="shared" si="215"/>
        <v>1</v>
      </c>
      <c r="BB67" s="22"/>
      <c r="BC67" s="22"/>
      <c r="BD67" s="22"/>
      <c r="BE67" s="22"/>
    </row>
    <row r="68" spans="1:57">
      <c r="A68" s="97" t="s">
        <v>263</v>
      </c>
      <c r="B68" s="97" t="s">
        <v>26</v>
      </c>
      <c r="C68" s="98" t="s">
        <v>264</v>
      </c>
      <c r="D68" s="88" t="s">
        <v>135</v>
      </c>
      <c r="E68" s="31" t="s">
        <v>135</v>
      </c>
      <c r="F68" s="31" t="s">
        <v>135</v>
      </c>
      <c r="G68" s="31" t="s">
        <v>135</v>
      </c>
      <c r="H68" s="31" t="s">
        <v>135</v>
      </c>
      <c r="I68" s="31"/>
      <c r="J68" s="31"/>
      <c r="K68" s="34">
        <f t="shared" si="23"/>
        <v>0</v>
      </c>
      <c r="L68" s="31" t="s">
        <v>105</v>
      </c>
      <c r="M68" s="31" t="s">
        <v>106</v>
      </c>
      <c r="N68" s="37" t="s">
        <v>107</v>
      </c>
      <c r="O68" s="31"/>
      <c r="P68" s="31"/>
      <c r="Q68" s="31"/>
      <c r="R68" s="31"/>
      <c r="S68" s="31"/>
      <c r="T68" s="31"/>
      <c r="U68" s="31"/>
      <c r="V68" s="31" t="s">
        <v>108</v>
      </c>
      <c r="W68" s="31" t="s">
        <v>109</v>
      </c>
      <c r="X68" s="31"/>
      <c r="Y68" s="31"/>
      <c r="Z68" s="31"/>
      <c r="AB68" s="11">
        <f t="shared" si="24"/>
        <v>0</v>
      </c>
      <c r="AC68" s="11">
        <f t="shared" si="25"/>
        <v>0</v>
      </c>
      <c r="AD68" s="11">
        <f t="shared" si="104"/>
        <v>1</v>
      </c>
      <c r="AF68" s="11">
        <f t="shared" si="26"/>
        <v>0</v>
      </c>
      <c r="AG68" s="11">
        <f t="shared" si="27"/>
        <v>1</v>
      </c>
      <c r="AH68" s="11">
        <f t="shared" si="28"/>
        <v>0</v>
      </c>
      <c r="AI68" s="22">
        <v>1</v>
      </c>
      <c r="AK68" s="11">
        <f t="shared" ref="AK68:AL68" si="216">SUMIFS(AM$3:AM$251,$A$3:$A$251,$A68)</f>
        <v>0</v>
      </c>
      <c r="AL68" s="11">
        <f t="shared" si="216"/>
        <v>1</v>
      </c>
      <c r="AM68" s="11">
        <f t="shared" si="30"/>
        <v>0</v>
      </c>
      <c r="AN68" s="22">
        <v>1</v>
      </c>
      <c r="AO68" s="22"/>
      <c r="AP68" s="22">
        <f t="shared" si="31"/>
        <v>0</v>
      </c>
      <c r="AQ68" s="22">
        <f t="shared" ref="AQ68:AT68" si="217">IF(OR(E68="",E68="TBD",E68="N/A",E68="SDK",E68="SAAS"),0,1)</f>
        <v>0</v>
      </c>
      <c r="AR68" s="22">
        <f t="shared" si="217"/>
        <v>0</v>
      </c>
      <c r="AS68" s="22">
        <f t="shared" si="217"/>
        <v>0</v>
      </c>
      <c r="AT68" s="22">
        <f t="shared" si="217"/>
        <v>0</v>
      </c>
      <c r="AV68" s="11">
        <f t="shared" si="33"/>
        <v>4</v>
      </c>
      <c r="AW68" s="22">
        <f t="shared" ref="AW68:AZ68" si="218">IF(OR(E68="",E68="N/A",E68="SDK",E68="SAAS"),0,1)</f>
        <v>1</v>
      </c>
      <c r="AX68" s="22">
        <f t="shared" si="218"/>
        <v>1</v>
      </c>
      <c r="AY68" s="22">
        <f t="shared" si="218"/>
        <v>1</v>
      </c>
      <c r="AZ68" s="22">
        <f t="shared" si="218"/>
        <v>1</v>
      </c>
      <c r="BB68" s="22"/>
      <c r="BC68" s="22"/>
      <c r="BD68" s="22"/>
      <c r="BE68" s="22"/>
    </row>
    <row r="69" spans="1:57">
      <c r="A69" s="91" t="s">
        <v>265</v>
      </c>
      <c r="B69" s="91" t="s">
        <v>26</v>
      </c>
      <c r="C69" s="92" t="s">
        <v>266</v>
      </c>
      <c r="D69" s="88" t="s">
        <v>135</v>
      </c>
      <c r="E69" s="31" t="s">
        <v>135</v>
      </c>
      <c r="F69" s="31" t="s">
        <v>135</v>
      </c>
      <c r="G69" s="31" t="s">
        <v>135</v>
      </c>
      <c r="H69" s="31" t="s">
        <v>135</v>
      </c>
      <c r="I69" s="31"/>
      <c r="J69" s="31"/>
      <c r="K69" s="34">
        <f t="shared" si="23"/>
        <v>0</v>
      </c>
      <c r="L69" s="31" t="s">
        <v>105</v>
      </c>
      <c r="M69" s="31" t="s">
        <v>106</v>
      </c>
      <c r="N69" s="37" t="s">
        <v>107</v>
      </c>
      <c r="O69" s="31"/>
      <c r="P69" s="31"/>
      <c r="Q69" s="31"/>
      <c r="R69" s="31"/>
      <c r="S69" s="31"/>
      <c r="T69" s="31"/>
      <c r="U69" s="31"/>
      <c r="V69" s="31" t="s">
        <v>108</v>
      </c>
      <c r="W69" s="31" t="s">
        <v>109</v>
      </c>
      <c r="X69" s="31"/>
      <c r="Y69" s="31"/>
      <c r="Z69" s="31"/>
      <c r="AB69" s="11">
        <f t="shared" si="24"/>
        <v>0</v>
      </c>
      <c r="AC69" s="11">
        <f t="shared" si="25"/>
        <v>0</v>
      </c>
      <c r="AD69" s="11">
        <f t="shared" si="104"/>
        <v>1</v>
      </c>
      <c r="AF69" s="11">
        <f t="shared" si="26"/>
        <v>0</v>
      </c>
      <c r="AG69" s="11">
        <f t="shared" si="27"/>
        <v>1</v>
      </c>
      <c r="AH69" s="11">
        <f t="shared" si="28"/>
        <v>0</v>
      </c>
      <c r="AI69" s="22">
        <v>1</v>
      </c>
      <c r="AK69" s="11">
        <f t="shared" ref="AK69:AL69" si="219">SUMIFS(AM$3:AM$251,$A$3:$A$251,$A69)</f>
        <v>0</v>
      </c>
      <c r="AL69" s="11">
        <f t="shared" si="219"/>
        <v>1</v>
      </c>
      <c r="AM69" s="11">
        <f t="shared" si="30"/>
        <v>0</v>
      </c>
      <c r="AN69" s="22">
        <v>1</v>
      </c>
      <c r="AO69" s="22"/>
      <c r="AP69" s="22">
        <f t="shared" si="31"/>
        <v>0</v>
      </c>
      <c r="AQ69" s="22">
        <f t="shared" ref="AQ69:AT69" si="220">IF(OR(E69="",E69="TBD",E69="N/A",E69="SDK",E69="SAAS"),0,1)</f>
        <v>0</v>
      </c>
      <c r="AR69" s="22">
        <f t="shared" si="220"/>
        <v>0</v>
      </c>
      <c r="AS69" s="22">
        <f t="shared" si="220"/>
        <v>0</v>
      </c>
      <c r="AT69" s="22">
        <f t="shared" si="220"/>
        <v>0</v>
      </c>
      <c r="AV69" s="11">
        <f t="shared" si="33"/>
        <v>4</v>
      </c>
      <c r="AW69" s="22">
        <f t="shared" ref="AW69:AZ69" si="221">IF(OR(E69="",E69="N/A",E69="SDK",E69="SAAS"),0,1)</f>
        <v>1</v>
      </c>
      <c r="AX69" s="22">
        <f t="shared" si="221"/>
        <v>1</v>
      </c>
      <c r="AY69" s="22">
        <f t="shared" si="221"/>
        <v>1</v>
      </c>
      <c r="AZ69" s="22">
        <f t="shared" si="221"/>
        <v>1</v>
      </c>
      <c r="BB69" s="22"/>
      <c r="BC69" s="22"/>
      <c r="BD69" s="22"/>
      <c r="BE69" s="22"/>
    </row>
    <row r="70" spans="1:57">
      <c r="A70" s="93" t="s">
        <v>267</v>
      </c>
      <c r="B70" s="93" t="s">
        <v>26</v>
      </c>
      <c r="C70" s="94" t="s">
        <v>268</v>
      </c>
      <c r="D70" s="88" t="s">
        <v>135</v>
      </c>
      <c r="E70" s="31" t="s">
        <v>135</v>
      </c>
      <c r="F70" s="31" t="s">
        <v>135</v>
      </c>
      <c r="G70" s="31" t="s">
        <v>135</v>
      </c>
      <c r="H70" s="31" t="s">
        <v>135</v>
      </c>
      <c r="I70" s="31"/>
      <c r="J70" s="31"/>
      <c r="K70" s="34">
        <f t="shared" si="23"/>
        <v>0</v>
      </c>
      <c r="L70" s="31" t="s">
        <v>105</v>
      </c>
      <c r="M70" s="31" t="s">
        <v>106</v>
      </c>
      <c r="N70" s="37" t="s">
        <v>107</v>
      </c>
      <c r="O70" s="31"/>
      <c r="P70" s="31"/>
      <c r="Q70" s="31"/>
      <c r="R70" s="31"/>
      <c r="S70" s="31"/>
      <c r="T70" s="31"/>
      <c r="U70" s="31"/>
      <c r="V70" s="31" t="s">
        <v>108</v>
      </c>
      <c r="W70" s="31" t="s">
        <v>109</v>
      </c>
      <c r="X70" s="31"/>
      <c r="Y70" s="31"/>
      <c r="Z70" s="31"/>
      <c r="AB70" s="11">
        <f t="shared" si="24"/>
        <v>0</v>
      </c>
      <c r="AC70" s="11">
        <f t="shared" si="25"/>
        <v>0</v>
      </c>
      <c r="AD70" s="11">
        <f t="shared" si="104"/>
        <v>1</v>
      </c>
      <c r="AF70" s="11">
        <f t="shared" si="26"/>
        <v>0</v>
      </c>
      <c r="AG70" s="11">
        <f t="shared" si="27"/>
        <v>1</v>
      </c>
      <c r="AH70" s="11">
        <f t="shared" si="28"/>
        <v>0</v>
      </c>
      <c r="AI70" s="22">
        <v>1</v>
      </c>
      <c r="AK70" s="11">
        <f t="shared" ref="AK70:AL70" si="222">SUMIFS(AM$3:AM$251,$A$3:$A$251,$A70)</f>
        <v>0</v>
      </c>
      <c r="AL70" s="11">
        <f t="shared" si="222"/>
        <v>1</v>
      </c>
      <c r="AM70" s="11">
        <f t="shared" si="30"/>
        <v>0</v>
      </c>
      <c r="AN70" s="22">
        <v>1</v>
      </c>
      <c r="AO70" s="22"/>
      <c r="AP70" s="22">
        <f t="shared" si="31"/>
        <v>0</v>
      </c>
      <c r="AQ70" s="22">
        <f t="shared" ref="AQ70:AT70" si="223">IF(OR(E70="",E70="TBD",E70="N/A",E70="SDK",E70="SAAS"),0,1)</f>
        <v>0</v>
      </c>
      <c r="AR70" s="22">
        <f t="shared" si="223"/>
        <v>0</v>
      </c>
      <c r="AS70" s="22">
        <f t="shared" si="223"/>
        <v>0</v>
      </c>
      <c r="AT70" s="22">
        <f t="shared" si="223"/>
        <v>0</v>
      </c>
      <c r="AV70" s="11">
        <f t="shared" si="33"/>
        <v>4</v>
      </c>
      <c r="AW70" s="22">
        <f t="shared" ref="AW70:AZ70" si="224">IF(OR(E70="",E70="N/A",E70="SDK",E70="SAAS"),0,1)</f>
        <v>1</v>
      </c>
      <c r="AX70" s="22">
        <f t="shared" si="224"/>
        <v>1</v>
      </c>
      <c r="AY70" s="22">
        <f t="shared" si="224"/>
        <v>1</v>
      </c>
      <c r="AZ70" s="22">
        <f t="shared" si="224"/>
        <v>1</v>
      </c>
      <c r="BB70" s="22"/>
      <c r="BC70" s="22"/>
      <c r="BD70" s="22"/>
      <c r="BE70" s="22"/>
    </row>
    <row r="71" spans="1:57">
      <c r="A71" s="95" t="s">
        <v>269</v>
      </c>
      <c r="B71" s="95" t="s">
        <v>26</v>
      </c>
      <c r="C71" s="96" t="s">
        <v>270</v>
      </c>
      <c r="D71" s="88" t="s">
        <v>135</v>
      </c>
      <c r="E71" s="31" t="s">
        <v>135</v>
      </c>
      <c r="F71" s="31" t="s">
        <v>135</v>
      </c>
      <c r="G71" s="31" t="s">
        <v>135</v>
      </c>
      <c r="H71" s="31" t="s">
        <v>135</v>
      </c>
      <c r="I71" s="31"/>
      <c r="J71" s="31"/>
      <c r="K71" s="34">
        <f t="shared" si="23"/>
        <v>0</v>
      </c>
      <c r="L71" s="31" t="s">
        <v>105</v>
      </c>
      <c r="M71" s="31" t="s">
        <v>106</v>
      </c>
      <c r="N71" s="37" t="s">
        <v>107</v>
      </c>
      <c r="O71" s="31"/>
      <c r="P71" s="31"/>
      <c r="Q71" s="31"/>
      <c r="R71" s="31"/>
      <c r="S71" s="31"/>
      <c r="T71" s="31"/>
      <c r="U71" s="31"/>
      <c r="V71" s="31" t="s">
        <v>108</v>
      </c>
      <c r="W71" s="31" t="s">
        <v>271</v>
      </c>
      <c r="X71" s="31"/>
      <c r="Y71" s="31"/>
      <c r="Z71" s="31"/>
      <c r="AB71" s="11">
        <f t="shared" si="24"/>
        <v>0</v>
      </c>
      <c r="AC71" s="11">
        <f t="shared" si="25"/>
        <v>0</v>
      </c>
      <c r="AD71" s="11">
        <f t="shared" si="104"/>
        <v>1</v>
      </c>
      <c r="AF71" s="11">
        <f t="shared" si="26"/>
        <v>0</v>
      </c>
      <c r="AG71" s="11">
        <f t="shared" si="27"/>
        <v>1</v>
      </c>
      <c r="AH71" s="11">
        <f t="shared" si="28"/>
        <v>0</v>
      </c>
      <c r="AI71" s="22">
        <v>1</v>
      </c>
      <c r="AK71" s="11">
        <f t="shared" ref="AK71:AL71" si="225">SUMIFS(AM$3:AM$251,$A$3:$A$251,$A71)</f>
        <v>0</v>
      </c>
      <c r="AL71" s="11">
        <f t="shared" si="225"/>
        <v>1</v>
      </c>
      <c r="AM71" s="11">
        <f t="shared" si="30"/>
        <v>0</v>
      </c>
      <c r="AN71" s="22">
        <v>1</v>
      </c>
      <c r="AO71" s="22"/>
      <c r="AP71" s="22">
        <f t="shared" si="31"/>
        <v>0</v>
      </c>
      <c r="AQ71" s="22">
        <f t="shared" ref="AQ71:AT71" si="226">IF(OR(E71="",E71="TBD",E71="N/A",E71="SDK",E71="SAAS"),0,1)</f>
        <v>0</v>
      </c>
      <c r="AR71" s="22">
        <f t="shared" si="226"/>
        <v>0</v>
      </c>
      <c r="AS71" s="22">
        <f t="shared" si="226"/>
        <v>0</v>
      </c>
      <c r="AT71" s="22">
        <f t="shared" si="226"/>
        <v>0</v>
      </c>
      <c r="AV71" s="11">
        <f t="shared" si="33"/>
        <v>4</v>
      </c>
      <c r="AW71" s="22">
        <f t="shared" ref="AW71:AZ71" si="227">IF(OR(E71="",E71="N/A",E71="SDK",E71="SAAS"),0,1)</f>
        <v>1</v>
      </c>
      <c r="AX71" s="22">
        <f t="shared" si="227"/>
        <v>1</v>
      </c>
      <c r="AY71" s="22">
        <f t="shared" si="227"/>
        <v>1</v>
      </c>
      <c r="AZ71" s="22">
        <f t="shared" si="227"/>
        <v>1</v>
      </c>
      <c r="BB71" s="22"/>
      <c r="BC71" s="22"/>
      <c r="BD71" s="22"/>
      <c r="BE71" s="22"/>
    </row>
    <row r="72" spans="1:57">
      <c r="A72" s="91" t="s">
        <v>272</v>
      </c>
      <c r="B72" s="91" t="s">
        <v>26</v>
      </c>
      <c r="C72" s="92" t="s">
        <v>273</v>
      </c>
      <c r="D72" s="88" t="s">
        <v>194</v>
      </c>
      <c r="E72" s="31" t="s">
        <v>194</v>
      </c>
      <c r="F72" s="31" t="s">
        <v>194</v>
      </c>
      <c r="G72" s="31" t="s">
        <v>194</v>
      </c>
      <c r="H72" s="31" t="s">
        <v>194</v>
      </c>
      <c r="I72" s="31"/>
      <c r="J72" s="31"/>
      <c r="K72" s="34">
        <f t="shared" si="23"/>
        <v>0</v>
      </c>
      <c r="L72" s="31" t="s">
        <v>105</v>
      </c>
      <c r="M72" s="31" t="s">
        <v>106</v>
      </c>
      <c r="N72" s="37" t="s">
        <v>107</v>
      </c>
      <c r="O72" s="31"/>
      <c r="P72" s="31"/>
      <c r="Q72" s="31"/>
      <c r="R72" s="31"/>
      <c r="S72" s="31"/>
      <c r="T72" s="31"/>
      <c r="U72" s="31"/>
      <c r="V72" s="31" t="s">
        <v>108</v>
      </c>
      <c r="W72" s="31" t="s">
        <v>109</v>
      </c>
      <c r="X72" s="31"/>
      <c r="Y72" s="31"/>
      <c r="Z72" s="31"/>
      <c r="AB72" s="11">
        <f t="shared" si="24"/>
        <v>0</v>
      </c>
      <c r="AC72" s="11">
        <f t="shared" si="25"/>
        <v>1</v>
      </c>
      <c r="AD72" s="11">
        <f t="shared" si="104"/>
        <v>1</v>
      </c>
      <c r="AF72" s="11">
        <f t="shared" si="26"/>
        <v>0</v>
      </c>
      <c r="AG72" s="11">
        <f t="shared" si="27"/>
        <v>1</v>
      </c>
      <c r="AH72" s="11">
        <f t="shared" si="28"/>
        <v>0</v>
      </c>
      <c r="AI72" s="22">
        <v>1</v>
      </c>
      <c r="AK72" s="11">
        <f t="shared" ref="AK72:AL72" si="228">SUMIFS(AM$3:AM$251,$A$3:$A$251,$A72)</f>
        <v>1</v>
      </c>
      <c r="AL72" s="11">
        <f t="shared" si="228"/>
        <v>1</v>
      </c>
      <c r="AM72" s="11">
        <f t="shared" si="30"/>
        <v>1</v>
      </c>
      <c r="AN72" s="22">
        <v>1</v>
      </c>
      <c r="AO72" s="22"/>
      <c r="AP72" s="22">
        <f t="shared" si="31"/>
        <v>0</v>
      </c>
      <c r="AQ72" s="22">
        <f t="shared" ref="AQ72:AT72" si="229">IF(OR(E72="",E72="TBD",E72="N/A",E72="SDK",E72="SAAS"),0,1)</f>
        <v>0</v>
      </c>
      <c r="AR72" s="22">
        <f t="shared" si="229"/>
        <v>0</v>
      </c>
      <c r="AS72" s="22">
        <f t="shared" si="229"/>
        <v>0</v>
      </c>
      <c r="AT72" s="22">
        <f t="shared" si="229"/>
        <v>0</v>
      </c>
      <c r="AV72" s="11">
        <f t="shared" si="33"/>
        <v>0</v>
      </c>
      <c r="AW72" s="22">
        <f t="shared" ref="AW72:AZ72" si="230">IF(OR(E72="",E72="N/A",E72="SDK",E72="SAAS"),0,1)</f>
        <v>0</v>
      </c>
      <c r="AX72" s="22">
        <f t="shared" si="230"/>
        <v>0</v>
      </c>
      <c r="AY72" s="22">
        <f t="shared" si="230"/>
        <v>0</v>
      </c>
      <c r="AZ72" s="22">
        <f t="shared" si="230"/>
        <v>0</v>
      </c>
      <c r="BB72" s="22"/>
      <c r="BC72" s="22"/>
      <c r="BD72" s="22"/>
      <c r="BE72" s="22"/>
    </row>
    <row r="73" spans="1:57">
      <c r="A73" s="93" t="s">
        <v>274</v>
      </c>
      <c r="B73" s="93" t="s">
        <v>26</v>
      </c>
      <c r="C73" s="94" t="s">
        <v>275</v>
      </c>
      <c r="D73" s="88" t="s">
        <v>194</v>
      </c>
      <c r="E73" s="31" t="s">
        <v>194</v>
      </c>
      <c r="F73" s="31" t="s">
        <v>194</v>
      </c>
      <c r="G73" s="31" t="s">
        <v>194</v>
      </c>
      <c r="H73" s="31" t="s">
        <v>194</v>
      </c>
      <c r="I73" s="31"/>
      <c r="J73" s="31"/>
      <c r="K73" s="34">
        <f t="shared" si="23"/>
        <v>0</v>
      </c>
      <c r="L73" s="31" t="s">
        <v>105</v>
      </c>
      <c r="M73" s="31" t="s">
        <v>106</v>
      </c>
      <c r="N73" s="37" t="s">
        <v>107</v>
      </c>
      <c r="O73" s="31"/>
      <c r="P73" s="31"/>
      <c r="Q73" s="31"/>
      <c r="R73" s="31"/>
      <c r="S73" s="31"/>
      <c r="T73" s="31"/>
      <c r="U73" s="31"/>
      <c r="V73" s="31" t="s">
        <v>108</v>
      </c>
      <c r="W73" s="31" t="s">
        <v>109</v>
      </c>
      <c r="X73" s="31"/>
      <c r="Y73" s="31"/>
      <c r="Z73" s="31"/>
      <c r="AB73" s="11">
        <f t="shared" si="24"/>
        <v>0</v>
      </c>
      <c r="AC73" s="11">
        <f t="shared" si="25"/>
        <v>1</v>
      </c>
      <c r="AD73" s="11">
        <f t="shared" si="104"/>
        <v>1</v>
      </c>
      <c r="AF73" s="11">
        <f t="shared" si="26"/>
        <v>0</v>
      </c>
      <c r="AG73" s="11">
        <f t="shared" si="27"/>
        <v>1</v>
      </c>
      <c r="AH73" s="11">
        <f t="shared" si="28"/>
        <v>0</v>
      </c>
      <c r="AI73" s="22">
        <v>1</v>
      </c>
      <c r="AK73" s="11">
        <f t="shared" ref="AK73:AL73" si="231">SUMIFS(AM$3:AM$251,$A$3:$A$251,$A73)</f>
        <v>1</v>
      </c>
      <c r="AL73" s="11">
        <f t="shared" si="231"/>
        <v>1</v>
      </c>
      <c r="AM73" s="11">
        <f t="shared" si="30"/>
        <v>1</v>
      </c>
      <c r="AN73" s="22">
        <v>1</v>
      </c>
      <c r="AO73" s="22"/>
      <c r="AP73" s="22">
        <f t="shared" si="31"/>
        <v>0</v>
      </c>
      <c r="AQ73" s="22">
        <f t="shared" ref="AQ73:AT73" si="232">IF(OR(E73="",E73="TBD",E73="N/A",E73="SDK",E73="SAAS"),0,1)</f>
        <v>0</v>
      </c>
      <c r="AR73" s="22">
        <f t="shared" si="232"/>
        <v>0</v>
      </c>
      <c r="AS73" s="22">
        <f t="shared" si="232"/>
        <v>0</v>
      </c>
      <c r="AT73" s="22">
        <f t="shared" si="232"/>
        <v>0</v>
      </c>
      <c r="AV73" s="11">
        <f t="shared" si="33"/>
        <v>0</v>
      </c>
      <c r="AW73" s="22">
        <f t="shared" ref="AW73:AZ73" si="233">IF(OR(E73="",E73="N/A",E73="SDK",E73="SAAS"),0,1)</f>
        <v>0</v>
      </c>
      <c r="AX73" s="22">
        <f t="shared" si="233"/>
        <v>0</v>
      </c>
      <c r="AY73" s="22">
        <f t="shared" si="233"/>
        <v>0</v>
      </c>
      <c r="AZ73" s="22">
        <f t="shared" si="233"/>
        <v>0</v>
      </c>
      <c r="BB73" s="22"/>
      <c r="BC73" s="22"/>
      <c r="BD73" s="22"/>
      <c r="BE73" s="22"/>
    </row>
    <row r="74" spans="1:57">
      <c r="A74" s="95" t="s">
        <v>276</v>
      </c>
      <c r="B74" s="95" t="s">
        <v>26</v>
      </c>
      <c r="C74" s="96" t="s">
        <v>277</v>
      </c>
      <c r="D74" s="88" t="s">
        <v>194</v>
      </c>
      <c r="E74" s="31" t="s">
        <v>194</v>
      </c>
      <c r="F74" s="31" t="s">
        <v>194</v>
      </c>
      <c r="G74" s="31" t="s">
        <v>194</v>
      </c>
      <c r="H74" s="31" t="s">
        <v>194</v>
      </c>
      <c r="I74" s="31"/>
      <c r="J74" s="31"/>
      <c r="K74" s="34">
        <f t="shared" si="23"/>
        <v>0</v>
      </c>
      <c r="L74" s="31" t="s">
        <v>105</v>
      </c>
      <c r="M74" s="31" t="s">
        <v>106</v>
      </c>
      <c r="N74" s="37" t="s">
        <v>107</v>
      </c>
      <c r="O74" s="31"/>
      <c r="P74" s="31"/>
      <c r="Q74" s="31"/>
      <c r="R74" s="31"/>
      <c r="S74" s="31"/>
      <c r="T74" s="31"/>
      <c r="U74" s="31"/>
      <c r="V74" s="31" t="s">
        <v>108</v>
      </c>
      <c r="W74" s="31" t="s">
        <v>109</v>
      </c>
      <c r="X74" s="31"/>
      <c r="Y74" s="31"/>
      <c r="Z74" s="31"/>
      <c r="AB74" s="11">
        <f t="shared" si="24"/>
        <v>0</v>
      </c>
      <c r="AC74" s="11">
        <f t="shared" si="25"/>
        <v>1</v>
      </c>
      <c r="AD74" s="11">
        <f t="shared" si="104"/>
        <v>1</v>
      </c>
      <c r="AF74" s="11">
        <f t="shared" si="26"/>
        <v>0</v>
      </c>
      <c r="AG74" s="11">
        <f t="shared" si="27"/>
        <v>1</v>
      </c>
      <c r="AH74" s="11">
        <f t="shared" si="28"/>
        <v>0</v>
      </c>
      <c r="AI74" s="22">
        <v>1</v>
      </c>
      <c r="AK74" s="11">
        <f t="shared" ref="AK74:AL74" si="234">SUMIFS(AM$3:AM$251,$A$3:$A$251,$A74)</f>
        <v>1</v>
      </c>
      <c r="AL74" s="11">
        <f t="shared" si="234"/>
        <v>1</v>
      </c>
      <c r="AM74" s="11">
        <f t="shared" si="30"/>
        <v>1</v>
      </c>
      <c r="AN74" s="22">
        <v>1</v>
      </c>
      <c r="AO74" s="22"/>
      <c r="AP74" s="22">
        <f t="shared" si="31"/>
        <v>0</v>
      </c>
      <c r="AQ74" s="22">
        <f t="shared" ref="AQ74:AT74" si="235">IF(OR(E74="",E74="TBD",E74="N/A",E74="SDK",E74="SAAS"),0,1)</f>
        <v>0</v>
      </c>
      <c r="AR74" s="22">
        <f t="shared" si="235"/>
        <v>0</v>
      </c>
      <c r="AS74" s="22">
        <f t="shared" si="235"/>
        <v>0</v>
      </c>
      <c r="AT74" s="22">
        <f t="shared" si="235"/>
        <v>0</v>
      </c>
      <c r="AV74" s="11">
        <f t="shared" si="33"/>
        <v>0</v>
      </c>
      <c r="AW74" s="22">
        <f t="shared" ref="AW74:AZ74" si="236">IF(OR(E74="",E74="N/A",E74="SDK",E74="SAAS"),0,1)</f>
        <v>0</v>
      </c>
      <c r="AX74" s="22">
        <f t="shared" si="236"/>
        <v>0</v>
      </c>
      <c r="AY74" s="22">
        <f t="shared" si="236"/>
        <v>0</v>
      </c>
      <c r="AZ74" s="22">
        <f t="shared" si="236"/>
        <v>0</v>
      </c>
      <c r="BB74" s="22"/>
      <c r="BC74" s="22"/>
      <c r="BD74" s="22"/>
      <c r="BE74" s="22"/>
    </row>
    <row r="75" spans="1:57">
      <c r="A75" s="91" t="s">
        <v>278</v>
      </c>
      <c r="B75" s="91" t="s">
        <v>26</v>
      </c>
      <c r="C75" s="92" t="s">
        <v>275</v>
      </c>
      <c r="D75" s="88" t="s">
        <v>194</v>
      </c>
      <c r="E75" s="31" t="s">
        <v>194</v>
      </c>
      <c r="F75" s="31" t="s">
        <v>194</v>
      </c>
      <c r="G75" s="31" t="s">
        <v>194</v>
      </c>
      <c r="H75" s="31" t="s">
        <v>194</v>
      </c>
      <c r="I75" s="31"/>
      <c r="J75" s="31"/>
      <c r="K75" s="34">
        <f t="shared" si="23"/>
        <v>0</v>
      </c>
      <c r="L75" s="31" t="s">
        <v>105</v>
      </c>
      <c r="M75" s="31" t="s">
        <v>106</v>
      </c>
      <c r="N75" s="37" t="s">
        <v>107</v>
      </c>
      <c r="O75" s="31"/>
      <c r="P75" s="31"/>
      <c r="Q75" s="31"/>
      <c r="R75" s="31"/>
      <c r="S75" s="31"/>
      <c r="T75" s="31"/>
      <c r="U75" s="31"/>
      <c r="V75" s="31" t="s">
        <v>108</v>
      </c>
      <c r="W75" s="31" t="s">
        <v>109</v>
      </c>
      <c r="X75" s="31"/>
      <c r="Y75" s="31"/>
      <c r="Z75" s="31"/>
      <c r="AB75" s="11">
        <f t="shared" si="24"/>
        <v>0</v>
      </c>
      <c r="AC75" s="11">
        <f t="shared" si="25"/>
        <v>1</v>
      </c>
      <c r="AD75" s="11">
        <f t="shared" si="104"/>
        <v>1</v>
      </c>
      <c r="AF75" s="11">
        <f t="shared" si="26"/>
        <v>0</v>
      </c>
      <c r="AG75" s="11">
        <f t="shared" si="27"/>
        <v>1</v>
      </c>
      <c r="AH75" s="11">
        <f t="shared" si="28"/>
        <v>0</v>
      </c>
      <c r="AI75" s="22">
        <v>1</v>
      </c>
      <c r="AK75" s="11">
        <f t="shared" ref="AK75:AL75" si="237">SUMIFS(AM$3:AM$251,$A$3:$A$251,$A75)</f>
        <v>1</v>
      </c>
      <c r="AL75" s="11">
        <f t="shared" si="237"/>
        <v>1</v>
      </c>
      <c r="AM75" s="11">
        <f t="shared" si="30"/>
        <v>1</v>
      </c>
      <c r="AN75" s="22">
        <v>1</v>
      </c>
      <c r="AO75" s="22"/>
      <c r="AP75" s="22">
        <f t="shared" si="31"/>
        <v>0</v>
      </c>
      <c r="AQ75" s="22">
        <f t="shared" ref="AQ75:AT75" si="238">IF(OR(E75="",E75="TBD",E75="N/A",E75="SDK",E75="SAAS"),0,1)</f>
        <v>0</v>
      </c>
      <c r="AR75" s="22">
        <f t="shared" si="238"/>
        <v>0</v>
      </c>
      <c r="AS75" s="22">
        <f t="shared" si="238"/>
        <v>0</v>
      </c>
      <c r="AT75" s="22">
        <f t="shared" si="238"/>
        <v>0</v>
      </c>
      <c r="AV75" s="11">
        <f t="shared" si="33"/>
        <v>0</v>
      </c>
      <c r="AW75" s="22">
        <f t="shared" ref="AW75:AZ75" si="239">IF(OR(E75="",E75="N/A",E75="SDK",E75="SAAS"),0,1)</f>
        <v>0</v>
      </c>
      <c r="AX75" s="22">
        <f t="shared" si="239"/>
        <v>0</v>
      </c>
      <c r="AY75" s="22">
        <f t="shared" si="239"/>
        <v>0</v>
      </c>
      <c r="AZ75" s="22">
        <f t="shared" si="239"/>
        <v>0</v>
      </c>
      <c r="BB75" s="22"/>
      <c r="BC75" s="22"/>
      <c r="BD75" s="22"/>
      <c r="BE75" s="22"/>
    </row>
    <row r="76" spans="1:57">
      <c r="A76" s="93" t="s">
        <v>279</v>
      </c>
      <c r="B76" s="93" t="s">
        <v>26</v>
      </c>
      <c r="C76" s="94" t="s">
        <v>280</v>
      </c>
      <c r="D76" s="88" t="s">
        <v>194</v>
      </c>
      <c r="E76" s="31" t="s">
        <v>194</v>
      </c>
      <c r="F76" s="31" t="s">
        <v>194</v>
      </c>
      <c r="G76" s="31" t="s">
        <v>194</v>
      </c>
      <c r="H76" s="31" t="s">
        <v>194</v>
      </c>
      <c r="I76" s="31"/>
      <c r="J76" s="31"/>
      <c r="K76" s="34">
        <f t="shared" si="23"/>
        <v>0</v>
      </c>
      <c r="L76" s="31" t="s">
        <v>105</v>
      </c>
      <c r="M76" s="31" t="s">
        <v>106</v>
      </c>
      <c r="N76" s="37" t="s">
        <v>107</v>
      </c>
      <c r="O76" s="31"/>
      <c r="P76" s="31"/>
      <c r="Q76" s="31"/>
      <c r="R76" s="31"/>
      <c r="S76" s="31"/>
      <c r="T76" s="31"/>
      <c r="U76" s="31"/>
      <c r="V76" s="31" t="s">
        <v>108</v>
      </c>
      <c r="W76" s="31" t="s">
        <v>109</v>
      </c>
      <c r="X76" s="31"/>
      <c r="Y76" s="31"/>
      <c r="Z76" s="31"/>
      <c r="AB76" s="11">
        <f t="shared" si="24"/>
        <v>0</v>
      </c>
      <c r="AC76" s="11">
        <f t="shared" si="25"/>
        <v>1</v>
      </c>
      <c r="AD76" s="11">
        <f t="shared" si="104"/>
        <v>1</v>
      </c>
      <c r="AF76" s="11">
        <f t="shared" si="26"/>
        <v>0</v>
      </c>
      <c r="AG76" s="11">
        <f t="shared" si="27"/>
        <v>1</v>
      </c>
      <c r="AH76" s="11">
        <f t="shared" si="28"/>
        <v>0</v>
      </c>
      <c r="AI76" s="22">
        <v>1</v>
      </c>
      <c r="AK76" s="11">
        <f t="shared" ref="AK76:AL76" si="240">SUMIFS(AM$3:AM$251,$A$3:$A$251,$A76)</f>
        <v>1</v>
      </c>
      <c r="AL76" s="11">
        <f t="shared" si="240"/>
        <v>1</v>
      </c>
      <c r="AM76" s="11">
        <f t="shared" si="30"/>
        <v>1</v>
      </c>
      <c r="AN76" s="22">
        <v>1</v>
      </c>
      <c r="AO76" s="22"/>
      <c r="AP76" s="22">
        <f t="shared" si="31"/>
        <v>0</v>
      </c>
      <c r="AQ76" s="22">
        <f t="shared" ref="AQ76:AT76" si="241">IF(OR(E76="",E76="TBD",E76="N/A",E76="SDK",E76="SAAS"),0,1)</f>
        <v>0</v>
      </c>
      <c r="AR76" s="22">
        <f t="shared" si="241"/>
        <v>0</v>
      </c>
      <c r="AS76" s="22">
        <f t="shared" si="241"/>
        <v>0</v>
      </c>
      <c r="AT76" s="22">
        <f t="shared" si="241"/>
        <v>0</v>
      </c>
      <c r="AV76" s="11">
        <f t="shared" si="33"/>
        <v>0</v>
      </c>
      <c r="AW76" s="22">
        <f t="shared" ref="AW76:AZ76" si="242">IF(OR(E76="",E76="N/A",E76="SDK",E76="SAAS"),0,1)</f>
        <v>0</v>
      </c>
      <c r="AX76" s="22">
        <f t="shared" si="242"/>
        <v>0</v>
      </c>
      <c r="AY76" s="22">
        <f t="shared" si="242"/>
        <v>0</v>
      </c>
      <c r="AZ76" s="22">
        <f t="shared" si="242"/>
        <v>0</v>
      </c>
      <c r="BB76" s="22"/>
      <c r="BC76" s="22"/>
      <c r="BD76" s="22"/>
      <c r="BE76" s="22"/>
    </row>
    <row r="77" spans="1:57">
      <c r="A77" s="93" t="s">
        <v>281</v>
      </c>
      <c r="B77" s="93" t="s">
        <v>26</v>
      </c>
      <c r="C77" s="94" t="s">
        <v>282</v>
      </c>
      <c r="D77" s="88" t="s">
        <v>194</v>
      </c>
      <c r="E77" s="31" t="s">
        <v>194</v>
      </c>
      <c r="F77" s="31" t="s">
        <v>194</v>
      </c>
      <c r="G77" s="31" t="s">
        <v>194</v>
      </c>
      <c r="H77" s="31" t="s">
        <v>194</v>
      </c>
      <c r="I77" s="31"/>
      <c r="J77" s="31"/>
      <c r="K77" s="34">
        <f t="shared" si="23"/>
        <v>0</v>
      </c>
      <c r="L77" s="31" t="s">
        <v>105</v>
      </c>
      <c r="M77" s="31" t="s">
        <v>106</v>
      </c>
      <c r="N77" s="37" t="s">
        <v>107</v>
      </c>
      <c r="O77" s="31"/>
      <c r="P77" s="31"/>
      <c r="Q77" s="31"/>
      <c r="R77" s="31"/>
      <c r="S77" s="31"/>
      <c r="T77" s="31"/>
      <c r="U77" s="31"/>
      <c r="V77" s="31" t="s">
        <v>108</v>
      </c>
      <c r="W77" s="31" t="s">
        <v>109</v>
      </c>
      <c r="X77" s="31"/>
      <c r="Y77" s="31"/>
      <c r="Z77" s="31"/>
      <c r="AB77" s="11">
        <f t="shared" si="24"/>
        <v>0</v>
      </c>
      <c r="AC77" s="11">
        <f t="shared" si="25"/>
        <v>1</v>
      </c>
      <c r="AD77" s="11">
        <f t="shared" si="104"/>
        <v>1</v>
      </c>
      <c r="AF77" s="11">
        <f t="shared" si="26"/>
        <v>0</v>
      </c>
      <c r="AG77" s="11">
        <f t="shared" si="27"/>
        <v>1</v>
      </c>
      <c r="AH77" s="11">
        <f t="shared" si="28"/>
        <v>0</v>
      </c>
      <c r="AI77" s="22">
        <v>1</v>
      </c>
      <c r="AK77" s="11">
        <f t="shared" ref="AK77:AL77" si="243">SUMIFS(AM$3:AM$251,$A$3:$A$251,$A77)</f>
        <v>1</v>
      </c>
      <c r="AL77" s="11">
        <f t="shared" si="243"/>
        <v>1</v>
      </c>
      <c r="AM77" s="11">
        <f t="shared" si="30"/>
        <v>1</v>
      </c>
      <c r="AN77" s="22">
        <v>1</v>
      </c>
      <c r="AO77" s="22"/>
      <c r="AP77" s="22">
        <f t="shared" si="31"/>
        <v>0</v>
      </c>
      <c r="AQ77" s="22">
        <f t="shared" ref="AQ77:AT77" si="244">IF(OR(E77="",E77="TBD",E77="N/A",E77="SDK",E77="SAAS"),0,1)</f>
        <v>0</v>
      </c>
      <c r="AR77" s="22">
        <f t="shared" si="244"/>
        <v>0</v>
      </c>
      <c r="AS77" s="22">
        <f t="shared" si="244"/>
        <v>0</v>
      </c>
      <c r="AT77" s="22">
        <f t="shared" si="244"/>
        <v>0</v>
      </c>
      <c r="AV77" s="11">
        <f t="shared" si="33"/>
        <v>0</v>
      </c>
      <c r="AW77" s="22">
        <f t="shared" ref="AW77:AZ77" si="245">IF(OR(E77="",E77="N/A",E77="SDK",E77="SAAS"),0,1)</f>
        <v>0</v>
      </c>
      <c r="AX77" s="22">
        <f t="shared" si="245"/>
        <v>0</v>
      </c>
      <c r="AY77" s="22">
        <f t="shared" si="245"/>
        <v>0</v>
      </c>
      <c r="AZ77" s="22">
        <f t="shared" si="245"/>
        <v>0</v>
      </c>
      <c r="BB77" s="22"/>
      <c r="BC77" s="22"/>
      <c r="BD77" s="22"/>
      <c r="BE77" s="22"/>
    </row>
    <row r="78" spans="1:57">
      <c r="A78" s="93" t="s">
        <v>283</v>
      </c>
      <c r="B78" s="93" t="s">
        <v>26</v>
      </c>
      <c r="C78" s="94" t="s">
        <v>284</v>
      </c>
      <c r="D78" s="88" t="s">
        <v>135</v>
      </c>
      <c r="E78" s="31" t="s">
        <v>135</v>
      </c>
      <c r="F78" s="31" t="s">
        <v>135</v>
      </c>
      <c r="G78" s="31" t="s">
        <v>135</v>
      </c>
      <c r="H78" s="31" t="s">
        <v>135</v>
      </c>
      <c r="I78" s="31"/>
      <c r="J78" s="31"/>
      <c r="K78" s="34">
        <f t="shared" si="23"/>
        <v>0</v>
      </c>
      <c r="L78" s="31" t="s">
        <v>105</v>
      </c>
      <c r="M78" s="31" t="s">
        <v>106</v>
      </c>
      <c r="N78" s="37" t="s">
        <v>107</v>
      </c>
      <c r="O78" s="31"/>
      <c r="P78" s="31"/>
      <c r="Q78" s="31"/>
      <c r="R78" s="31"/>
      <c r="S78" s="31"/>
      <c r="T78" s="31"/>
      <c r="U78" s="31"/>
      <c r="V78" s="31" t="s">
        <v>108</v>
      </c>
      <c r="W78" s="31" t="s">
        <v>109</v>
      </c>
      <c r="X78" s="31"/>
      <c r="Y78" s="31"/>
      <c r="Z78" s="31"/>
      <c r="AB78" s="11">
        <f t="shared" si="24"/>
        <v>0</v>
      </c>
      <c r="AC78" s="11">
        <f t="shared" si="25"/>
        <v>0</v>
      </c>
      <c r="AD78" s="11">
        <f t="shared" si="104"/>
        <v>1</v>
      </c>
      <c r="AF78" s="11">
        <f t="shared" si="26"/>
        <v>0</v>
      </c>
      <c r="AG78" s="11">
        <f t="shared" si="27"/>
        <v>0</v>
      </c>
      <c r="AH78" s="11">
        <f t="shared" si="28"/>
        <v>0</v>
      </c>
      <c r="AI78" s="22">
        <v>1</v>
      </c>
      <c r="AK78" s="11">
        <f t="shared" ref="AK78:AL78" si="246">SUMIFS(AM$3:AM$251,$A$3:$A$251,$A78)</f>
        <v>0</v>
      </c>
      <c r="AL78" s="11">
        <f t="shared" si="246"/>
        <v>1</v>
      </c>
      <c r="AM78" s="11">
        <f t="shared" si="30"/>
        <v>0</v>
      </c>
      <c r="AN78" s="22">
        <v>1</v>
      </c>
      <c r="AO78" s="22"/>
      <c r="AP78" s="22">
        <f t="shared" si="31"/>
        <v>0</v>
      </c>
      <c r="AQ78" s="22">
        <f t="shared" ref="AQ78:AT78" si="247">IF(OR(E78="",E78="TBD",E78="N/A",E78="SDK",E78="SAAS"),0,1)</f>
        <v>0</v>
      </c>
      <c r="AR78" s="22">
        <f t="shared" si="247"/>
        <v>0</v>
      </c>
      <c r="AS78" s="22">
        <f t="shared" si="247"/>
        <v>0</v>
      </c>
      <c r="AT78" s="22">
        <f t="shared" si="247"/>
        <v>0</v>
      </c>
      <c r="AV78" s="11">
        <f t="shared" si="33"/>
        <v>4</v>
      </c>
      <c r="AW78" s="22">
        <f t="shared" ref="AW78:AZ78" si="248">IF(OR(E78="",E78="N/A",E78="SDK",E78="SAAS"),0,1)</f>
        <v>1</v>
      </c>
      <c r="AX78" s="22">
        <f t="shared" si="248"/>
        <v>1</v>
      </c>
      <c r="AY78" s="22">
        <f t="shared" si="248"/>
        <v>1</v>
      </c>
      <c r="AZ78" s="22">
        <f t="shared" si="248"/>
        <v>1</v>
      </c>
    </row>
    <row r="79" spans="1:57">
      <c r="A79" s="93" t="s">
        <v>285</v>
      </c>
      <c r="B79" s="93" t="s">
        <v>26</v>
      </c>
      <c r="C79" s="94" t="s">
        <v>286</v>
      </c>
      <c r="D79" s="88" t="s">
        <v>135</v>
      </c>
      <c r="E79" s="31" t="s">
        <v>135</v>
      </c>
      <c r="F79" s="31" t="s">
        <v>135</v>
      </c>
      <c r="G79" s="31" t="s">
        <v>135</v>
      </c>
      <c r="H79" s="31" t="s">
        <v>135</v>
      </c>
      <c r="I79" s="31"/>
      <c r="J79" s="31"/>
      <c r="K79" s="34">
        <f t="shared" si="23"/>
        <v>0</v>
      </c>
      <c r="L79" s="31" t="s">
        <v>105</v>
      </c>
      <c r="M79" s="31" t="s">
        <v>106</v>
      </c>
      <c r="N79" s="37" t="s">
        <v>107</v>
      </c>
      <c r="O79" s="31"/>
      <c r="P79" s="31"/>
      <c r="Q79" s="31"/>
      <c r="R79" s="31"/>
      <c r="S79" s="31"/>
      <c r="T79" s="31"/>
      <c r="U79" s="31"/>
      <c r="V79" s="31" t="s">
        <v>108</v>
      </c>
      <c r="W79" s="31" t="s">
        <v>109</v>
      </c>
      <c r="X79" s="31"/>
      <c r="Y79" s="31"/>
      <c r="Z79" s="31"/>
      <c r="AB79" s="11">
        <f t="shared" si="24"/>
        <v>0</v>
      </c>
      <c r="AC79" s="11">
        <f t="shared" si="25"/>
        <v>0</v>
      </c>
      <c r="AD79" s="11">
        <f t="shared" si="104"/>
        <v>1</v>
      </c>
      <c r="AF79" s="11">
        <f t="shared" si="26"/>
        <v>0</v>
      </c>
      <c r="AG79" s="11">
        <f t="shared" si="27"/>
        <v>0</v>
      </c>
      <c r="AH79" s="11">
        <f t="shared" si="28"/>
        <v>0</v>
      </c>
      <c r="AI79" s="22">
        <v>1</v>
      </c>
      <c r="AK79" s="11">
        <f t="shared" ref="AK79:AL79" si="249">SUMIFS(AM$3:AM$251,$A$3:$A$251,$A79)</f>
        <v>0</v>
      </c>
      <c r="AL79" s="11">
        <f t="shared" si="249"/>
        <v>1</v>
      </c>
      <c r="AM79" s="11">
        <f t="shared" si="30"/>
        <v>0</v>
      </c>
      <c r="AN79" s="22">
        <v>1</v>
      </c>
      <c r="AO79" s="22"/>
      <c r="AP79" s="22">
        <f t="shared" si="31"/>
        <v>0</v>
      </c>
      <c r="AQ79" s="22">
        <f t="shared" ref="AQ79:AT79" si="250">IF(OR(E79="",E79="TBD",E79="N/A",E79="SDK",E79="SAAS"),0,1)</f>
        <v>0</v>
      </c>
      <c r="AR79" s="22">
        <f t="shared" si="250"/>
        <v>0</v>
      </c>
      <c r="AS79" s="22">
        <f t="shared" si="250"/>
        <v>0</v>
      </c>
      <c r="AT79" s="22">
        <f t="shared" si="250"/>
        <v>0</v>
      </c>
      <c r="AV79" s="11">
        <f t="shared" si="33"/>
        <v>4</v>
      </c>
      <c r="AW79" s="22">
        <f t="shared" ref="AW79:AZ79" si="251">IF(OR(E79="",E79="N/A",E79="SDK",E79="SAAS"),0,1)</f>
        <v>1</v>
      </c>
      <c r="AX79" s="22">
        <f t="shared" si="251"/>
        <v>1</v>
      </c>
      <c r="AY79" s="22">
        <f t="shared" si="251"/>
        <v>1</v>
      </c>
      <c r="AZ79" s="22">
        <f t="shared" si="251"/>
        <v>1</v>
      </c>
    </row>
    <row r="80" spans="1:57">
      <c r="A80" s="93" t="s">
        <v>287</v>
      </c>
      <c r="B80" s="93" t="s">
        <v>26</v>
      </c>
      <c r="C80" s="94" t="s">
        <v>288</v>
      </c>
      <c r="D80" s="88" t="s">
        <v>135</v>
      </c>
      <c r="E80" s="31" t="s">
        <v>135</v>
      </c>
      <c r="F80" s="31" t="s">
        <v>135</v>
      </c>
      <c r="G80" s="31" t="s">
        <v>135</v>
      </c>
      <c r="H80" s="31" t="s">
        <v>135</v>
      </c>
      <c r="I80" s="31"/>
      <c r="J80" s="31"/>
      <c r="K80" s="34">
        <f t="shared" si="23"/>
        <v>0</v>
      </c>
      <c r="L80" s="31" t="s">
        <v>105</v>
      </c>
      <c r="M80" s="31" t="s">
        <v>106</v>
      </c>
      <c r="N80" s="37" t="s">
        <v>107</v>
      </c>
      <c r="O80" s="31"/>
      <c r="P80" s="31"/>
      <c r="Q80" s="31"/>
      <c r="R80" s="31"/>
      <c r="S80" s="31"/>
      <c r="T80" s="31"/>
      <c r="U80" s="31"/>
      <c r="V80" s="31" t="s">
        <v>108</v>
      </c>
      <c r="W80" s="31" t="s">
        <v>109</v>
      </c>
      <c r="X80" s="31"/>
      <c r="Y80" s="31"/>
      <c r="Z80" s="31"/>
      <c r="AB80" s="11">
        <f t="shared" si="24"/>
        <v>0</v>
      </c>
      <c r="AC80" s="11">
        <f t="shared" si="25"/>
        <v>0</v>
      </c>
      <c r="AD80" s="11">
        <f t="shared" si="104"/>
        <v>1</v>
      </c>
      <c r="AF80" s="11">
        <f t="shared" si="26"/>
        <v>0</v>
      </c>
      <c r="AG80" s="11">
        <f t="shared" si="27"/>
        <v>0</v>
      </c>
      <c r="AH80" s="11">
        <f t="shared" si="28"/>
        <v>0</v>
      </c>
      <c r="AI80" s="22">
        <v>1</v>
      </c>
      <c r="AK80" s="11">
        <f t="shared" ref="AK80:AL80" si="252">SUMIFS(AM$3:AM$251,$A$3:$A$251,$A80)</f>
        <v>0</v>
      </c>
      <c r="AL80" s="11">
        <f t="shared" si="252"/>
        <v>1</v>
      </c>
      <c r="AM80" s="11">
        <f t="shared" si="30"/>
        <v>0</v>
      </c>
      <c r="AN80" s="22">
        <v>1</v>
      </c>
      <c r="AO80" s="22"/>
      <c r="AP80" s="22">
        <f t="shared" si="31"/>
        <v>0</v>
      </c>
      <c r="AQ80" s="22">
        <f t="shared" ref="AQ80:AT80" si="253">IF(OR(E80="",E80="TBD",E80="N/A",E80="SDK",E80="SAAS"),0,1)</f>
        <v>0</v>
      </c>
      <c r="AR80" s="22">
        <f t="shared" si="253"/>
        <v>0</v>
      </c>
      <c r="AS80" s="22">
        <f t="shared" si="253"/>
        <v>0</v>
      </c>
      <c r="AT80" s="22">
        <f t="shared" si="253"/>
        <v>0</v>
      </c>
      <c r="AV80" s="11">
        <f t="shared" si="33"/>
        <v>4</v>
      </c>
      <c r="AW80" s="22">
        <f t="shared" ref="AW80:AZ80" si="254">IF(OR(E80="",E80="N/A",E80="SDK",E80="SAAS"),0,1)</f>
        <v>1</v>
      </c>
      <c r="AX80" s="22">
        <f t="shared" si="254"/>
        <v>1</v>
      </c>
      <c r="AY80" s="22">
        <f t="shared" si="254"/>
        <v>1</v>
      </c>
      <c r="AZ80" s="22">
        <f t="shared" si="254"/>
        <v>1</v>
      </c>
    </row>
    <row r="81" spans="1:52">
      <c r="A81" s="93" t="s">
        <v>289</v>
      </c>
      <c r="B81" s="93" t="s">
        <v>26</v>
      </c>
      <c r="C81" s="94" t="s">
        <v>290</v>
      </c>
      <c r="D81" s="88" t="s">
        <v>135</v>
      </c>
      <c r="E81" s="31" t="s">
        <v>135</v>
      </c>
      <c r="F81" s="31" t="s">
        <v>135</v>
      </c>
      <c r="G81" s="31" t="s">
        <v>135</v>
      </c>
      <c r="H81" s="31" t="s">
        <v>135</v>
      </c>
      <c r="I81" s="31"/>
      <c r="J81" s="31"/>
      <c r="K81" s="34">
        <f t="shared" si="23"/>
        <v>0</v>
      </c>
      <c r="L81" s="31" t="s">
        <v>105</v>
      </c>
      <c r="M81" s="31" t="s">
        <v>106</v>
      </c>
      <c r="N81" s="37" t="s">
        <v>107</v>
      </c>
      <c r="O81" s="31"/>
      <c r="P81" s="31"/>
      <c r="Q81" s="31"/>
      <c r="R81" s="31"/>
      <c r="S81" s="31"/>
      <c r="T81" s="31"/>
      <c r="U81" s="31"/>
      <c r="V81" s="31" t="s">
        <v>108</v>
      </c>
      <c r="W81" s="31" t="s">
        <v>109</v>
      </c>
      <c r="X81" s="31"/>
      <c r="Y81" s="31"/>
      <c r="Z81" s="31"/>
      <c r="AB81" s="11">
        <f t="shared" si="24"/>
        <v>0</v>
      </c>
      <c r="AC81" s="11">
        <f t="shared" si="25"/>
        <v>0</v>
      </c>
      <c r="AD81" s="11">
        <f t="shared" si="104"/>
        <v>1</v>
      </c>
      <c r="AF81" s="11">
        <f t="shared" si="26"/>
        <v>0</v>
      </c>
      <c r="AG81" s="11">
        <f t="shared" si="27"/>
        <v>0</v>
      </c>
      <c r="AH81" s="11">
        <f t="shared" si="28"/>
        <v>0</v>
      </c>
      <c r="AI81" s="22">
        <v>1</v>
      </c>
      <c r="AK81" s="11">
        <f t="shared" ref="AK81:AL81" si="255">SUMIFS(AM$3:AM$251,$A$3:$A$251,$A81)</f>
        <v>0</v>
      </c>
      <c r="AL81" s="11">
        <f t="shared" si="255"/>
        <v>1</v>
      </c>
      <c r="AM81" s="11">
        <f t="shared" si="30"/>
        <v>0</v>
      </c>
      <c r="AN81" s="22">
        <v>1</v>
      </c>
      <c r="AO81" s="22"/>
      <c r="AP81" s="22">
        <f t="shared" si="31"/>
        <v>0</v>
      </c>
      <c r="AQ81" s="22">
        <f t="shared" ref="AQ81:AT81" si="256">IF(OR(E81="",E81="TBD",E81="N/A",E81="SDK",E81="SAAS"),0,1)</f>
        <v>0</v>
      </c>
      <c r="AR81" s="22">
        <f t="shared" si="256"/>
        <v>0</v>
      </c>
      <c r="AS81" s="22">
        <f t="shared" si="256"/>
        <v>0</v>
      </c>
      <c r="AT81" s="22">
        <f t="shared" si="256"/>
        <v>0</v>
      </c>
      <c r="AV81" s="11">
        <f t="shared" si="33"/>
        <v>4</v>
      </c>
      <c r="AW81" s="22">
        <f t="shared" ref="AW81:AZ81" si="257">IF(OR(E81="",E81="N/A",E81="SDK",E81="SAAS"),0,1)</f>
        <v>1</v>
      </c>
      <c r="AX81" s="22">
        <f t="shared" si="257"/>
        <v>1</v>
      </c>
      <c r="AY81" s="22">
        <f t="shared" si="257"/>
        <v>1</v>
      </c>
      <c r="AZ81" s="22">
        <f t="shared" si="257"/>
        <v>1</v>
      </c>
    </row>
    <row r="82" spans="1:52">
      <c r="D82" s="4"/>
    </row>
    <row r="83" spans="1:52">
      <c r="D83" s="4"/>
    </row>
    <row r="84" spans="1:52">
      <c r="D84" s="4"/>
    </row>
    <row r="85" spans="1:52">
      <c r="D85" s="4"/>
    </row>
    <row r="86" spans="1:52">
      <c r="D86" s="4"/>
    </row>
    <row r="87" spans="1:52">
      <c r="D87" s="4"/>
    </row>
    <row r="88" spans="1:52">
      <c r="D88" s="4"/>
    </row>
    <row r="89" spans="1:52">
      <c r="D89" s="4"/>
    </row>
    <row r="90" spans="1:52">
      <c r="D90" s="4"/>
    </row>
    <row r="91" spans="1:52">
      <c r="D91" s="4"/>
    </row>
    <row r="92" spans="1:52">
      <c r="D92" s="4"/>
    </row>
    <row r="93" spans="1:52">
      <c r="D93" s="4"/>
    </row>
    <row r="94" spans="1:52">
      <c r="D94" s="4"/>
    </row>
    <row r="95" spans="1:52">
      <c r="D95" s="4"/>
    </row>
    <row r="96" spans="1:52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10">
      <c r="D145" s="4"/>
    </row>
    <row r="146" spans="4:10">
      <c r="D146" s="4"/>
      <c r="I146" s="11" t="s">
        <v>291</v>
      </c>
      <c r="J146" s="11">
        <f>SUM(J3:J81)</f>
        <v>84</v>
      </c>
    </row>
    <row r="147" spans="4:10">
      <c r="D147" s="4"/>
      <c r="I147" s="11" t="s">
        <v>292</v>
      </c>
      <c r="J147" s="11">
        <v>3.5</v>
      </c>
    </row>
    <row r="148" spans="4:10">
      <c r="D148" s="4"/>
      <c r="I148" s="11" t="s">
        <v>293</v>
      </c>
      <c r="J148" s="101">
        <f>J146*3.5</f>
        <v>294</v>
      </c>
    </row>
    <row r="149" spans="4:10">
      <c r="D149" s="4"/>
    </row>
    <row r="150" spans="4:10">
      <c r="D150" s="4"/>
    </row>
    <row r="151" spans="4:10">
      <c r="D151" s="4"/>
    </row>
    <row r="152" spans="4:10">
      <c r="D152" s="4"/>
    </row>
    <row r="153" spans="4:10">
      <c r="D153" s="4"/>
    </row>
    <row r="154" spans="4:10">
      <c r="D154" s="4"/>
    </row>
    <row r="155" spans="4:10">
      <c r="D155" s="4"/>
    </row>
    <row r="156" spans="4:10">
      <c r="D156" s="4"/>
    </row>
    <row r="157" spans="4:10">
      <c r="D157" s="4"/>
    </row>
    <row r="158" spans="4:10">
      <c r="D158" s="4"/>
    </row>
    <row r="159" spans="4:10">
      <c r="D159" s="4"/>
    </row>
    <row r="160" spans="4:10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6" spans="4:4">
      <c r="D166" s="4"/>
    </row>
    <row r="167" spans="4:4">
      <c r="D167" s="4"/>
    </row>
    <row r="168" spans="4:4">
      <c r="D168" s="4"/>
    </row>
    <row r="169" spans="4:4">
      <c r="D169" s="4"/>
    </row>
    <row r="170" spans="4:4">
      <c r="D170" s="4"/>
    </row>
    <row r="171" spans="4:4">
      <c r="D171" s="4"/>
    </row>
    <row r="172" spans="4:4">
      <c r="D172" s="4"/>
    </row>
    <row r="173" spans="4:4">
      <c r="D173" s="4"/>
    </row>
    <row r="174" spans="4:4">
      <c r="D174" s="4"/>
    </row>
    <row r="175" spans="4:4">
      <c r="D175" s="4"/>
    </row>
    <row r="176" spans="4:4">
      <c r="D176" s="4"/>
    </row>
    <row r="177" spans="4:4">
      <c r="D177" s="4"/>
    </row>
    <row r="178" spans="4:4">
      <c r="D178" s="4"/>
    </row>
    <row r="179" spans="4:4">
      <c r="D179" s="4"/>
    </row>
    <row r="180" spans="4:4">
      <c r="D180" s="4"/>
    </row>
    <row r="181" spans="4:4">
      <c r="D181" s="4"/>
    </row>
    <row r="182" spans="4:4">
      <c r="D182" s="4"/>
    </row>
    <row r="183" spans="4:4">
      <c r="D183" s="4"/>
    </row>
    <row r="184" spans="4:4">
      <c r="D184" s="4"/>
    </row>
    <row r="185" spans="4:4">
      <c r="D185" s="4"/>
    </row>
    <row r="186" spans="4:4">
      <c r="D186" s="4"/>
    </row>
    <row r="187" spans="4:4">
      <c r="D187" s="4"/>
    </row>
    <row r="188" spans="4:4">
      <c r="D188" s="4"/>
    </row>
    <row r="189" spans="4:4">
      <c r="D189" s="4"/>
    </row>
    <row r="190" spans="4:4">
      <c r="D190" s="4"/>
    </row>
    <row r="191" spans="4:4">
      <c r="D191" s="4"/>
    </row>
    <row r="192" spans="4:4">
      <c r="D192" s="4"/>
    </row>
    <row r="193" spans="4:4">
      <c r="D193" s="4"/>
    </row>
    <row r="194" spans="4:4">
      <c r="D194" s="4"/>
    </row>
    <row r="195" spans="4:4">
      <c r="D195" s="4"/>
    </row>
    <row r="196" spans="4:4">
      <c r="D196" s="4"/>
    </row>
    <row r="197" spans="4:4">
      <c r="D197" s="4"/>
    </row>
    <row r="198" spans="4:4">
      <c r="D198" s="4"/>
    </row>
    <row r="199" spans="4:4">
      <c r="D199" s="4"/>
    </row>
    <row r="200" spans="4:4">
      <c r="D200" s="4"/>
    </row>
    <row r="201" spans="4:4">
      <c r="D201" s="4"/>
    </row>
    <row r="202" spans="4:4">
      <c r="D202" s="4"/>
    </row>
    <row r="203" spans="4:4">
      <c r="D203" s="4"/>
    </row>
    <row r="204" spans="4:4">
      <c r="D204" s="4"/>
    </row>
    <row r="205" spans="4:4">
      <c r="D205" s="4"/>
    </row>
    <row r="206" spans="4:4">
      <c r="D206" s="4"/>
    </row>
    <row r="207" spans="4:4">
      <c r="D207" s="4"/>
    </row>
    <row r="208" spans="4:4">
      <c r="D208" s="4"/>
    </row>
    <row r="209" spans="4:4">
      <c r="D209" s="4"/>
    </row>
    <row r="210" spans="4:4">
      <c r="D210" s="4"/>
    </row>
    <row r="211" spans="4:4">
      <c r="D211" s="4"/>
    </row>
    <row r="212" spans="4:4">
      <c r="D212" s="4"/>
    </row>
    <row r="213" spans="4:4">
      <c r="D213" s="4"/>
    </row>
    <row r="214" spans="4:4">
      <c r="D214" s="4"/>
    </row>
    <row r="215" spans="4:4">
      <c r="D215" s="4"/>
    </row>
    <row r="216" spans="4:4">
      <c r="D216" s="4"/>
    </row>
    <row r="217" spans="4:4">
      <c r="D217" s="4"/>
    </row>
    <row r="218" spans="4:4">
      <c r="D218" s="4"/>
    </row>
    <row r="219" spans="4:4">
      <c r="D219" s="4"/>
    </row>
    <row r="220" spans="4:4">
      <c r="D220" s="4"/>
    </row>
    <row r="221" spans="4:4">
      <c r="D221" s="4"/>
    </row>
    <row r="222" spans="4:4">
      <c r="D222" s="4"/>
    </row>
    <row r="223" spans="4:4">
      <c r="D223" s="4"/>
    </row>
    <row r="224" spans="4:4">
      <c r="D224" s="4"/>
    </row>
    <row r="225" spans="4:4">
      <c r="D225" s="4"/>
    </row>
    <row r="226" spans="4:4">
      <c r="D226" s="4"/>
    </row>
    <row r="227" spans="4:4">
      <c r="D227" s="4"/>
    </row>
    <row r="228" spans="4:4">
      <c r="D228" s="4"/>
    </row>
    <row r="229" spans="4:4">
      <c r="D229" s="4"/>
    </row>
    <row r="230" spans="4:4">
      <c r="D230" s="4"/>
    </row>
    <row r="231" spans="4:4">
      <c r="D231" s="4"/>
    </row>
    <row r="232" spans="4:4">
      <c r="D232" s="4"/>
    </row>
    <row r="233" spans="4:4">
      <c r="D233" s="4"/>
    </row>
    <row r="234" spans="4:4">
      <c r="D234" s="4"/>
    </row>
    <row r="235" spans="4:4">
      <c r="D235" s="4"/>
    </row>
    <row r="236" spans="4:4">
      <c r="D236" s="4"/>
    </row>
    <row r="237" spans="4:4">
      <c r="D237" s="4"/>
    </row>
    <row r="238" spans="4:4">
      <c r="D238" s="4"/>
    </row>
    <row r="239" spans="4:4">
      <c r="D239" s="4"/>
    </row>
    <row r="240" spans="4:4">
      <c r="D240" s="4"/>
    </row>
    <row r="241" spans="4:4">
      <c r="D241" s="4"/>
    </row>
    <row r="242" spans="4:4">
      <c r="D242" s="4"/>
    </row>
    <row r="243" spans="4:4">
      <c r="D243" s="4"/>
    </row>
    <row r="244" spans="4:4">
      <c r="D244" s="4"/>
    </row>
    <row r="245" spans="4:4">
      <c r="D245" s="4"/>
    </row>
    <row r="246" spans="4:4">
      <c r="D246" s="4"/>
    </row>
    <row r="247" spans="4:4">
      <c r="D247" s="4"/>
    </row>
    <row r="248" spans="4:4">
      <c r="D248" s="4"/>
    </row>
    <row r="249" spans="4:4">
      <c r="D249" s="4"/>
    </row>
    <row r="250" spans="4:4">
      <c r="D250" s="4"/>
    </row>
    <row r="251" spans="4:4">
      <c r="D251" s="4"/>
    </row>
    <row r="252" spans="4:4">
      <c r="D252" s="4"/>
    </row>
    <row r="253" spans="4:4">
      <c r="D253" s="4"/>
    </row>
    <row r="254" spans="4:4">
      <c r="D254" s="4"/>
    </row>
    <row r="255" spans="4:4">
      <c r="D255" s="4"/>
    </row>
    <row r="256" spans="4:4">
      <c r="D256" s="4"/>
    </row>
    <row r="257" spans="4:4">
      <c r="D257" s="4"/>
    </row>
    <row r="258" spans="4:4">
      <c r="D258" s="4"/>
    </row>
    <row r="259" spans="4:4">
      <c r="D259" s="4"/>
    </row>
    <row r="260" spans="4:4">
      <c r="D260" s="4"/>
    </row>
    <row r="261" spans="4:4">
      <c r="D261" s="4"/>
    </row>
    <row r="262" spans="4:4">
      <c r="D262" s="4"/>
    </row>
    <row r="263" spans="4:4">
      <c r="D263" s="4"/>
    </row>
    <row r="264" spans="4:4">
      <c r="D264" s="4"/>
    </row>
    <row r="265" spans="4:4">
      <c r="D265" s="4"/>
    </row>
    <row r="266" spans="4:4">
      <c r="D266" s="4"/>
    </row>
    <row r="267" spans="4:4">
      <c r="D267" s="4"/>
    </row>
    <row r="268" spans="4:4">
      <c r="D268" s="4"/>
    </row>
    <row r="269" spans="4:4">
      <c r="D269" s="4"/>
    </row>
    <row r="270" spans="4:4">
      <c r="D270" s="4"/>
    </row>
    <row r="271" spans="4:4">
      <c r="D271" s="4"/>
    </row>
    <row r="272" spans="4:4">
      <c r="D272" s="4"/>
    </row>
    <row r="273" spans="4:4">
      <c r="D273" s="4"/>
    </row>
    <row r="274" spans="4:4">
      <c r="D274" s="4"/>
    </row>
    <row r="275" spans="4:4">
      <c r="D275" s="4"/>
    </row>
    <row r="276" spans="4:4">
      <c r="D276" s="4"/>
    </row>
    <row r="277" spans="4:4">
      <c r="D277" s="4"/>
    </row>
    <row r="278" spans="4:4">
      <c r="D278" s="4"/>
    </row>
    <row r="279" spans="4:4">
      <c r="D279" s="4"/>
    </row>
    <row r="280" spans="4:4">
      <c r="D280" s="4"/>
    </row>
    <row r="281" spans="4:4">
      <c r="D281" s="4"/>
    </row>
    <row r="282" spans="4:4">
      <c r="D282" s="4"/>
    </row>
    <row r="283" spans="4:4">
      <c r="D283" s="4"/>
    </row>
    <row r="284" spans="4:4">
      <c r="D284" s="4"/>
    </row>
    <row r="285" spans="4:4">
      <c r="D285" s="4"/>
    </row>
    <row r="286" spans="4:4">
      <c r="D286" s="4"/>
    </row>
    <row r="287" spans="4:4">
      <c r="D287" s="4"/>
    </row>
    <row r="288" spans="4:4">
      <c r="D288" s="4"/>
    </row>
    <row r="289" spans="4:4">
      <c r="D289" s="4"/>
    </row>
    <row r="290" spans="4:4">
      <c r="D290" s="4"/>
    </row>
    <row r="291" spans="4:4">
      <c r="D291" s="4"/>
    </row>
    <row r="292" spans="4:4">
      <c r="D292" s="4"/>
    </row>
    <row r="293" spans="4:4">
      <c r="D293" s="4"/>
    </row>
    <row r="294" spans="4:4">
      <c r="D294" s="4"/>
    </row>
    <row r="295" spans="4:4">
      <c r="D295" s="4"/>
    </row>
    <row r="296" spans="4:4">
      <c r="D296" s="4"/>
    </row>
    <row r="297" spans="4:4">
      <c r="D297" s="4"/>
    </row>
    <row r="298" spans="4:4">
      <c r="D298" s="4"/>
    </row>
    <row r="299" spans="4:4">
      <c r="D299" s="4"/>
    </row>
    <row r="300" spans="4:4">
      <c r="D300" s="4"/>
    </row>
    <row r="301" spans="4:4">
      <c r="D301" s="4"/>
    </row>
    <row r="302" spans="4:4">
      <c r="D302" s="4"/>
    </row>
    <row r="303" spans="4:4">
      <c r="D303" s="4"/>
    </row>
    <row r="304" spans="4:4">
      <c r="D304" s="4"/>
    </row>
    <row r="305" spans="4:4">
      <c r="D305" s="4"/>
    </row>
    <row r="306" spans="4:4">
      <c r="D306" s="4"/>
    </row>
    <row r="307" spans="4:4">
      <c r="D307" s="4"/>
    </row>
    <row r="308" spans="4:4">
      <c r="D308" s="4"/>
    </row>
    <row r="309" spans="4:4">
      <c r="D309" s="4"/>
    </row>
    <row r="310" spans="4:4">
      <c r="D310" s="4"/>
    </row>
    <row r="311" spans="4:4">
      <c r="D311" s="4"/>
    </row>
    <row r="312" spans="4:4">
      <c r="D312" s="4"/>
    </row>
    <row r="313" spans="4:4">
      <c r="D313" s="4"/>
    </row>
    <row r="314" spans="4:4">
      <c r="D314" s="4"/>
    </row>
    <row r="315" spans="4:4">
      <c r="D315" s="4"/>
    </row>
    <row r="316" spans="4:4">
      <c r="D316" s="4"/>
    </row>
    <row r="317" spans="4:4">
      <c r="D317" s="4"/>
    </row>
    <row r="318" spans="4:4">
      <c r="D318" s="4"/>
    </row>
    <row r="319" spans="4:4">
      <c r="D319" s="4"/>
    </row>
    <row r="320" spans="4:4">
      <c r="D320" s="4"/>
    </row>
    <row r="321" spans="4:4">
      <c r="D321" s="4"/>
    </row>
    <row r="322" spans="4:4">
      <c r="D322" s="4"/>
    </row>
    <row r="323" spans="4:4">
      <c r="D323" s="4"/>
    </row>
    <row r="324" spans="4:4">
      <c r="D324" s="4"/>
    </row>
    <row r="325" spans="4:4">
      <c r="D325" s="4"/>
    </row>
    <row r="326" spans="4:4">
      <c r="D326" s="4"/>
    </row>
    <row r="327" spans="4:4">
      <c r="D327" s="4"/>
    </row>
    <row r="328" spans="4:4">
      <c r="D328" s="4"/>
    </row>
    <row r="329" spans="4:4">
      <c r="D329" s="4"/>
    </row>
    <row r="330" spans="4:4">
      <c r="D330" s="4"/>
    </row>
    <row r="331" spans="4:4">
      <c r="D331" s="4"/>
    </row>
    <row r="332" spans="4:4">
      <c r="D332" s="4"/>
    </row>
    <row r="333" spans="4:4">
      <c r="D333" s="4"/>
    </row>
    <row r="334" spans="4:4">
      <c r="D334" s="4"/>
    </row>
    <row r="335" spans="4:4">
      <c r="D335" s="4"/>
    </row>
    <row r="336" spans="4:4">
      <c r="D336" s="4"/>
    </row>
    <row r="337" spans="4:4">
      <c r="D337" s="4"/>
    </row>
    <row r="338" spans="4:4">
      <c r="D338" s="4"/>
    </row>
    <row r="339" spans="4:4">
      <c r="D339" s="4"/>
    </row>
    <row r="340" spans="4:4">
      <c r="D340" s="4"/>
    </row>
    <row r="341" spans="4:4">
      <c r="D341" s="4"/>
    </row>
    <row r="342" spans="4:4">
      <c r="D342" s="4"/>
    </row>
    <row r="343" spans="4:4">
      <c r="D343" s="4"/>
    </row>
    <row r="344" spans="4:4">
      <c r="D344" s="4"/>
    </row>
    <row r="345" spans="4:4">
      <c r="D345" s="4"/>
    </row>
    <row r="346" spans="4:4">
      <c r="D346" s="4"/>
    </row>
    <row r="347" spans="4:4">
      <c r="D347" s="4"/>
    </row>
    <row r="348" spans="4:4">
      <c r="D348" s="4"/>
    </row>
    <row r="349" spans="4:4">
      <c r="D349" s="4"/>
    </row>
    <row r="350" spans="4:4">
      <c r="D350" s="4"/>
    </row>
    <row r="351" spans="4:4">
      <c r="D351" s="4"/>
    </row>
    <row r="352" spans="4:4">
      <c r="D352" s="4"/>
    </row>
    <row r="353" spans="4:4">
      <c r="D353" s="4"/>
    </row>
    <row r="354" spans="4:4">
      <c r="D354" s="4"/>
    </row>
    <row r="355" spans="4:4">
      <c r="D355" s="4"/>
    </row>
    <row r="356" spans="4:4">
      <c r="D356" s="4"/>
    </row>
    <row r="357" spans="4:4">
      <c r="D357" s="4"/>
    </row>
    <row r="358" spans="4:4">
      <c r="D358" s="4"/>
    </row>
    <row r="359" spans="4:4">
      <c r="D359" s="4"/>
    </row>
    <row r="360" spans="4:4">
      <c r="D360" s="4"/>
    </row>
    <row r="361" spans="4:4">
      <c r="D361" s="4"/>
    </row>
    <row r="362" spans="4:4">
      <c r="D362" s="4"/>
    </row>
    <row r="363" spans="4:4">
      <c r="D363" s="4"/>
    </row>
    <row r="364" spans="4:4">
      <c r="D364" s="4"/>
    </row>
    <row r="365" spans="4:4">
      <c r="D365" s="4"/>
    </row>
    <row r="366" spans="4:4">
      <c r="D366" s="4"/>
    </row>
    <row r="367" spans="4:4">
      <c r="D367" s="4"/>
    </row>
    <row r="368" spans="4:4">
      <c r="D368" s="4"/>
    </row>
    <row r="369" spans="4:4">
      <c r="D369" s="4"/>
    </row>
    <row r="370" spans="4:4">
      <c r="D370" s="4"/>
    </row>
    <row r="371" spans="4:4">
      <c r="D371" s="4"/>
    </row>
    <row r="372" spans="4:4">
      <c r="D372" s="4"/>
    </row>
    <row r="373" spans="4:4">
      <c r="D373" s="4"/>
    </row>
    <row r="374" spans="4:4">
      <c r="D374" s="4"/>
    </row>
    <row r="375" spans="4:4">
      <c r="D375" s="4"/>
    </row>
    <row r="376" spans="4:4">
      <c r="D376" s="4"/>
    </row>
    <row r="377" spans="4:4">
      <c r="D377" s="4"/>
    </row>
    <row r="378" spans="4:4">
      <c r="D378" s="4"/>
    </row>
    <row r="379" spans="4:4">
      <c r="D379" s="4"/>
    </row>
    <row r="380" spans="4:4">
      <c r="D380" s="4"/>
    </row>
    <row r="381" spans="4:4">
      <c r="D381" s="4"/>
    </row>
    <row r="382" spans="4:4">
      <c r="D382" s="4"/>
    </row>
    <row r="383" spans="4:4">
      <c r="D383" s="4"/>
    </row>
    <row r="384" spans="4:4">
      <c r="D384" s="4"/>
    </row>
    <row r="385" spans="4:4">
      <c r="D385" s="4"/>
    </row>
    <row r="386" spans="4:4">
      <c r="D386" s="4"/>
    </row>
    <row r="387" spans="4:4">
      <c r="D387" s="4"/>
    </row>
    <row r="388" spans="4:4">
      <c r="D388" s="4"/>
    </row>
    <row r="389" spans="4:4">
      <c r="D389" s="4"/>
    </row>
    <row r="390" spans="4:4">
      <c r="D390" s="4"/>
    </row>
    <row r="391" spans="4:4">
      <c r="D391" s="4"/>
    </row>
    <row r="392" spans="4:4">
      <c r="D392" s="4"/>
    </row>
    <row r="393" spans="4:4">
      <c r="D393" s="4"/>
    </row>
    <row r="394" spans="4:4">
      <c r="D394" s="4"/>
    </row>
    <row r="395" spans="4:4">
      <c r="D395" s="4"/>
    </row>
    <row r="396" spans="4:4">
      <c r="D396" s="4"/>
    </row>
    <row r="397" spans="4:4">
      <c r="D397" s="4"/>
    </row>
    <row r="398" spans="4:4">
      <c r="D398" s="4"/>
    </row>
    <row r="399" spans="4:4">
      <c r="D399" s="4"/>
    </row>
    <row r="400" spans="4:4">
      <c r="D400" s="4"/>
    </row>
    <row r="401" spans="4:4">
      <c r="D401" s="4"/>
    </row>
    <row r="402" spans="4:4">
      <c r="D402" s="4"/>
    </row>
    <row r="403" spans="4:4">
      <c r="D403" s="4"/>
    </row>
    <row r="404" spans="4:4">
      <c r="D404" s="4"/>
    </row>
    <row r="405" spans="4:4">
      <c r="D405" s="4"/>
    </row>
    <row r="406" spans="4:4">
      <c r="D406" s="4"/>
    </row>
    <row r="407" spans="4:4">
      <c r="D407" s="4"/>
    </row>
    <row r="408" spans="4:4">
      <c r="D408" s="4"/>
    </row>
    <row r="409" spans="4:4">
      <c r="D409" s="4"/>
    </row>
    <row r="410" spans="4:4">
      <c r="D410" s="4"/>
    </row>
    <row r="411" spans="4:4">
      <c r="D411" s="4"/>
    </row>
    <row r="412" spans="4:4">
      <c r="D412" s="4"/>
    </row>
    <row r="413" spans="4:4">
      <c r="D413" s="4"/>
    </row>
    <row r="414" spans="4:4">
      <c r="D414" s="4"/>
    </row>
    <row r="415" spans="4:4">
      <c r="D415" s="4"/>
    </row>
    <row r="416" spans="4:4">
      <c r="D416" s="4"/>
    </row>
    <row r="417" spans="4:4">
      <c r="D417" s="4"/>
    </row>
    <row r="418" spans="4:4">
      <c r="D418" s="4"/>
    </row>
    <row r="419" spans="4:4">
      <c r="D419" s="4"/>
    </row>
    <row r="420" spans="4:4">
      <c r="D420" s="4"/>
    </row>
    <row r="421" spans="4:4">
      <c r="D421" s="4"/>
    </row>
    <row r="422" spans="4:4">
      <c r="D422" s="4"/>
    </row>
    <row r="423" spans="4:4">
      <c r="D423" s="4"/>
    </row>
    <row r="424" spans="4:4">
      <c r="D424" s="4"/>
    </row>
    <row r="425" spans="4:4">
      <c r="D425" s="4"/>
    </row>
    <row r="426" spans="4:4">
      <c r="D426" s="4"/>
    </row>
    <row r="427" spans="4:4">
      <c r="D427" s="4"/>
    </row>
    <row r="428" spans="4:4">
      <c r="D428" s="4"/>
    </row>
    <row r="429" spans="4:4">
      <c r="D429" s="4"/>
    </row>
    <row r="430" spans="4:4">
      <c r="D430" s="4"/>
    </row>
    <row r="431" spans="4:4">
      <c r="D431" s="4"/>
    </row>
    <row r="432" spans="4:4">
      <c r="D432" s="4"/>
    </row>
    <row r="433" spans="4:4">
      <c r="D433" s="4"/>
    </row>
    <row r="434" spans="4:4">
      <c r="D434" s="4"/>
    </row>
    <row r="435" spans="4:4">
      <c r="D435" s="4"/>
    </row>
    <row r="436" spans="4:4">
      <c r="D436" s="4"/>
    </row>
    <row r="437" spans="4:4">
      <c r="D437" s="4"/>
    </row>
    <row r="438" spans="4:4">
      <c r="D438" s="4"/>
    </row>
    <row r="439" spans="4:4">
      <c r="D439" s="4"/>
    </row>
    <row r="440" spans="4:4">
      <c r="D440" s="4"/>
    </row>
    <row r="441" spans="4:4">
      <c r="D441" s="4"/>
    </row>
    <row r="442" spans="4:4">
      <c r="D442" s="4"/>
    </row>
    <row r="443" spans="4:4">
      <c r="D443" s="4"/>
    </row>
    <row r="444" spans="4:4">
      <c r="D444" s="4"/>
    </row>
    <row r="445" spans="4:4">
      <c r="D445" s="4"/>
    </row>
    <row r="446" spans="4:4">
      <c r="D446" s="4"/>
    </row>
    <row r="447" spans="4:4">
      <c r="D447" s="4"/>
    </row>
    <row r="448" spans="4:4">
      <c r="D448" s="4"/>
    </row>
    <row r="449" spans="4:4">
      <c r="D449" s="4"/>
    </row>
    <row r="450" spans="4:4">
      <c r="D450" s="4"/>
    </row>
    <row r="451" spans="4:4">
      <c r="D451" s="4"/>
    </row>
    <row r="452" spans="4:4">
      <c r="D452" s="4"/>
    </row>
    <row r="453" spans="4:4">
      <c r="D453" s="4"/>
    </row>
    <row r="454" spans="4:4">
      <c r="D454" s="4"/>
    </row>
    <row r="455" spans="4:4">
      <c r="D455" s="4"/>
    </row>
    <row r="456" spans="4:4">
      <c r="D456" s="4"/>
    </row>
    <row r="457" spans="4:4">
      <c r="D457" s="4"/>
    </row>
    <row r="458" spans="4:4">
      <c r="D458" s="4"/>
    </row>
    <row r="459" spans="4:4">
      <c r="D459" s="4"/>
    </row>
    <row r="460" spans="4:4">
      <c r="D460" s="4"/>
    </row>
    <row r="461" spans="4:4">
      <c r="D461" s="4"/>
    </row>
    <row r="462" spans="4:4">
      <c r="D462" s="4"/>
    </row>
    <row r="463" spans="4:4">
      <c r="D463" s="4"/>
    </row>
    <row r="464" spans="4:4">
      <c r="D464" s="4"/>
    </row>
    <row r="465" spans="4:4">
      <c r="D465" s="4"/>
    </row>
    <row r="466" spans="4:4">
      <c r="D466" s="4"/>
    </row>
    <row r="467" spans="4:4">
      <c r="D467" s="4"/>
    </row>
    <row r="468" spans="4:4">
      <c r="D468" s="4"/>
    </row>
    <row r="469" spans="4:4">
      <c r="D469" s="4"/>
    </row>
    <row r="470" spans="4:4">
      <c r="D470" s="4"/>
    </row>
    <row r="471" spans="4:4">
      <c r="D471" s="4"/>
    </row>
    <row r="472" spans="4:4">
      <c r="D472" s="4"/>
    </row>
    <row r="473" spans="4:4">
      <c r="D473" s="4"/>
    </row>
    <row r="474" spans="4:4">
      <c r="D474" s="4"/>
    </row>
    <row r="475" spans="4:4">
      <c r="D475" s="4"/>
    </row>
    <row r="476" spans="4:4">
      <c r="D476" s="4"/>
    </row>
    <row r="477" spans="4:4">
      <c r="D477" s="4"/>
    </row>
    <row r="478" spans="4:4">
      <c r="D478" s="4"/>
    </row>
    <row r="479" spans="4:4">
      <c r="D479" s="4"/>
    </row>
    <row r="480" spans="4:4">
      <c r="D480" s="4"/>
    </row>
    <row r="481" spans="4:4">
      <c r="D481" s="4"/>
    </row>
    <row r="482" spans="4:4">
      <c r="D482" s="4"/>
    </row>
    <row r="483" spans="4:4">
      <c r="D483" s="4"/>
    </row>
    <row r="484" spans="4:4">
      <c r="D484" s="4"/>
    </row>
    <row r="485" spans="4:4">
      <c r="D485" s="4"/>
    </row>
    <row r="486" spans="4:4">
      <c r="D486" s="4"/>
    </row>
    <row r="487" spans="4:4">
      <c r="D487" s="4"/>
    </row>
    <row r="488" spans="4:4">
      <c r="D488" s="4"/>
    </row>
    <row r="489" spans="4:4">
      <c r="D489" s="4"/>
    </row>
    <row r="490" spans="4:4">
      <c r="D490" s="4"/>
    </row>
    <row r="491" spans="4:4">
      <c r="D491" s="4"/>
    </row>
    <row r="492" spans="4:4">
      <c r="D492" s="4"/>
    </row>
    <row r="493" spans="4:4">
      <c r="D493" s="4"/>
    </row>
    <row r="494" spans="4:4">
      <c r="D494" s="4"/>
    </row>
    <row r="495" spans="4:4">
      <c r="D495" s="4"/>
    </row>
    <row r="496" spans="4:4">
      <c r="D496" s="4"/>
    </row>
    <row r="497" spans="4:4">
      <c r="D497" s="4"/>
    </row>
    <row r="498" spans="4:4">
      <c r="D498" s="4"/>
    </row>
    <row r="499" spans="4:4">
      <c r="D499" s="4"/>
    </row>
    <row r="500" spans="4:4">
      <c r="D500" s="4"/>
    </row>
    <row r="501" spans="4:4">
      <c r="D501" s="4"/>
    </row>
    <row r="502" spans="4:4">
      <c r="D502" s="4"/>
    </row>
    <row r="503" spans="4:4">
      <c r="D503" s="4"/>
    </row>
    <row r="504" spans="4:4">
      <c r="D504" s="4"/>
    </row>
    <row r="505" spans="4:4">
      <c r="D505" s="4"/>
    </row>
    <row r="506" spans="4:4">
      <c r="D506" s="4"/>
    </row>
    <row r="507" spans="4:4">
      <c r="D507" s="4"/>
    </row>
    <row r="508" spans="4:4">
      <c r="D508" s="4"/>
    </row>
    <row r="509" spans="4:4">
      <c r="D509" s="4"/>
    </row>
    <row r="510" spans="4:4">
      <c r="D510" s="4"/>
    </row>
    <row r="511" spans="4:4">
      <c r="D511" s="4"/>
    </row>
    <row r="512" spans="4:4">
      <c r="D512" s="4"/>
    </row>
    <row r="513" spans="4:4">
      <c r="D513" s="4"/>
    </row>
    <row r="514" spans="4:4">
      <c r="D514" s="4"/>
    </row>
    <row r="515" spans="4:4">
      <c r="D515" s="4"/>
    </row>
    <row r="516" spans="4:4">
      <c r="D516" s="4"/>
    </row>
    <row r="517" spans="4:4">
      <c r="D517" s="4"/>
    </row>
    <row r="518" spans="4:4">
      <c r="D518" s="4"/>
    </row>
    <row r="519" spans="4:4">
      <c r="D519" s="4"/>
    </row>
    <row r="520" spans="4:4">
      <c r="D520" s="4"/>
    </row>
    <row r="521" spans="4:4">
      <c r="D521" s="4"/>
    </row>
    <row r="522" spans="4:4">
      <c r="D522" s="4"/>
    </row>
    <row r="523" spans="4:4">
      <c r="D523" s="4"/>
    </row>
    <row r="524" spans="4:4">
      <c r="D524" s="4"/>
    </row>
    <row r="525" spans="4:4">
      <c r="D525" s="4"/>
    </row>
    <row r="526" spans="4:4">
      <c r="D526" s="4"/>
    </row>
    <row r="527" spans="4:4">
      <c r="D527" s="4"/>
    </row>
    <row r="528" spans="4:4">
      <c r="D528" s="4"/>
    </row>
    <row r="529" spans="4:4">
      <c r="D529" s="4"/>
    </row>
    <row r="530" spans="4:4">
      <c r="D530" s="4"/>
    </row>
    <row r="531" spans="4:4">
      <c r="D531" s="4"/>
    </row>
    <row r="532" spans="4:4">
      <c r="D532" s="4"/>
    </row>
    <row r="533" spans="4:4">
      <c r="D533" s="4"/>
    </row>
    <row r="534" spans="4:4">
      <c r="D534" s="4"/>
    </row>
    <row r="535" spans="4:4">
      <c r="D535" s="4"/>
    </row>
    <row r="536" spans="4:4">
      <c r="D536" s="4"/>
    </row>
    <row r="537" spans="4:4">
      <c r="D537" s="4"/>
    </row>
    <row r="538" spans="4:4">
      <c r="D538" s="4"/>
    </row>
    <row r="539" spans="4:4">
      <c r="D539" s="4"/>
    </row>
    <row r="540" spans="4:4">
      <c r="D540" s="4"/>
    </row>
    <row r="541" spans="4:4">
      <c r="D541" s="4"/>
    </row>
    <row r="542" spans="4:4">
      <c r="D542" s="4"/>
    </row>
    <row r="543" spans="4:4">
      <c r="D543" s="4"/>
    </row>
    <row r="544" spans="4:4">
      <c r="D544" s="4"/>
    </row>
    <row r="545" spans="4:4">
      <c r="D545" s="4"/>
    </row>
    <row r="546" spans="4:4">
      <c r="D546" s="4"/>
    </row>
    <row r="547" spans="4:4">
      <c r="D547" s="4"/>
    </row>
    <row r="548" spans="4:4">
      <c r="D548" s="4"/>
    </row>
    <row r="549" spans="4:4">
      <c r="D549" s="4"/>
    </row>
    <row r="550" spans="4:4">
      <c r="D550" s="4"/>
    </row>
    <row r="551" spans="4:4">
      <c r="D551" s="4"/>
    </row>
    <row r="552" spans="4:4">
      <c r="D552" s="4"/>
    </row>
    <row r="553" spans="4:4">
      <c r="D553" s="4"/>
    </row>
    <row r="554" spans="4:4">
      <c r="D554" s="4"/>
    </row>
    <row r="555" spans="4:4">
      <c r="D555" s="4"/>
    </row>
    <row r="556" spans="4:4">
      <c r="D556" s="4"/>
    </row>
    <row r="557" spans="4:4">
      <c r="D557" s="4"/>
    </row>
    <row r="558" spans="4:4">
      <c r="D558" s="4"/>
    </row>
    <row r="559" spans="4:4">
      <c r="D559" s="4"/>
    </row>
    <row r="560" spans="4:4">
      <c r="D560" s="4"/>
    </row>
    <row r="561" spans="4:4">
      <c r="D561" s="4"/>
    </row>
    <row r="562" spans="4:4">
      <c r="D562" s="4"/>
    </row>
    <row r="563" spans="4:4">
      <c r="D563" s="4"/>
    </row>
    <row r="564" spans="4:4">
      <c r="D564" s="4"/>
    </row>
    <row r="565" spans="4:4">
      <c r="D565" s="4"/>
    </row>
    <row r="566" spans="4:4">
      <c r="D566" s="4"/>
    </row>
    <row r="567" spans="4:4">
      <c r="D567" s="4"/>
    </row>
    <row r="568" spans="4:4">
      <c r="D568" s="4"/>
    </row>
    <row r="569" spans="4:4">
      <c r="D569" s="4"/>
    </row>
    <row r="570" spans="4:4">
      <c r="D570" s="4"/>
    </row>
    <row r="571" spans="4:4">
      <c r="D571" s="4"/>
    </row>
    <row r="572" spans="4:4">
      <c r="D572" s="4"/>
    </row>
    <row r="573" spans="4:4">
      <c r="D573" s="4"/>
    </row>
    <row r="574" spans="4:4">
      <c r="D574" s="4"/>
    </row>
    <row r="575" spans="4:4">
      <c r="D575" s="4"/>
    </row>
    <row r="576" spans="4:4">
      <c r="D576" s="4"/>
    </row>
    <row r="577" spans="4:4">
      <c r="D577" s="4"/>
    </row>
    <row r="578" spans="4:4">
      <c r="D578" s="4"/>
    </row>
    <row r="579" spans="4:4">
      <c r="D579" s="4"/>
    </row>
    <row r="580" spans="4:4">
      <c r="D580" s="4"/>
    </row>
    <row r="581" spans="4:4">
      <c r="D581" s="4"/>
    </row>
    <row r="582" spans="4:4">
      <c r="D582" s="4"/>
    </row>
    <row r="583" spans="4:4">
      <c r="D583" s="4"/>
    </row>
    <row r="584" spans="4:4">
      <c r="D584" s="4"/>
    </row>
    <row r="585" spans="4:4">
      <c r="D585" s="4"/>
    </row>
    <row r="586" spans="4:4">
      <c r="D586" s="4"/>
    </row>
    <row r="587" spans="4:4">
      <c r="D587" s="4"/>
    </row>
    <row r="588" spans="4:4">
      <c r="D588" s="4"/>
    </row>
    <row r="589" spans="4:4">
      <c r="D589" s="4"/>
    </row>
    <row r="590" spans="4:4">
      <c r="D590" s="4"/>
    </row>
    <row r="591" spans="4:4">
      <c r="D591" s="4"/>
    </row>
    <row r="592" spans="4:4">
      <c r="D592" s="4"/>
    </row>
    <row r="593" spans="4:4">
      <c r="D593" s="4"/>
    </row>
    <row r="594" spans="4:4">
      <c r="D594" s="4"/>
    </row>
    <row r="595" spans="4:4">
      <c r="D595" s="4"/>
    </row>
    <row r="596" spans="4:4">
      <c r="D596" s="4"/>
    </row>
    <row r="597" spans="4:4">
      <c r="D597" s="4"/>
    </row>
    <row r="598" spans="4:4">
      <c r="D598" s="4"/>
    </row>
    <row r="599" spans="4:4">
      <c r="D599" s="4"/>
    </row>
    <row r="600" spans="4:4">
      <c r="D600" s="4"/>
    </row>
    <row r="601" spans="4:4">
      <c r="D601" s="4"/>
    </row>
    <row r="602" spans="4:4">
      <c r="D602" s="4"/>
    </row>
    <row r="603" spans="4:4">
      <c r="D603" s="4"/>
    </row>
    <row r="604" spans="4:4">
      <c r="D604" s="4"/>
    </row>
    <row r="605" spans="4:4">
      <c r="D605" s="4"/>
    </row>
    <row r="606" spans="4:4">
      <c r="D606" s="4"/>
    </row>
    <row r="607" spans="4:4">
      <c r="D607" s="4"/>
    </row>
    <row r="608" spans="4:4">
      <c r="D608" s="4"/>
    </row>
    <row r="609" spans="4:4">
      <c r="D609" s="4"/>
    </row>
    <row r="610" spans="4:4">
      <c r="D610" s="4"/>
    </row>
    <row r="611" spans="4:4">
      <c r="D611" s="4"/>
    </row>
    <row r="612" spans="4:4">
      <c r="D612" s="4"/>
    </row>
    <row r="613" spans="4:4">
      <c r="D613" s="4"/>
    </row>
    <row r="614" spans="4:4">
      <c r="D614" s="4"/>
    </row>
    <row r="615" spans="4:4">
      <c r="D615" s="4"/>
    </row>
    <row r="616" spans="4:4">
      <c r="D616" s="4"/>
    </row>
    <row r="617" spans="4:4">
      <c r="D617" s="4"/>
    </row>
    <row r="618" spans="4:4">
      <c r="D618" s="4"/>
    </row>
    <row r="619" spans="4:4">
      <c r="D619" s="4"/>
    </row>
    <row r="620" spans="4:4">
      <c r="D620" s="4"/>
    </row>
    <row r="621" spans="4:4">
      <c r="D621" s="4"/>
    </row>
    <row r="622" spans="4:4">
      <c r="D622" s="4"/>
    </row>
    <row r="623" spans="4:4">
      <c r="D623" s="4"/>
    </row>
    <row r="624" spans="4:4">
      <c r="D624" s="4"/>
    </row>
    <row r="625" spans="4:4">
      <c r="D625" s="4"/>
    </row>
    <row r="626" spans="4:4">
      <c r="D626" s="4"/>
    </row>
    <row r="627" spans="4:4">
      <c r="D627" s="4"/>
    </row>
    <row r="628" spans="4:4">
      <c r="D628" s="4"/>
    </row>
    <row r="629" spans="4:4">
      <c r="D629" s="4"/>
    </row>
    <row r="630" spans="4:4">
      <c r="D630" s="4"/>
    </row>
    <row r="631" spans="4:4">
      <c r="D631" s="4"/>
    </row>
    <row r="632" spans="4:4">
      <c r="D632" s="4"/>
    </row>
    <row r="633" spans="4:4">
      <c r="D633" s="4"/>
    </row>
    <row r="634" spans="4:4">
      <c r="D634" s="4"/>
    </row>
    <row r="635" spans="4:4">
      <c r="D635" s="4"/>
    </row>
    <row r="636" spans="4:4">
      <c r="D636" s="4"/>
    </row>
    <row r="637" spans="4:4">
      <c r="D637" s="4"/>
    </row>
    <row r="638" spans="4:4">
      <c r="D638" s="4"/>
    </row>
    <row r="639" spans="4:4">
      <c r="D639" s="4"/>
    </row>
    <row r="640" spans="4:4">
      <c r="D640" s="4"/>
    </row>
    <row r="641" spans="4:4">
      <c r="D641" s="4"/>
    </row>
    <row r="642" spans="4:4">
      <c r="D642" s="4"/>
    </row>
    <row r="643" spans="4:4">
      <c r="D643" s="4"/>
    </row>
    <row r="644" spans="4:4">
      <c r="D644" s="4"/>
    </row>
    <row r="645" spans="4:4">
      <c r="D645" s="4"/>
    </row>
    <row r="646" spans="4:4">
      <c r="D646" s="4"/>
    </row>
    <row r="647" spans="4:4">
      <c r="D647" s="4"/>
    </row>
    <row r="648" spans="4:4">
      <c r="D648" s="4"/>
    </row>
    <row r="649" spans="4:4">
      <c r="D649" s="4"/>
    </row>
    <row r="650" spans="4:4">
      <c r="D650" s="4"/>
    </row>
    <row r="651" spans="4:4">
      <c r="D651" s="4"/>
    </row>
    <row r="652" spans="4:4">
      <c r="D652" s="4"/>
    </row>
    <row r="653" spans="4:4">
      <c r="D653" s="4"/>
    </row>
    <row r="654" spans="4:4">
      <c r="D654" s="4"/>
    </row>
    <row r="655" spans="4:4">
      <c r="D655" s="4"/>
    </row>
    <row r="656" spans="4:4">
      <c r="D656" s="4"/>
    </row>
    <row r="657" spans="4:4">
      <c r="D657" s="4"/>
    </row>
    <row r="658" spans="4:4">
      <c r="D658" s="4"/>
    </row>
    <row r="659" spans="4:4">
      <c r="D659" s="4"/>
    </row>
    <row r="660" spans="4:4">
      <c r="D660" s="4"/>
    </row>
    <row r="661" spans="4:4">
      <c r="D661" s="4"/>
    </row>
    <row r="662" spans="4:4">
      <c r="D662" s="4"/>
    </row>
    <row r="663" spans="4:4">
      <c r="D663" s="4"/>
    </row>
    <row r="664" spans="4:4">
      <c r="D664" s="4"/>
    </row>
    <row r="665" spans="4:4">
      <c r="D665" s="4"/>
    </row>
    <row r="666" spans="4:4">
      <c r="D666" s="4"/>
    </row>
    <row r="667" spans="4:4">
      <c r="D667" s="4"/>
    </row>
    <row r="668" spans="4:4">
      <c r="D668" s="4"/>
    </row>
    <row r="669" spans="4:4">
      <c r="D669" s="4"/>
    </row>
    <row r="670" spans="4:4">
      <c r="D670" s="4"/>
    </row>
    <row r="671" spans="4:4">
      <c r="D671" s="4"/>
    </row>
    <row r="672" spans="4:4">
      <c r="D672" s="4"/>
    </row>
    <row r="673" spans="4:4">
      <c r="D673" s="4"/>
    </row>
    <row r="674" spans="4:4">
      <c r="D674" s="4"/>
    </row>
    <row r="675" spans="4:4">
      <c r="D675" s="4"/>
    </row>
    <row r="676" spans="4:4">
      <c r="D676" s="4"/>
    </row>
    <row r="677" spans="4:4">
      <c r="D677" s="4"/>
    </row>
    <row r="678" spans="4:4">
      <c r="D678" s="4"/>
    </row>
    <row r="679" spans="4:4">
      <c r="D679" s="4"/>
    </row>
    <row r="680" spans="4:4">
      <c r="D680" s="4"/>
    </row>
    <row r="681" spans="4:4">
      <c r="D681" s="4"/>
    </row>
    <row r="682" spans="4:4">
      <c r="D682" s="4"/>
    </row>
    <row r="683" spans="4:4">
      <c r="D683" s="4"/>
    </row>
    <row r="684" spans="4:4">
      <c r="D684" s="4"/>
    </row>
    <row r="685" spans="4:4">
      <c r="D685" s="4"/>
    </row>
    <row r="686" spans="4:4">
      <c r="D686" s="4"/>
    </row>
    <row r="687" spans="4:4">
      <c r="D687" s="4"/>
    </row>
    <row r="688" spans="4:4">
      <c r="D688" s="4"/>
    </row>
    <row r="689" spans="4:4">
      <c r="D689" s="4"/>
    </row>
    <row r="690" spans="4:4">
      <c r="D690" s="4"/>
    </row>
    <row r="691" spans="4:4">
      <c r="D691" s="4"/>
    </row>
    <row r="692" spans="4:4">
      <c r="D692" s="4"/>
    </row>
    <row r="693" spans="4:4">
      <c r="D693" s="4"/>
    </row>
    <row r="694" spans="4:4">
      <c r="D694" s="4"/>
    </row>
    <row r="695" spans="4:4">
      <c r="D695" s="4"/>
    </row>
    <row r="696" spans="4:4">
      <c r="D696" s="4"/>
    </row>
    <row r="697" spans="4:4">
      <c r="D697" s="4"/>
    </row>
    <row r="698" spans="4:4">
      <c r="D698" s="4"/>
    </row>
    <row r="699" spans="4:4">
      <c r="D699" s="4"/>
    </row>
    <row r="700" spans="4:4">
      <c r="D700" s="4"/>
    </row>
    <row r="701" spans="4:4">
      <c r="D701" s="4"/>
    </row>
    <row r="702" spans="4:4">
      <c r="D702" s="4"/>
    </row>
    <row r="703" spans="4:4">
      <c r="D703" s="4"/>
    </row>
    <row r="704" spans="4:4">
      <c r="D704" s="4"/>
    </row>
    <row r="705" spans="4:4">
      <c r="D705" s="4"/>
    </row>
    <row r="706" spans="4:4">
      <c r="D706" s="4"/>
    </row>
    <row r="707" spans="4:4">
      <c r="D707" s="4"/>
    </row>
    <row r="708" spans="4:4">
      <c r="D708" s="4"/>
    </row>
    <row r="709" spans="4:4">
      <c r="D709" s="4"/>
    </row>
    <row r="710" spans="4:4">
      <c r="D710" s="4"/>
    </row>
    <row r="711" spans="4:4">
      <c r="D711" s="4"/>
    </row>
    <row r="712" spans="4:4">
      <c r="D712" s="4"/>
    </row>
    <row r="713" spans="4:4">
      <c r="D713" s="4"/>
    </row>
    <row r="714" spans="4:4">
      <c r="D714" s="4"/>
    </row>
    <row r="715" spans="4:4">
      <c r="D715" s="4"/>
    </row>
    <row r="716" spans="4:4">
      <c r="D716" s="4"/>
    </row>
    <row r="717" spans="4:4">
      <c r="D717" s="4"/>
    </row>
    <row r="718" spans="4:4">
      <c r="D718" s="4"/>
    </row>
    <row r="719" spans="4:4">
      <c r="D719" s="4"/>
    </row>
    <row r="720" spans="4:4">
      <c r="D720" s="4"/>
    </row>
    <row r="721" spans="4:4">
      <c r="D721" s="4"/>
    </row>
    <row r="722" spans="4:4">
      <c r="D722" s="4"/>
    </row>
    <row r="723" spans="4:4">
      <c r="D723" s="4"/>
    </row>
    <row r="724" spans="4:4">
      <c r="D724" s="4"/>
    </row>
    <row r="725" spans="4:4">
      <c r="D725" s="4"/>
    </row>
    <row r="726" spans="4:4">
      <c r="D726" s="4"/>
    </row>
    <row r="727" spans="4:4">
      <c r="D727" s="4"/>
    </row>
    <row r="728" spans="4:4">
      <c r="D728" s="4"/>
    </row>
    <row r="729" spans="4:4">
      <c r="D729" s="4"/>
    </row>
    <row r="730" spans="4:4">
      <c r="D730" s="4"/>
    </row>
    <row r="731" spans="4:4">
      <c r="D731" s="4"/>
    </row>
    <row r="732" spans="4:4">
      <c r="D732" s="4"/>
    </row>
    <row r="733" spans="4:4">
      <c r="D733" s="4"/>
    </row>
    <row r="734" spans="4:4">
      <c r="D734" s="4"/>
    </row>
    <row r="735" spans="4:4">
      <c r="D735" s="4"/>
    </row>
    <row r="736" spans="4:4">
      <c r="D736" s="4"/>
    </row>
    <row r="737" spans="4:4">
      <c r="D737" s="4"/>
    </row>
    <row r="738" spans="4:4">
      <c r="D738" s="4"/>
    </row>
    <row r="739" spans="4:4">
      <c r="D739" s="4"/>
    </row>
    <row r="740" spans="4:4">
      <c r="D740" s="4"/>
    </row>
    <row r="741" spans="4:4">
      <c r="D741" s="4"/>
    </row>
    <row r="742" spans="4:4">
      <c r="D742" s="4"/>
    </row>
    <row r="743" spans="4:4">
      <c r="D743" s="4"/>
    </row>
    <row r="744" spans="4:4">
      <c r="D744" s="4"/>
    </row>
    <row r="745" spans="4:4">
      <c r="D745" s="4"/>
    </row>
    <row r="746" spans="4:4">
      <c r="D746" s="4"/>
    </row>
    <row r="747" spans="4:4">
      <c r="D747" s="4"/>
    </row>
    <row r="748" spans="4:4">
      <c r="D748" s="4"/>
    </row>
    <row r="749" spans="4:4">
      <c r="D749" s="4"/>
    </row>
    <row r="750" spans="4:4">
      <c r="D750" s="4"/>
    </row>
    <row r="751" spans="4:4">
      <c r="D751" s="4"/>
    </row>
    <row r="752" spans="4:4">
      <c r="D752" s="4"/>
    </row>
    <row r="753" spans="4:4">
      <c r="D753" s="4"/>
    </row>
    <row r="754" spans="4:4">
      <c r="D754" s="4"/>
    </row>
    <row r="755" spans="4:4">
      <c r="D755" s="4"/>
    </row>
    <row r="756" spans="4:4">
      <c r="D756" s="4"/>
    </row>
    <row r="757" spans="4:4">
      <c r="D757" s="4"/>
    </row>
    <row r="758" spans="4:4">
      <c r="D758" s="4"/>
    </row>
    <row r="759" spans="4:4">
      <c r="D759" s="4"/>
    </row>
    <row r="760" spans="4:4">
      <c r="D760" s="4"/>
    </row>
    <row r="761" spans="4:4">
      <c r="D761" s="4"/>
    </row>
    <row r="762" spans="4:4">
      <c r="D762" s="4"/>
    </row>
    <row r="763" spans="4:4">
      <c r="D763" s="4"/>
    </row>
    <row r="764" spans="4:4">
      <c r="D764" s="4"/>
    </row>
    <row r="765" spans="4:4">
      <c r="D765" s="4"/>
    </row>
    <row r="766" spans="4:4">
      <c r="D766" s="4"/>
    </row>
    <row r="767" spans="4:4">
      <c r="D767" s="4"/>
    </row>
    <row r="768" spans="4:4">
      <c r="D768" s="4"/>
    </row>
    <row r="769" spans="4:4">
      <c r="D769" s="4"/>
    </row>
    <row r="770" spans="4:4">
      <c r="D770" s="4"/>
    </row>
    <row r="771" spans="4:4">
      <c r="D771" s="4"/>
    </row>
    <row r="772" spans="4:4">
      <c r="D772" s="4"/>
    </row>
    <row r="773" spans="4:4">
      <c r="D773" s="4"/>
    </row>
    <row r="774" spans="4:4">
      <c r="D774" s="4"/>
    </row>
    <row r="775" spans="4:4">
      <c r="D775" s="4"/>
    </row>
    <row r="776" spans="4:4">
      <c r="D776" s="4"/>
    </row>
    <row r="777" spans="4:4">
      <c r="D777" s="4"/>
    </row>
    <row r="778" spans="4:4">
      <c r="D778" s="4"/>
    </row>
    <row r="779" spans="4:4">
      <c r="D779" s="4"/>
    </row>
    <row r="780" spans="4:4">
      <c r="D780" s="4"/>
    </row>
    <row r="781" spans="4:4">
      <c r="D781" s="4"/>
    </row>
    <row r="782" spans="4:4">
      <c r="D782" s="4"/>
    </row>
    <row r="783" spans="4:4">
      <c r="D783" s="4"/>
    </row>
    <row r="784" spans="4:4">
      <c r="D784" s="4"/>
    </row>
    <row r="785" spans="4:4">
      <c r="D785" s="4"/>
    </row>
    <row r="786" spans="4:4">
      <c r="D786" s="4"/>
    </row>
    <row r="787" spans="4:4">
      <c r="D787" s="4"/>
    </row>
    <row r="788" spans="4:4">
      <c r="D788" s="4"/>
    </row>
    <row r="789" spans="4:4">
      <c r="D789" s="4"/>
    </row>
    <row r="790" spans="4:4">
      <c r="D790" s="4"/>
    </row>
    <row r="791" spans="4:4">
      <c r="D791" s="4"/>
    </row>
    <row r="792" spans="4:4">
      <c r="D792" s="4"/>
    </row>
    <row r="793" spans="4:4">
      <c r="D793" s="4"/>
    </row>
    <row r="794" spans="4:4">
      <c r="D794" s="4"/>
    </row>
    <row r="795" spans="4:4">
      <c r="D795" s="4"/>
    </row>
    <row r="796" spans="4:4">
      <c r="D796" s="4"/>
    </row>
    <row r="797" spans="4:4">
      <c r="D797" s="4"/>
    </row>
    <row r="798" spans="4:4">
      <c r="D798" s="4"/>
    </row>
    <row r="799" spans="4:4">
      <c r="D799" s="4"/>
    </row>
    <row r="800" spans="4:4">
      <c r="D800" s="4"/>
    </row>
    <row r="801" spans="4:4">
      <c r="D801" s="4"/>
    </row>
    <row r="802" spans="4:4">
      <c r="D802" s="4"/>
    </row>
    <row r="803" spans="4:4">
      <c r="D803" s="4"/>
    </row>
    <row r="804" spans="4:4">
      <c r="D804" s="4"/>
    </row>
    <row r="805" spans="4:4">
      <c r="D805" s="4"/>
    </row>
    <row r="806" spans="4:4">
      <c r="D806" s="4"/>
    </row>
    <row r="807" spans="4:4">
      <c r="D807" s="4"/>
    </row>
    <row r="808" spans="4:4">
      <c r="D808" s="4"/>
    </row>
    <row r="809" spans="4:4">
      <c r="D809" s="4"/>
    </row>
    <row r="810" spans="4:4">
      <c r="D810" s="4"/>
    </row>
    <row r="811" spans="4:4">
      <c r="D811" s="4"/>
    </row>
    <row r="812" spans="4:4">
      <c r="D812" s="4"/>
    </row>
    <row r="813" spans="4:4">
      <c r="D813" s="4"/>
    </row>
    <row r="814" spans="4:4">
      <c r="D814" s="4"/>
    </row>
    <row r="815" spans="4:4">
      <c r="D815" s="4"/>
    </row>
    <row r="816" spans="4:4">
      <c r="D816" s="4"/>
    </row>
    <row r="817" spans="4:4">
      <c r="D817" s="4"/>
    </row>
    <row r="818" spans="4:4">
      <c r="D818" s="4"/>
    </row>
    <row r="819" spans="4:4">
      <c r="D819" s="4"/>
    </row>
    <row r="820" spans="4:4">
      <c r="D820" s="4"/>
    </row>
    <row r="821" spans="4:4">
      <c r="D821" s="4"/>
    </row>
    <row r="822" spans="4:4">
      <c r="D822" s="4"/>
    </row>
    <row r="823" spans="4:4">
      <c r="D823" s="4"/>
    </row>
    <row r="824" spans="4:4">
      <c r="D824" s="4"/>
    </row>
    <row r="825" spans="4:4">
      <c r="D825" s="4"/>
    </row>
    <row r="826" spans="4:4">
      <c r="D826" s="4"/>
    </row>
    <row r="827" spans="4:4">
      <c r="D827" s="4"/>
    </row>
    <row r="828" spans="4:4">
      <c r="D828" s="4"/>
    </row>
    <row r="829" spans="4:4">
      <c r="D829" s="4"/>
    </row>
    <row r="830" spans="4:4">
      <c r="D830" s="4"/>
    </row>
    <row r="831" spans="4:4">
      <c r="D831" s="4"/>
    </row>
    <row r="832" spans="4:4">
      <c r="D832" s="4"/>
    </row>
    <row r="833" spans="4:4">
      <c r="D833" s="4"/>
    </row>
    <row r="834" spans="4:4">
      <c r="D834" s="4"/>
    </row>
    <row r="835" spans="4:4">
      <c r="D835" s="4"/>
    </row>
    <row r="836" spans="4:4">
      <c r="D836" s="4"/>
    </row>
    <row r="837" spans="4:4">
      <c r="D837" s="4"/>
    </row>
    <row r="838" spans="4:4">
      <c r="D838" s="4"/>
    </row>
    <row r="839" spans="4:4">
      <c r="D839" s="4"/>
    </row>
    <row r="840" spans="4:4">
      <c r="D840" s="4"/>
    </row>
    <row r="841" spans="4:4">
      <c r="D841" s="4"/>
    </row>
    <row r="842" spans="4:4">
      <c r="D842" s="4"/>
    </row>
    <row r="843" spans="4:4">
      <c r="D843" s="4"/>
    </row>
    <row r="844" spans="4:4">
      <c r="D844" s="4"/>
    </row>
    <row r="845" spans="4:4">
      <c r="D845" s="4"/>
    </row>
    <row r="846" spans="4:4">
      <c r="D846" s="4"/>
    </row>
    <row r="847" spans="4:4">
      <c r="D847" s="4"/>
    </row>
    <row r="848" spans="4:4">
      <c r="D848" s="4"/>
    </row>
    <row r="849" spans="4:4">
      <c r="D849" s="4"/>
    </row>
    <row r="850" spans="4:4">
      <c r="D850" s="4"/>
    </row>
    <row r="851" spans="4:4">
      <c r="D851" s="4"/>
    </row>
    <row r="852" spans="4:4">
      <c r="D852" s="4"/>
    </row>
    <row r="853" spans="4:4">
      <c r="D853" s="4"/>
    </row>
    <row r="854" spans="4:4">
      <c r="D854" s="4"/>
    </row>
    <row r="855" spans="4:4">
      <c r="D855" s="4"/>
    </row>
    <row r="856" spans="4:4">
      <c r="D856" s="4"/>
    </row>
    <row r="857" spans="4:4">
      <c r="D857" s="4"/>
    </row>
    <row r="858" spans="4:4">
      <c r="D858" s="4"/>
    </row>
    <row r="859" spans="4:4">
      <c r="D859" s="4"/>
    </row>
    <row r="860" spans="4:4">
      <c r="D860" s="4"/>
    </row>
    <row r="861" spans="4:4">
      <c r="D861" s="4"/>
    </row>
    <row r="862" spans="4:4">
      <c r="D862" s="4"/>
    </row>
    <row r="863" spans="4:4">
      <c r="D863" s="4"/>
    </row>
    <row r="864" spans="4:4">
      <c r="D864" s="4"/>
    </row>
    <row r="865" spans="4:4">
      <c r="D865" s="4"/>
    </row>
    <row r="866" spans="4:4">
      <c r="D866" s="4"/>
    </row>
    <row r="867" spans="4:4">
      <c r="D867" s="4"/>
    </row>
    <row r="868" spans="4:4">
      <c r="D868" s="4"/>
    </row>
    <row r="869" spans="4:4">
      <c r="D869" s="4"/>
    </row>
    <row r="870" spans="4:4">
      <c r="D870" s="4"/>
    </row>
    <row r="871" spans="4:4">
      <c r="D871" s="4"/>
    </row>
    <row r="872" spans="4:4">
      <c r="D872" s="4"/>
    </row>
    <row r="873" spans="4:4">
      <c r="D873" s="4"/>
    </row>
    <row r="874" spans="4:4">
      <c r="D874" s="4"/>
    </row>
    <row r="875" spans="4:4">
      <c r="D875" s="4"/>
    </row>
    <row r="876" spans="4:4">
      <c r="D876" s="4"/>
    </row>
    <row r="877" spans="4:4">
      <c r="D877" s="4"/>
    </row>
    <row r="878" spans="4:4">
      <c r="D878" s="4"/>
    </row>
    <row r="879" spans="4:4">
      <c r="D879" s="4"/>
    </row>
    <row r="880" spans="4:4">
      <c r="D880" s="4"/>
    </row>
    <row r="881" spans="4:4">
      <c r="D881" s="4"/>
    </row>
    <row r="882" spans="4:4">
      <c r="D882" s="4"/>
    </row>
    <row r="883" spans="4:4">
      <c r="D883" s="4"/>
    </row>
    <row r="884" spans="4:4">
      <c r="D884" s="4"/>
    </row>
    <row r="885" spans="4:4">
      <c r="D885" s="4"/>
    </row>
    <row r="886" spans="4:4">
      <c r="D886" s="4"/>
    </row>
    <row r="887" spans="4:4">
      <c r="D887" s="4"/>
    </row>
    <row r="888" spans="4:4">
      <c r="D888" s="4"/>
    </row>
    <row r="889" spans="4:4">
      <c r="D889" s="4"/>
    </row>
    <row r="890" spans="4:4">
      <c r="D890" s="4"/>
    </row>
    <row r="891" spans="4:4">
      <c r="D891" s="4"/>
    </row>
    <row r="892" spans="4:4">
      <c r="D892" s="4"/>
    </row>
    <row r="893" spans="4:4">
      <c r="D893" s="4"/>
    </row>
    <row r="894" spans="4:4">
      <c r="D894" s="4"/>
    </row>
    <row r="895" spans="4:4">
      <c r="D895" s="4"/>
    </row>
    <row r="896" spans="4:4">
      <c r="D896" s="4"/>
    </row>
    <row r="897" spans="4:4">
      <c r="D897" s="4"/>
    </row>
    <row r="898" spans="4:4">
      <c r="D898" s="4"/>
    </row>
    <row r="899" spans="4:4">
      <c r="D899" s="4"/>
    </row>
    <row r="900" spans="4:4">
      <c r="D900" s="4"/>
    </row>
    <row r="901" spans="4:4">
      <c r="D901" s="4"/>
    </row>
    <row r="902" spans="4:4">
      <c r="D902" s="4"/>
    </row>
    <row r="903" spans="4:4">
      <c r="D903" s="4"/>
    </row>
    <row r="904" spans="4:4">
      <c r="D904" s="4"/>
    </row>
    <row r="905" spans="4:4">
      <c r="D905" s="4"/>
    </row>
    <row r="906" spans="4:4">
      <c r="D906" s="4"/>
    </row>
    <row r="907" spans="4:4">
      <c r="D907" s="4"/>
    </row>
    <row r="908" spans="4:4">
      <c r="D908" s="4"/>
    </row>
    <row r="909" spans="4:4">
      <c r="D909" s="4"/>
    </row>
    <row r="910" spans="4:4">
      <c r="D910" s="4"/>
    </row>
    <row r="911" spans="4:4">
      <c r="D911" s="4"/>
    </row>
    <row r="912" spans="4:4">
      <c r="D912" s="4"/>
    </row>
    <row r="913" spans="4:4">
      <c r="D913" s="4"/>
    </row>
    <row r="914" spans="4:4">
      <c r="D914" s="4"/>
    </row>
    <row r="915" spans="4:4">
      <c r="D915" s="4"/>
    </row>
    <row r="916" spans="4:4">
      <c r="D916" s="4"/>
    </row>
    <row r="917" spans="4:4">
      <c r="D917" s="4"/>
    </row>
    <row r="918" spans="4:4">
      <c r="D918" s="4"/>
    </row>
    <row r="919" spans="4:4">
      <c r="D919" s="4"/>
    </row>
    <row r="920" spans="4:4">
      <c r="D920" s="4"/>
    </row>
    <row r="921" spans="4:4">
      <c r="D921" s="4"/>
    </row>
    <row r="922" spans="4:4">
      <c r="D922" s="4"/>
    </row>
    <row r="923" spans="4:4">
      <c r="D923" s="4"/>
    </row>
    <row r="924" spans="4:4">
      <c r="D924" s="4"/>
    </row>
    <row r="925" spans="4:4">
      <c r="D925" s="4"/>
    </row>
    <row r="926" spans="4:4">
      <c r="D926" s="4"/>
    </row>
    <row r="927" spans="4:4">
      <c r="D927" s="4"/>
    </row>
    <row r="928" spans="4:4">
      <c r="D928" s="4"/>
    </row>
    <row r="929" spans="4:4">
      <c r="D929" s="4"/>
    </row>
    <row r="930" spans="4:4">
      <c r="D930" s="4"/>
    </row>
    <row r="931" spans="4:4">
      <c r="D931" s="4"/>
    </row>
    <row r="932" spans="4:4">
      <c r="D932" s="4"/>
    </row>
    <row r="933" spans="4:4">
      <c r="D933" s="4"/>
    </row>
    <row r="934" spans="4:4">
      <c r="D934" s="4"/>
    </row>
    <row r="935" spans="4:4">
      <c r="D935" s="4"/>
    </row>
    <row r="936" spans="4:4">
      <c r="D936" s="4"/>
    </row>
    <row r="937" spans="4:4">
      <c r="D937" s="4"/>
    </row>
    <row r="938" spans="4:4">
      <c r="D938" s="4"/>
    </row>
    <row r="939" spans="4:4">
      <c r="D939" s="4"/>
    </row>
    <row r="940" spans="4:4">
      <c r="D940" s="4"/>
    </row>
    <row r="941" spans="4:4">
      <c r="D941" s="4"/>
    </row>
    <row r="942" spans="4:4">
      <c r="D942" s="4"/>
    </row>
    <row r="943" spans="4:4">
      <c r="D943" s="4"/>
    </row>
    <row r="944" spans="4:4">
      <c r="D944" s="4"/>
    </row>
    <row r="945" spans="4:4">
      <c r="D945" s="4"/>
    </row>
    <row r="946" spans="4:4">
      <c r="D946" s="4"/>
    </row>
    <row r="947" spans="4:4">
      <c r="D947" s="4"/>
    </row>
    <row r="948" spans="4:4">
      <c r="D948" s="4"/>
    </row>
    <row r="949" spans="4:4">
      <c r="D949" s="4"/>
    </row>
    <row r="950" spans="4:4">
      <c r="D950" s="4"/>
    </row>
    <row r="951" spans="4:4">
      <c r="D951" s="4"/>
    </row>
    <row r="952" spans="4:4">
      <c r="D952" s="4"/>
    </row>
    <row r="953" spans="4:4">
      <c r="D953" s="4"/>
    </row>
    <row r="954" spans="4:4">
      <c r="D954" s="4"/>
    </row>
    <row r="955" spans="4:4">
      <c r="D955" s="4"/>
    </row>
    <row r="956" spans="4:4">
      <c r="D956" s="4"/>
    </row>
    <row r="957" spans="4:4">
      <c r="D957" s="4"/>
    </row>
    <row r="958" spans="4:4">
      <c r="D958" s="4"/>
    </row>
    <row r="959" spans="4:4">
      <c r="D959" s="4"/>
    </row>
    <row r="960" spans="4:4">
      <c r="D960" s="4"/>
    </row>
    <row r="961" spans="4:4">
      <c r="D961" s="4"/>
    </row>
    <row r="962" spans="4:4">
      <c r="D962" s="4"/>
    </row>
    <row r="963" spans="4:4">
      <c r="D963" s="4"/>
    </row>
    <row r="964" spans="4:4">
      <c r="D964" s="4"/>
    </row>
    <row r="965" spans="4:4">
      <c r="D965" s="4"/>
    </row>
    <row r="966" spans="4:4">
      <c r="D966" s="4"/>
    </row>
    <row r="967" spans="4:4">
      <c r="D967" s="4"/>
    </row>
    <row r="968" spans="4:4">
      <c r="D968" s="4"/>
    </row>
    <row r="969" spans="4:4">
      <c r="D969" s="4"/>
    </row>
    <row r="970" spans="4:4">
      <c r="D970" s="4"/>
    </row>
    <row r="971" spans="4:4">
      <c r="D971" s="4"/>
    </row>
    <row r="972" spans="4:4">
      <c r="D972" s="4"/>
    </row>
    <row r="973" spans="4:4">
      <c r="D973" s="4"/>
    </row>
    <row r="974" spans="4:4">
      <c r="D974" s="4"/>
    </row>
    <row r="975" spans="4:4">
      <c r="D975" s="4"/>
    </row>
    <row r="976" spans="4:4">
      <c r="D976" s="4"/>
    </row>
    <row r="977" spans="4:4">
      <c r="D977" s="4"/>
    </row>
    <row r="978" spans="4:4">
      <c r="D978" s="4"/>
    </row>
    <row r="979" spans="4:4">
      <c r="D979" s="4"/>
    </row>
    <row r="980" spans="4:4">
      <c r="D980" s="4"/>
    </row>
    <row r="981" spans="4:4">
      <c r="D981" s="4"/>
    </row>
    <row r="982" spans="4:4">
      <c r="D982" s="4"/>
    </row>
    <row r="983" spans="4:4">
      <c r="D983" s="4"/>
    </row>
    <row r="984" spans="4:4">
      <c r="D984" s="4"/>
    </row>
    <row r="985" spans="4:4">
      <c r="D985" s="4"/>
    </row>
    <row r="986" spans="4:4">
      <c r="D986" s="4"/>
    </row>
    <row r="987" spans="4:4">
      <c r="D987" s="4"/>
    </row>
    <row r="988" spans="4:4">
      <c r="D988" s="4"/>
    </row>
    <row r="989" spans="4:4">
      <c r="D989" s="4"/>
    </row>
    <row r="990" spans="4:4">
      <c r="D990" s="4"/>
    </row>
    <row r="991" spans="4:4">
      <c r="D991" s="4"/>
    </row>
    <row r="992" spans="4:4">
      <c r="D992" s="4"/>
    </row>
    <row r="993" spans="4:4">
      <c r="D993" s="4"/>
    </row>
    <row r="994" spans="4:4">
      <c r="D994" s="4"/>
    </row>
    <row r="995" spans="4:4">
      <c r="D995" s="4"/>
    </row>
    <row r="996" spans="4:4">
      <c r="D996" s="4"/>
    </row>
    <row r="997" spans="4:4">
      <c r="D997" s="4"/>
    </row>
    <row r="998" spans="4:4">
      <c r="D998" s="4"/>
    </row>
    <row r="999" spans="4:4">
      <c r="D999" s="4"/>
    </row>
    <row r="1000" spans="4:4">
      <c r="D1000" s="4"/>
    </row>
    <row r="1001" spans="4:4">
      <c r="D1001" s="4"/>
    </row>
    <row r="1002" spans="4:4">
      <c r="D1002" s="4"/>
    </row>
    <row r="1003" spans="4:4">
      <c r="D1003" s="4"/>
    </row>
    <row r="1004" spans="4:4">
      <c r="D1004" s="4"/>
    </row>
    <row r="1005" spans="4:4">
      <c r="D1005" s="4"/>
    </row>
    <row r="1006" spans="4:4">
      <c r="D1006" s="4"/>
    </row>
    <row r="1007" spans="4:4">
      <c r="D1007" s="4"/>
    </row>
    <row r="1008" spans="4:4">
      <c r="D1008" s="4"/>
    </row>
    <row r="1009" spans="4:4">
      <c r="D1009" s="4"/>
    </row>
    <row r="1010" spans="4:4">
      <c r="D1010" s="4"/>
    </row>
    <row r="1011" spans="4:4">
      <c r="D1011" s="4"/>
    </row>
    <row r="1012" spans="4:4">
      <c r="D1012" s="4"/>
    </row>
    <row r="1013" spans="4:4">
      <c r="D1013" s="4"/>
    </row>
    <row r="1014" spans="4:4">
      <c r="D1014" s="4"/>
    </row>
    <row r="1015" spans="4:4">
      <c r="D1015" s="4"/>
    </row>
    <row r="1016" spans="4:4">
      <c r="D1016" s="4"/>
    </row>
    <row r="1017" spans="4:4">
      <c r="D1017" s="4"/>
    </row>
    <row r="1018" spans="4:4">
      <c r="D1018" s="4"/>
    </row>
    <row r="1019" spans="4:4">
      <c r="D1019" s="4"/>
    </row>
    <row r="1020" spans="4:4">
      <c r="D1020" s="4"/>
    </row>
    <row r="1021" spans="4:4">
      <c r="D1021" s="4"/>
    </row>
    <row r="1022" spans="4:4">
      <c r="D1022" s="4"/>
    </row>
    <row r="1023" spans="4:4">
      <c r="D1023" s="4"/>
    </row>
    <row r="1024" spans="4:4">
      <c r="D1024" s="4"/>
    </row>
    <row r="1025" spans="4:4">
      <c r="D1025" s="4"/>
    </row>
    <row r="1026" spans="4:4">
      <c r="D1026" s="4"/>
    </row>
    <row r="1027" spans="4:4">
      <c r="D1027" s="4"/>
    </row>
    <row r="1028" spans="4:4">
      <c r="D1028" s="4"/>
    </row>
    <row r="1029" spans="4:4">
      <c r="D1029" s="4"/>
    </row>
    <row r="1030" spans="4:4">
      <c r="D1030" s="4"/>
    </row>
    <row r="1031" spans="4:4">
      <c r="D1031" s="4"/>
    </row>
    <row r="1032" spans="4:4">
      <c r="D1032" s="4"/>
    </row>
    <row r="1033" spans="4:4">
      <c r="D1033" s="4"/>
    </row>
    <row r="1034" spans="4:4">
      <c r="D1034" s="4"/>
    </row>
    <row r="1035" spans="4:4">
      <c r="D1035" s="4"/>
    </row>
    <row r="1036" spans="4:4">
      <c r="D1036" s="4"/>
    </row>
    <row r="1037" spans="4:4">
      <c r="D1037" s="4"/>
    </row>
    <row r="1038" spans="4:4">
      <c r="D1038" s="4"/>
    </row>
    <row r="1039" spans="4:4">
      <c r="D1039" s="4"/>
    </row>
    <row r="1040" spans="4:4">
      <c r="D1040" s="4"/>
    </row>
    <row r="1041" spans="4:4">
      <c r="D1041" s="4"/>
    </row>
    <row r="1042" spans="4:4">
      <c r="D1042" s="4"/>
    </row>
    <row r="1043" spans="4:4">
      <c r="D1043" s="4"/>
    </row>
    <row r="1044" spans="4:4">
      <c r="D1044" s="4"/>
    </row>
    <row r="1045" spans="4:4">
      <c r="D1045" s="4"/>
    </row>
    <row r="1046" spans="4:4">
      <c r="D1046" s="4"/>
    </row>
    <row r="1047" spans="4:4">
      <c r="D1047" s="4"/>
    </row>
    <row r="1048" spans="4:4">
      <c r="D1048" s="4"/>
    </row>
    <row r="1049" spans="4:4">
      <c r="D1049" s="4"/>
    </row>
    <row r="1050" spans="4:4">
      <c r="D1050" s="4"/>
    </row>
    <row r="1051" spans="4:4">
      <c r="D1051" s="4"/>
    </row>
    <row r="1052" spans="4:4">
      <c r="D1052" s="4"/>
    </row>
    <row r="1053" spans="4:4">
      <c r="D1053" s="4"/>
    </row>
    <row r="1054" spans="4:4">
      <c r="D1054" s="4"/>
    </row>
    <row r="1055" spans="4:4">
      <c r="D1055" s="4"/>
    </row>
    <row r="1056" spans="4:4">
      <c r="D1056" s="4"/>
    </row>
    <row r="1057" spans="4:4">
      <c r="D1057" s="4"/>
    </row>
    <row r="1058" spans="4:4">
      <c r="D1058" s="4"/>
    </row>
    <row r="1059" spans="4:4">
      <c r="D1059" s="4"/>
    </row>
    <row r="1060" spans="4:4">
      <c r="D1060" s="4"/>
    </row>
    <row r="1061" spans="4:4">
      <c r="D1061" s="4"/>
    </row>
    <row r="1062" spans="4:4">
      <c r="D1062" s="4"/>
    </row>
  </sheetData>
  <autoFilter ref="A1:Z81" xr:uid="{00000000-0009-0000-0000-000002000000}">
    <filterColumn colId="21">
      <filters>
        <filter val="Contemplado MVP"/>
        <filter val="Sí"/>
      </filters>
    </filterColumn>
  </autoFilter>
  <customSheetViews>
    <customSheetView guid="{4555EE6F-2362-48F4-8152-FB35C89F66D3}" filter="1" showAutoFilter="1">
      <autoFilter ref="A2:AZ86" xr:uid="{6D9C79A3-492D-4169-9034-EB3DE576F7BA}"/>
    </customSheetView>
    <customSheetView guid="{B55D5AC0-2DCD-4393-87D1-9D8120E31AB8}" filter="1" showAutoFilter="1">
      <autoFilter ref="AB2:AC81" xr:uid="{071E196F-4ECA-45CA-9D91-6D288A345C31}"/>
    </customSheetView>
    <customSheetView guid="{8DFCF9F4-226C-4943-87CB-E49A587DAFFE}" filter="1" showAutoFilter="1">
      <autoFilter ref="A1:Z81" xr:uid="{E4BA8ED5-C644-4E6B-A7D1-5C0D9AB8DF17}"/>
    </customSheetView>
  </customSheetViews>
  <mergeCells count="3">
    <mergeCell ref="D1:L1"/>
    <mergeCell ref="N1:U1"/>
    <mergeCell ref="V1:Z1"/>
  </mergeCells>
  <dataValidations count="3">
    <dataValidation type="list" allowBlank="1" showErrorMessage="1" sqref="L3:L81" xr:uid="{00000000-0002-0000-0200-000000000000}">
      <formula1>"Backlog,En diseño,En construcción,En QA,Liberadas"</formula1>
    </dataValidation>
    <dataValidation type="list" allowBlank="1" showErrorMessage="1" sqref="V3:V81" xr:uid="{00000000-0002-0000-0200-000001000000}">
      <formula1>"Sí,No,Post MVP"</formula1>
    </dataValidation>
    <dataValidation type="list" allowBlank="1" showErrorMessage="1" sqref="W3:W81" xr:uid="{00000000-0002-0000-0200-000002000000}">
      <formula1>"Cerrado,En proceso,Por definir"</formula1>
    </dataValidation>
  </dataValidation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G1062"/>
  <sheetViews>
    <sheetView workbookViewId="0"/>
  </sheetViews>
  <sheetFormatPr defaultColWidth="11.25" defaultRowHeight="15.75" customHeight="1"/>
  <cols>
    <col min="1" max="2" width="11.25" style="4"/>
    <col min="3" max="3" width="53" style="5" customWidth="1"/>
    <col min="4" max="4" width="99.125" customWidth="1"/>
    <col min="5" max="6" width="47.875" customWidth="1"/>
    <col min="7" max="7" width="33.5" customWidth="1"/>
    <col min="8" max="8" width="26.5" customWidth="1"/>
    <col min="9" max="9" width="38.125" customWidth="1"/>
    <col min="10" max="10" width="23.875" customWidth="1"/>
    <col min="11" max="12" width="15.375" customWidth="1"/>
    <col min="13" max="13" width="15.875" customWidth="1"/>
    <col min="14" max="14" width="11.75" customWidth="1"/>
    <col min="15" max="15" width="11.625" customWidth="1"/>
    <col min="16" max="16" width="5" customWidth="1"/>
    <col min="17" max="17" width="6.875" customWidth="1"/>
    <col min="18" max="18" width="4.375" customWidth="1"/>
    <col min="19" max="19" width="3.75" customWidth="1"/>
    <col min="20" max="20" width="3.625" customWidth="1"/>
    <col min="21" max="21" width="3.375" customWidth="1"/>
    <col min="22" max="22" width="3" customWidth="1"/>
    <col min="23" max="23" width="4" customWidth="1"/>
    <col min="24" max="24" width="18.5" customWidth="1"/>
    <col min="25" max="25" width="13.625" customWidth="1"/>
    <col min="28" max="28" width="12" customWidth="1"/>
    <col min="30" max="31" width="20.75" customWidth="1"/>
    <col min="41" max="41" width="14.5" customWidth="1"/>
    <col min="42" max="42" width="15.875" customWidth="1"/>
    <col min="44" max="44" width="16.125" customWidth="1"/>
    <col min="50" max="50" width="15" customWidth="1"/>
  </cols>
  <sheetData>
    <row r="1" spans="1:59">
      <c r="A1" s="4" t="s">
        <v>57</v>
      </c>
      <c r="D1" s="6"/>
      <c r="E1" s="6"/>
      <c r="F1" s="244" t="s">
        <v>47</v>
      </c>
      <c r="G1" s="253"/>
      <c r="H1" s="253"/>
      <c r="I1" s="253"/>
      <c r="J1" s="253"/>
      <c r="K1" s="253"/>
      <c r="L1" s="253"/>
      <c r="M1" s="253"/>
      <c r="N1" s="254"/>
      <c r="P1" s="245" t="s">
        <v>58</v>
      </c>
      <c r="Q1" s="253"/>
      <c r="R1" s="253"/>
      <c r="S1" s="253"/>
      <c r="T1" s="253"/>
      <c r="U1" s="253"/>
      <c r="V1" s="253"/>
      <c r="W1" s="254"/>
      <c r="X1" s="245" t="s">
        <v>59</v>
      </c>
      <c r="Y1" s="253"/>
      <c r="Z1" s="253"/>
      <c r="AA1" s="253"/>
      <c r="AB1" s="254"/>
      <c r="AH1" s="10" t="s">
        <v>60</v>
      </c>
      <c r="AL1" s="11"/>
      <c r="AM1" s="10" t="s">
        <v>61</v>
      </c>
      <c r="AQ1" s="11"/>
      <c r="AR1" s="11"/>
      <c r="AS1" s="11" t="s">
        <v>62</v>
      </c>
      <c r="AU1" s="13" t="s">
        <v>63</v>
      </c>
      <c r="AV1" s="13" t="s">
        <v>64</v>
      </c>
      <c r="AY1" s="11" t="s">
        <v>65</v>
      </c>
      <c r="BA1" s="13" t="s">
        <v>63</v>
      </c>
      <c r="BB1" s="13" t="s">
        <v>64</v>
      </c>
    </row>
    <row r="2" spans="1:59">
      <c r="A2" s="14" t="s">
        <v>66</v>
      </c>
      <c r="B2" s="14" t="s">
        <v>67</v>
      </c>
      <c r="C2" s="14" t="s">
        <v>68</v>
      </c>
      <c r="D2" s="13"/>
      <c r="E2" s="13"/>
      <c r="F2" s="13" t="s">
        <v>69</v>
      </c>
      <c r="G2" s="13" t="s">
        <v>70</v>
      </c>
      <c r="H2" s="13" t="s">
        <v>71</v>
      </c>
      <c r="I2" s="13" t="s">
        <v>63</v>
      </c>
      <c r="J2" s="13" t="s">
        <v>64</v>
      </c>
      <c r="K2" s="13" t="s">
        <v>72</v>
      </c>
      <c r="L2" s="13" t="s">
        <v>73</v>
      </c>
      <c r="M2" s="13" t="s">
        <v>74</v>
      </c>
      <c r="N2" s="13" t="s">
        <v>75</v>
      </c>
      <c r="O2" s="14" t="s">
        <v>76</v>
      </c>
      <c r="P2" s="14" t="s">
        <v>77</v>
      </c>
      <c r="Q2" s="14" t="s">
        <v>78</v>
      </c>
      <c r="R2" s="14" t="s">
        <v>79</v>
      </c>
      <c r="S2" s="14" t="s">
        <v>80</v>
      </c>
      <c r="T2" s="14" t="s">
        <v>81</v>
      </c>
      <c r="U2" s="14" t="s">
        <v>82</v>
      </c>
      <c r="V2" s="14" t="s">
        <v>83</v>
      </c>
      <c r="W2" s="14" t="s">
        <v>84</v>
      </c>
      <c r="X2" s="14" t="s">
        <v>85</v>
      </c>
      <c r="Y2" s="14" t="s">
        <v>86</v>
      </c>
      <c r="Z2" s="14" t="s">
        <v>87</v>
      </c>
      <c r="AA2" s="14" t="s">
        <v>88</v>
      </c>
      <c r="AB2" s="14" t="s">
        <v>89</v>
      </c>
      <c r="AD2" s="11" t="s">
        <v>90</v>
      </c>
      <c r="AE2" s="11" t="s">
        <v>91</v>
      </c>
      <c r="AF2" s="11" t="s">
        <v>92</v>
      </c>
      <c r="AG2" s="11"/>
      <c r="AH2" s="11" t="s">
        <v>93</v>
      </c>
      <c r="AI2" s="11" t="s">
        <v>94</v>
      </c>
      <c r="AJ2" s="11" t="s">
        <v>95</v>
      </c>
      <c r="AK2" s="11" t="s">
        <v>96</v>
      </c>
      <c r="AL2" s="11"/>
      <c r="AM2" s="11" t="s">
        <v>93</v>
      </c>
      <c r="AN2" s="11" t="s">
        <v>94</v>
      </c>
      <c r="AO2" s="11" t="s">
        <v>95</v>
      </c>
      <c r="AP2" s="11" t="s">
        <v>96</v>
      </c>
      <c r="AQ2" s="11"/>
      <c r="AR2" s="21" t="s">
        <v>97</v>
      </c>
      <c r="AS2" s="13" t="s">
        <v>70</v>
      </c>
      <c r="AT2" s="13" t="s">
        <v>71</v>
      </c>
      <c r="AU2" s="13" t="s">
        <v>98</v>
      </c>
      <c r="AV2" s="13" t="s">
        <v>64</v>
      </c>
      <c r="AX2" s="21" t="s">
        <v>97</v>
      </c>
      <c r="AY2" s="13" t="s">
        <v>70</v>
      </c>
      <c r="AZ2" s="13" t="s">
        <v>71</v>
      </c>
      <c r="BA2" s="13" t="s">
        <v>98</v>
      </c>
      <c r="BB2" s="13" t="s">
        <v>64</v>
      </c>
      <c r="BD2" s="22"/>
      <c r="BE2" s="22"/>
      <c r="BF2" s="22"/>
      <c r="BG2" s="22"/>
    </row>
    <row r="3" spans="1:59">
      <c r="A3" s="23" t="s">
        <v>99</v>
      </c>
      <c r="B3" s="24" t="s">
        <v>26</v>
      </c>
      <c r="C3" s="25" t="s">
        <v>100</v>
      </c>
      <c r="D3" s="30" t="s">
        <v>294</v>
      </c>
      <c r="E3" s="35" t="e">
        <f t="shared" ref="E3:E6" si="0">VLOOKUP(D3,C:C,1,FALSE)</f>
        <v>#N/A</v>
      </c>
      <c r="F3" s="35" t="e">
        <f>VLOOKUP(E3,D3,1,FALSE)</f>
        <v>#N/A</v>
      </c>
      <c r="G3" s="29" t="s">
        <v>101</v>
      </c>
      <c r="H3" s="29" t="s">
        <v>102</v>
      </c>
      <c r="I3" s="29" t="s">
        <v>103</v>
      </c>
      <c r="J3" s="29" t="s">
        <v>104</v>
      </c>
      <c r="K3" s="31"/>
      <c r="L3" s="31">
        <v>3</v>
      </c>
      <c r="M3" s="34">
        <f>L3*$L$147</f>
        <v>10.5</v>
      </c>
      <c r="N3" s="31" t="s">
        <v>105</v>
      </c>
      <c r="O3" s="31" t="s">
        <v>106</v>
      </c>
      <c r="P3" s="37" t="s">
        <v>107</v>
      </c>
      <c r="Q3" s="31"/>
      <c r="R3" s="31"/>
      <c r="S3" s="31"/>
      <c r="T3" s="31"/>
      <c r="U3" s="31"/>
      <c r="V3" s="31"/>
      <c r="W3" s="31"/>
      <c r="X3" s="31" t="s">
        <v>108</v>
      </c>
      <c r="Y3" s="31" t="s">
        <v>109</v>
      </c>
      <c r="Z3" s="31"/>
      <c r="AA3" s="31"/>
      <c r="AB3" s="31"/>
      <c r="AD3" s="11">
        <f t="shared" ref="AD3:AD6" si="1">IF(AI3=0,0,IF(AH3=AI3,1,0))*AF3</f>
        <v>0</v>
      </c>
      <c r="AE3" s="11">
        <f t="shared" ref="AE3:AE6" si="2">IF(AM3=AN3,1,0)*AF3</f>
        <v>1</v>
      </c>
      <c r="AF3" s="11">
        <f t="shared" ref="AF3:AF4" si="3">IF(ISNUMBER(MATCH(A3,$A$2:A2,0)),0,1)</f>
        <v>1</v>
      </c>
      <c r="AH3" s="11">
        <f t="shared" ref="AH3:AI3" si="4">SUMIFS(AJ$3:AJ$251,$A$3:$A$251,$A3)</f>
        <v>1</v>
      </c>
      <c r="AI3" s="11">
        <f t="shared" si="4"/>
        <v>2</v>
      </c>
      <c r="AJ3" s="11">
        <f t="shared" ref="AJ3:AJ6" si="5">IF(SUM(AY3:BB3)=0,0,IF(SUM(AS3:AV3)=SUM(AY3:BB3),1,0))</f>
        <v>1</v>
      </c>
      <c r="AK3" s="22">
        <v>1</v>
      </c>
      <c r="AM3" s="11">
        <f t="shared" ref="AM3:AN3" si="6">SUMIFS(AO$3:AO$251,$A$3:$A$251,$A3)</f>
        <v>2</v>
      </c>
      <c r="AN3" s="11">
        <f t="shared" si="6"/>
        <v>2</v>
      </c>
      <c r="AO3" s="11">
        <f t="shared" ref="AO3:AO6" si="7">IF(SUM(AS3:AV3)=SUM(AY3:BB3),1,0)</f>
        <v>1</v>
      </c>
      <c r="AP3" s="22">
        <v>1</v>
      </c>
      <c r="AQ3" s="22"/>
      <c r="AR3" s="22">
        <f t="shared" ref="AR3:AR6" si="8">SUM(AS3:AV3)</f>
        <v>3</v>
      </c>
      <c r="AS3" s="22">
        <f t="shared" ref="AS3:AV3" si="9">IF(OR(G3="",G3="TBD",G3="N/A",G3="SDK",G3="SAAS"),0,1)</f>
        <v>1</v>
      </c>
      <c r="AT3" s="22">
        <f t="shared" si="9"/>
        <v>0</v>
      </c>
      <c r="AU3" s="22">
        <f t="shared" si="9"/>
        <v>1</v>
      </c>
      <c r="AV3" s="22">
        <f t="shared" si="9"/>
        <v>1</v>
      </c>
      <c r="AX3" s="11">
        <f t="shared" ref="AX3:AX6" si="10">SUM(AY3:BB3)</f>
        <v>3</v>
      </c>
      <c r="AY3" s="22">
        <f t="shared" ref="AY3:BB3" si="11">IF(OR(G3="",G3="N/A",G3="SDK",G3="SAAS"),0,1)</f>
        <v>1</v>
      </c>
      <c r="AZ3" s="22">
        <f t="shared" si="11"/>
        <v>0</v>
      </c>
      <c r="BA3" s="22">
        <f t="shared" si="11"/>
        <v>1</v>
      </c>
      <c r="BB3" s="22">
        <f t="shared" si="11"/>
        <v>1</v>
      </c>
      <c r="BD3" s="22"/>
      <c r="BE3" s="22"/>
      <c r="BF3" s="22"/>
      <c r="BG3" s="22"/>
    </row>
    <row r="4" spans="1:59">
      <c r="A4" s="23" t="s">
        <v>99</v>
      </c>
      <c r="B4" s="24" t="s">
        <v>26</v>
      </c>
      <c r="C4" s="25" t="s">
        <v>100</v>
      </c>
      <c r="D4" s="44" t="s">
        <v>112</v>
      </c>
      <c r="E4" s="35" t="str">
        <f t="shared" si="0"/>
        <v>Capacidad de Auto-clasificación de la identificación y retroalimentación en tiempo real (INE, Identificación de Extranjeros, Pasaporte)</v>
      </c>
      <c r="F4" s="42" t="s">
        <v>110</v>
      </c>
      <c r="G4" s="43" t="s">
        <v>110</v>
      </c>
      <c r="H4" s="43" t="s">
        <v>110</v>
      </c>
      <c r="I4" s="43" t="s">
        <v>110</v>
      </c>
      <c r="J4" s="43" t="s">
        <v>110</v>
      </c>
      <c r="K4" s="31"/>
      <c r="L4" s="31"/>
      <c r="M4" s="34"/>
      <c r="N4" s="31" t="s">
        <v>105</v>
      </c>
      <c r="O4" s="31" t="s">
        <v>106</v>
      </c>
      <c r="P4" s="37" t="s">
        <v>107</v>
      </c>
      <c r="Q4" s="31"/>
      <c r="R4" s="31"/>
      <c r="S4" s="31"/>
      <c r="T4" s="31"/>
      <c r="U4" s="31"/>
      <c r="V4" s="31"/>
      <c r="W4" s="31"/>
      <c r="X4" s="31" t="s">
        <v>108</v>
      </c>
      <c r="Y4" s="31" t="s">
        <v>109</v>
      </c>
      <c r="Z4" s="31"/>
      <c r="AA4" s="31"/>
      <c r="AB4" s="31"/>
      <c r="AD4" s="11">
        <f t="shared" si="1"/>
        <v>0</v>
      </c>
      <c r="AE4" s="11">
        <f t="shared" si="2"/>
        <v>0</v>
      </c>
      <c r="AF4" s="11">
        <f t="shared" si="3"/>
        <v>0</v>
      </c>
      <c r="AH4" s="11">
        <f t="shared" ref="AH4:AH6" si="12">SUMIFS(AJ$3:AJ$251,$A$3:$A$251,$A4)</f>
        <v>1</v>
      </c>
      <c r="AI4" s="11">
        <f t="shared" ref="AI4:AI6" si="13">SUMIFS(AK$3:AK$77,$A$3:$A$77,$A4)</f>
        <v>2</v>
      </c>
      <c r="AJ4" s="11">
        <f t="shared" si="5"/>
        <v>0</v>
      </c>
      <c r="AK4" s="22">
        <v>1</v>
      </c>
      <c r="AM4" s="11">
        <f t="shared" ref="AM4:AN4" si="14">SUMIFS(AO$3:AO$251,$A$3:$A$251,$A4)</f>
        <v>2</v>
      </c>
      <c r="AN4" s="11">
        <f t="shared" si="14"/>
        <v>2</v>
      </c>
      <c r="AO4" s="11">
        <f t="shared" si="7"/>
        <v>1</v>
      </c>
      <c r="AP4" s="22">
        <v>1</v>
      </c>
      <c r="AQ4" s="22"/>
      <c r="AR4" s="22">
        <f t="shared" si="8"/>
        <v>0</v>
      </c>
      <c r="AS4" s="22">
        <f t="shared" ref="AS4:AV4" si="15">IF(OR(G4="",G4="TBD",G4="N/A",G4="SDK",G4="SAAS"),0,1)</f>
        <v>0</v>
      </c>
      <c r="AT4" s="22">
        <f t="shared" si="15"/>
        <v>0</v>
      </c>
      <c r="AU4" s="22">
        <f t="shared" si="15"/>
        <v>0</v>
      </c>
      <c r="AV4" s="22">
        <f t="shared" si="15"/>
        <v>0</v>
      </c>
      <c r="AX4" s="11">
        <f t="shared" si="10"/>
        <v>0</v>
      </c>
      <c r="AY4" s="22">
        <f t="shared" ref="AY4:BB4" si="16">IF(OR(G4="",G4="N/A",G4="SDK",G4="SAAS"),0,1)</f>
        <v>0</v>
      </c>
      <c r="AZ4" s="22">
        <f t="shared" si="16"/>
        <v>0</v>
      </c>
      <c r="BA4" s="22">
        <f t="shared" si="16"/>
        <v>0</v>
      </c>
      <c r="BB4" s="22">
        <f t="shared" si="16"/>
        <v>0</v>
      </c>
      <c r="BD4" s="22"/>
      <c r="BE4" s="22"/>
      <c r="BF4" s="22"/>
      <c r="BG4" s="22"/>
    </row>
    <row r="5" spans="1:59">
      <c r="A5" s="23" t="s">
        <v>111</v>
      </c>
      <c r="B5" s="24" t="s">
        <v>26</v>
      </c>
      <c r="C5" s="47" t="s">
        <v>112</v>
      </c>
      <c r="D5" s="30" t="s">
        <v>114</v>
      </c>
      <c r="E5" s="35" t="str">
        <f t="shared" si="0"/>
        <v>Validar y contrastar el rostro del documento utilizado como documento de identificación en el proceso</v>
      </c>
      <c r="F5" s="42" t="s">
        <v>110</v>
      </c>
      <c r="G5" s="43" t="s">
        <v>110</v>
      </c>
      <c r="H5" s="43" t="s">
        <v>110</v>
      </c>
      <c r="I5" s="43" t="s">
        <v>110</v>
      </c>
      <c r="J5" s="43" t="s">
        <v>110</v>
      </c>
      <c r="K5" s="31"/>
      <c r="L5" s="31"/>
      <c r="M5" s="34">
        <f t="shared" ref="M5:M6" si="17">L5*$L$147</f>
        <v>0</v>
      </c>
      <c r="N5" s="31" t="s">
        <v>105</v>
      </c>
      <c r="O5" s="31" t="s">
        <v>106</v>
      </c>
      <c r="P5" s="37" t="s">
        <v>107</v>
      </c>
      <c r="Q5" s="31"/>
      <c r="R5" s="31"/>
      <c r="S5" s="31"/>
      <c r="T5" s="31"/>
      <c r="U5" s="31"/>
      <c r="V5" s="31"/>
      <c r="W5" s="31"/>
      <c r="X5" s="31" t="s">
        <v>108</v>
      </c>
      <c r="Y5" s="31" t="s">
        <v>109</v>
      </c>
      <c r="Z5" s="31"/>
      <c r="AA5" s="31"/>
      <c r="AB5" s="31"/>
      <c r="AD5" s="11">
        <f t="shared" si="1"/>
        <v>0</v>
      </c>
      <c r="AE5" s="11">
        <f t="shared" si="2"/>
        <v>1</v>
      </c>
      <c r="AF5" s="11">
        <f>IF(ISNUMBER(MATCH(A5,$A$2:A3,0)),0,1)</f>
        <v>1</v>
      </c>
      <c r="AH5" s="11">
        <f t="shared" si="12"/>
        <v>0</v>
      </c>
      <c r="AI5" s="11">
        <f t="shared" si="13"/>
        <v>1</v>
      </c>
      <c r="AJ5" s="11">
        <f t="shared" si="5"/>
        <v>0</v>
      </c>
      <c r="AK5" s="22">
        <v>1</v>
      </c>
      <c r="AM5" s="11">
        <f t="shared" ref="AM5:AN5" si="18">SUMIFS(AO$3:AO$251,$A$3:$A$251,$A5)</f>
        <v>1</v>
      </c>
      <c r="AN5" s="11">
        <f t="shared" si="18"/>
        <v>1</v>
      </c>
      <c r="AO5" s="11">
        <f t="shared" si="7"/>
        <v>1</v>
      </c>
      <c r="AP5" s="22">
        <v>1</v>
      </c>
      <c r="AQ5" s="22"/>
      <c r="AR5" s="22">
        <f t="shared" si="8"/>
        <v>0</v>
      </c>
      <c r="AS5" s="22">
        <f t="shared" ref="AS5:AV5" si="19">IF(OR(G5="",G5="TBD",G5="N/A",G5="SDK",G5="SAAS"),0,1)</f>
        <v>0</v>
      </c>
      <c r="AT5" s="22">
        <f t="shared" si="19"/>
        <v>0</v>
      </c>
      <c r="AU5" s="22">
        <f t="shared" si="19"/>
        <v>0</v>
      </c>
      <c r="AV5" s="22">
        <f t="shared" si="19"/>
        <v>0</v>
      </c>
      <c r="AX5" s="11">
        <f t="shared" si="10"/>
        <v>0</v>
      </c>
      <c r="AY5" s="22">
        <f t="shared" ref="AY5:BB5" si="20">IF(OR(G5="",G5="N/A",G5="SDK",G5="SAAS"),0,1)</f>
        <v>0</v>
      </c>
      <c r="AZ5" s="22">
        <f t="shared" si="20"/>
        <v>0</v>
      </c>
      <c r="BA5" s="22">
        <f t="shared" si="20"/>
        <v>0</v>
      </c>
      <c r="BB5" s="22">
        <f t="shared" si="20"/>
        <v>0</v>
      </c>
      <c r="BD5" s="22"/>
      <c r="BE5" s="22"/>
      <c r="BF5" s="22"/>
      <c r="BG5" s="22"/>
    </row>
    <row r="6" spans="1:59">
      <c r="A6" s="23" t="s">
        <v>113</v>
      </c>
      <c r="B6" s="24" t="s">
        <v>26</v>
      </c>
      <c r="C6" s="47" t="s">
        <v>114</v>
      </c>
      <c r="D6" s="30" t="s">
        <v>119</v>
      </c>
      <c r="E6" s="35" t="str">
        <f t="shared" si="0"/>
        <v>Captura automática el rostro del solicitante / cliente de forma segura e inteligente</v>
      </c>
      <c r="F6" s="42"/>
      <c r="G6" s="43" t="s">
        <v>115</v>
      </c>
      <c r="H6" s="43" t="s">
        <v>102</v>
      </c>
      <c r="I6" s="43" t="s">
        <v>116</v>
      </c>
      <c r="J6" s="43" t="s">
        <v>117</v>
      </c>
      <c r="K6" s="31"/>
      <c r="L6" s="31"/>
      <c r="M6" s="34">
        <f t="shared" si="17"/>
        <v>0</v>
      </c>
      <c r="N6" s="31" t="s">
        <v>105</v>
      </c>
      <c r="O6" s="31" t="s">
        <v>106</v>
      </c>
      <c r="P6" s="37" t="s">
        <v>107</v>
      </c>
      <c r="Q6" s="31"/>
      <c r="R6" s="31"/>
      <c r="S6" s="31"/>
      <c r="T6" s="31"/>
      <c r="U6" s="31"/>
      <c r="V6" s="31"/>
      <c r="W6" s="31"/>
      <c r="X6" s="31" t="s">
        <v>108</v>
      </c>
      <c r="Y6" s="31" t="s">
        <v>109</v>
      </c>
      <c r="Z6" s="31"/>
      <c r="AA6" s="31"/>
      <c r="AB6" s="31"/>
      <c r="AD6" s="11">
        <f t="shared" si="1"/>
        <v>1</v>
      </c>
      <c r="AE6" s="11">
        <f t="shared" si="2"/>
        <v>1</v>
      </c>
      <c r="AF6" s="11">
        <f>IF(ISNUMBER(MATCH(A6,$A$2:A5,0)),0,1)</f>
        <v>1</v>
      </c>
      <c r="AH6" s="11">
        <f t="shared" si="12"/>
        <v>1</v>
      </c>
      <c r="AI6" s="11">
        <f t="shared" si="13"/>
        <v>1</v>
      </c>
      <c r="AJ6" s="11">
        <f t="shared" si="5"/>
        <v>1</v>
      </c>
      <c r="AK6" s="22">
        <v>1</v>
      </c>
      <c r="AM6" s="11">
        <f t="shared" ref="AM6:AN6" si="21">SUMIFS(AO$3:AO$251,$A$3:$A$251,$A6)</f>
        <v>1</v>
      </c>
      <c r="AN6" s="11">
        <f t="shared" si="21"/>
        <v>1</v>
      </c>
      <c r="AO6" s="11">
        <f t="shared" si="7"/>
        <v>1</v>
      </c>
      <c r="AP6" s="22">
        <v>1</v>
      </c>
      <c r="AQ6" s="22"/>
      <c r="AR6" s="22">
        <f t="shared" si="8"/>
        <v>3</v>
      </c>
      <c r="AS6" s="22">
        <f t="shared" ref="AS6:AV6" si="22">IF(OR(G6="",G6="TBD",G6="N/A",G6="SDK",G6="SAAS"),0,1)</f>
        <v>1</v>
      </c>
      <c r="AT6" s="22">
        <f t="shared" si="22"/>
        <v>0</v>
      </c>
      <c r="AU6" s="22">
        <f t="shared" si="22"/>
        <v>1</v>
      </c>
      <c r="AV6" s="22">
        <f t="shared" si="22"/>
        <v>1</v>
      </c>
      <c r="AX6" s="11">
        <f t="shared" si="10"/>
        <v>3</v>
      </c>
      <c r="AY6" s="22">
        <f t="shared" ref="AY6:BB6" si="23">IF(OR(G6="",G6="N/A",G6="SDK",G6="SAAS"),0,1)</f>
        <v>1</v>
      </c>
      <c r="AZ6" s="22">
        <f t="shared" si="23"/>
        <v>0</v>
      </c>
      <c r="BA6" s="22">
        <f t="shared" si="23"/>
        <v>1</v>
      </c>
      <c r="BB6" s="22">
        <f t="shared" si="23"/>
        <v>1</v>
      </c>
      <c r="BD6" s="22"/>
      <c r="BE6" s="22"/>
      <c r="BF6" s="22"/>
      <c r="BG6" s="22"/>
    </row>
    <row r="7" spans="1:59" hidden="1">
      <c r="A7" s="23" t="s">
        <v>113</v>
      </c>
      <c r="B7" s="24" t="s">
        <v>26</v>
      </c>
      <c r="C7" s="47" t="s">
        <v>114</v>
      </c>
      <c r="D7" s="44" t="s">
        <v>119</v>
      </c>
      <c r="E7" s="42"/>
      <c r="F7" s="42" t="s">
        <v>110</v>
      </c>
      <c r="G7" s="43" t="s">
        <v>110</v>
      </c>
      <c r="H7" s="43" t="s">
        <v>110</v>
      </c>
      <c r="I7" s="43" t="s">
        <v>110</v>
      </c>
      <c r="J7" s="43" t="s">
        <v>110</v>
      </c>
      <c r="K7" s="54"/>
      <c r="L7" s="54"/>
      <c r="M7" s="34"/>
      <c r="N7" s="54"/>
      <c r="O7" s="54"/>
      <c r="P7" s="55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6"/>
      <c r="AE7" s="56"/>
      <c r="AF7" s="56"/>
      <c r="AG7" s="56"/>
      <c r="AK7" s="57"/>
      <c r="AL7" s="58"/>
      <c r="AO7" s="58"/>
      <c r="AP7" s="57"/>
      <c r="AQ7" s="57"/>
      <c r="AR7" s="57"/>
      <c r="AS7" s="22"/>
      <c r="AT7" s="22"/>
      <c r="AU7" s="22"/>
      <c r="AV7" s="22"/>
      <c r="AW7" s="56"/>
      <c r="AX7" s="11"/>
      <c r="AY7" s="22"/>
      <c r="AZ7" s="22"/>
      <c r="BA7" s="22"/>
      <c r="BB7" s="22"/>
      <c r="BC7" s="56"/>
      <c r="BD7" s="59"/>
      <c r="BE7" s="59"/>
      <c r="BF7" s="59"/>
      <c r="BG7" s="59"/>
    </row>
    <row r="8" spans="1:59">
      <c r="A8" s="23" t="s">
        <v>118</v>
      </c>
      <c r="B8" s="24" t="s">
        <v>26</v>
      </c>
      <c r="C8" s="47" t="s">
        <v>119</v>
      </c>
      <c r="D8" s="30" t="s">
        <v>121</v>
      </c>
      <c r="E8" s="35" t="str">
        <f t="shared" ref="E8:E16" si="24">VLOOKUP(D8,C:C,1,FALSE)</f>
        <v>Probar la captura de dirección (OCR comprobante domicilio)</v>
      </c>
      <c r="F8" s="42" t="s">
        <v>110</v>
      </c>
      <c r="G8" s="43" t="s">
        <v>110</v>
      </c>
      <c r="H8" s="43" t="s">
        <v>110</v>
      </c>
      <c r="I8" s="43" t="s">
        <v>110</v>
      </c>
      <c r="J8" s="43" t="s">
        <v>110</v>
      </c>
      <c r="K8" s="54"/>
      <c r="L8" s="54"/>
      <c r="M8" s="34">
        <f t="shared" ref="M8:M81" si="25">L8*$L$147</f>
        <v>0</v>
      </c>
      <c r="N8" s="54" t="s">
        <v>105</v>
      </c>
      <c r="O8" s="54" t="s">
        <v>106</v>
      </c>
      <c r="P8" s="55" t="s">
        <v>107</v>
      </c>
      <c r="Q8" s="54"/>
      <c r="R8" s="54"/>
      <c r="S8" s="54"/>
      <c r="T8" s="54"/>
      <c r="U8" s="54"/>
      <c r="V8" s="54"/>
      <c r="W8" s="54"/>
      <c r="X8" s="54" t="s">
        <v>108</v>
      </c>
      <c r="Y8" s="54" t="s">
        <v>109</v>
      </c>
      <c r="Z8" s="54"/>
      <c r="AA8" s="54"/>
      <c r="AB8" s="54"/>
      <c r="AC8" s="56"/>
      <c r="AD8" s="11">
        <f t="shared" ref="AD8:AD81" si="26">IF(AI8=0,0,IF(AH8=AI8,1,0))*AF8</f>
        <v>0</v>
      </c>
      <c r="AE8" s="56">
        <f t="shared" ref="AE8:AE81" si="27">IF(AM8=AN8,1,0)*AF8</f>
        <v>1</v>
      </c>
      <c r="AF8" s="56">
        <f>IF(ISNUMBER(MATCH(A8,$A$2:A6,0)),0,1)</f>
        <v>1</v>
      </c>
      <c r="AG8" s="56"/>
      <c r="AH8" s="11">
        <f t="shared" ref="AH8:AH81" si="28">SUMIFS(AJ$3:AJ$251,$A$3:$A$251,$A8)</f>
        <v>0</v>
      </c>
      <c r="AI8" s="11">
        <f t="shared" ref="AI8:AI81" si="29">SUMIFS(AK$3:AK$77,$A$3:$A$77,$A8)</f>
        <v>1</v>
      </c>
      <c r="AJ8" s="11">
        <f t="shared" ref="AJ8:AJ81" si="30">IF(SUM(AY8:BB8)=0,0,IF(SUM(AS8:AV8)=SUM(AY8:BB8),1,0))</f>
        <v>0</v>
      </c>
      <c r="AK8" s="57">
        <v>1</v>
      </c>
      <c r="AL8" s="58"/>
      <c r="AM8" s="11">
        <f t="shared" ref="AM8:AN8" si="31">SUMIFS(AO$3:AO$251,$A$3:$A$251,$A8)</f>
        <v>1</v>
      </c>
      <c r="AN8" s="11">
        <f t="shared" si="31"/>
        <v>1</v>
      </c>
      <c r="AO8" s="58">
        <f t="shared" ref="AO8:AO81" si="32">IF(SUM(AS8:AV8)=SUM(AY8:BB8),1,0)</f>
        <v>1</v>
      </c>
      <c r="AP8" s="57">
        <v>1</v>
      </c>
      <c r="AQ8" s="57"/>
      <c r="AR8" s="57">
        <f t="shared" ref="AR8:AR81" si="33">SUM(AS8:AV8)</f>
        <v>0</v>
      </c>
      <c r="AS8" s="22">
        <f t="shared" ref="AS8:AV8" si="34">IF(OR(G8="",G8="TBD",G8="N/A",G8="SDK",G8="SAAS"),0,1)</f>
        <v>0</v>
      </c>
      <c r="AT8" s="22">
        <f t="shared" si="34"/>
        <v>0</v>
      </c>
      <c r="AU8" s="22">
        <f t="shared" si="34"/>
        <v>0</v>
      </c>
      <c r="AV8" s="22">
        <f t="shared" si="34"/>
        <v>0</v>
      </c>
      <c r="AW8" s="56"/>
      <c r="AX8" s="11">
        <f t="shared" ref="AX8:AX81" si="35">SUM(AY8:BB8)</f>
        <v>0</v>
      </c>
      <c r="AY8" s="22">
        <f t="shared" ref="AY8:BB8" si="36">IF(OR(G8="",G8="N/A",G8="SDK",G8="SAAS"),0,1)</f>
        <v>0</v>
      </c>
      <c r="AZ8" s="22">
        <f t="shared" si="36"/>
        <v>0</v>
      </c>
      <c r="BA8" s="22">
        <f t="shared" si="36"/>
        <v>0</v>
      </c>
      <c r="BB8" s="22">
        <f t="shared" si="36"/>
        <v>0</v>
      </c>
      <c r="BC8" s="56"/>
      <c r="BD8" s="59"/>
      <c r="BE8" s="59"/>
      <c r="BF8" s="59"/>
      <c r="BG8" s="59"/>
    </row>
    <row r="9" spans="1:59">
      <c r="A9" s="23" t="s">
        <v>120</v>
      </c>
      <c r="B9" s="24" t="s">
        <v>26</v>
      </c>
      <c r="C9" s="47" t="s">
        <v>121</v>
      </c>
      <c r="D9" s="30" t="s">
        <v>123</v>
      </c>
      <c r="E9" s="35" t="str">
        <f t="shared" si="24"/>
        <v>Validar el Celular a través de un OTP enviado por SMS</v>
      </c>
      <c r="F9" s="42" t="s">
        <v>110</v>
      </c>
      <c r="G9" s="43" t="s">
        <v>110</v>
      </c>
      <c r="H9" s="43" t="s">
        <v>110</v>
      </c>
      <c r="I9" s="43" t="s">
        <v>110</v>
      </c>
      <c r="J9" s="43" t="s">
        <v>110</v>
      </c>
      <c r="K9" s="54"/>
      <c r="L9" s="54"/>
      <c r="M9" s="34">
        <f t="shared" si="25"/>
        <v>0</v>
      </c>
      <c r="N9" s="54" t="s">
        <v>105</v>
      </c>
      <c r="O9" s="54" t="s">
        <v>106</v>
      </c>
      <c r="P9" s="55" t="s">
        <v>107</v>
      </c>
      <c r="Q9" s="54"/>
      <c r="R9" s="54"/>
      <c r="S9" s="54"/>
      <c r="T9" s="54"/>
      <c r="U9" s="54"/>
      <c r="V9" s="54"/>
      <c r="W9" s="54"/>
      <c r="X9" s="54" t="s">
        <v>108</v>
      </c>
      <c r="Y9" s="54" t="s">
        <v>109</v>
      </c>
      <c r="Z9" s="54"/>
      <c r="AA9" s="54"/>
      <c r="AB9" s="54"/>
      <c r="AC9" s="56"/>
      <c r="AD9" s="11">
        <f t="shared" si="26"/>
        <v>0</v>
      </c>
      <c r="AE9" s="56">
        <f t="shared" si="27"/>
        <v>1</v>
      </c>
      <c r="AF9" s="56">
        <f t="shared" ref="AF9:AF14" si="37">IF(ISNUMBER(MATCH(A9,$A$2:A8,0)),0,1)</f>
        <v>1</v>
      </c>
      <c r="AG9" s="56"/>
      <c r="AH9" s="11">
        <f t="shared" si="28"/>
        <v>0</v>
      </c>
      <c r="AI9" s="11">
        <f t="shared" si="29"/>
        <v>1</v>
      </c>
      <c r="AJ9" s="11">
        <f t="shared" si="30"/>
        <v>0</v>
      </c>
      <c r="AK9" s="57">
        <v>1</v>
      </c>
      <c r="AL9" s="58"/>
      <c r="AM9" s="11">
        <f t="shared" ref="AM9:AN9" si="38">SUMIFS(AO$3:AO$251,$A$3:$A$251,$A9)</f>
        <v>1</v>
      </c>
      <c r="AN9" s="11">
        <f t="shared" si="38"/>
        <v>1</v>
      </c>
      <c r="AO9" s="58">
        <f t="shared" si="32"/>
        <v>1</v>
      </c>
      <c r="AP9" s="57">
        <v>1</v>
      </c>
      <c r="AQ9" s="57"/>
      <c r="AR9" s="57">
        <f t="shared" si="33"/>
        <v>0</v>
      </c>
      <c r="AS9" s="22">
        <f t="shared" ref="AS9:AV9" si="39">IF(OR(G9="",G9="TBD",G9="N/A",G9="SDK",G9="SAAS"),0,1)</f>
        <v>0</v>
      </c>
      <c r="AT9" s="22">
        <f t="shared" si="39"/>
        <v>0</v>
      </c>
      <c r="AU9" s="22">
        <f t="shared" si="39"/>
        <v>0</v>
      </c>
      <c r="AV9" s="22">
        <f t="shared" si="39"/>
        <v>0</v>
      </c>
      <c r="AW9" s="56"/>
      <c r="AX9" s="11">
        <f t="shared" si="35"/>
        <v>0</v>
      </c>
      <c r="AY9" s="22">
        <f t="shared" ref="AY9:BB9" si="40">IF(OR(G9="",G9="N/A",G9="SDK",G9="SAAS"),0,1)</f>
        <v>0</v>
      </c>
      <c r="AZ9" s="22">
        <f t="shared" si="40"/>
        <v>0</v>
      </c>
      <c r="BA9" s="22">
        <f t="shared" si="40"/>
        <v>0</v>
      </c>
      <c r="BB9" s="22">
        <f t="shared" si="40"/>
        <v>0</v>
      </c>
      <c r="BC9" s="56"/>
      <c r="BD9" s="59"/>
      <c r="BE9" s="59"/>
      <c r="BF9" s="59"/>
      <c r="BG9" s="59"/>
    </row>
    <row r="10" spans="1:59">
      <c r="A10" s="60" t="s">
        <v>122</v>
      </c>
      <c r="B10" s="24" t="s">
        <v>26</v>
      </c>
      <c r="C10" s="25" t="s">
        <v>123</v>
      </c>
      <c r="D10" s="30" t="s">
        <v>133</v>
      </c>
      <c r="E10" s="35" t="str">
        <f t="shared" si="24"/>
        <v>Validar el Email a través de un OTP enviado por correo electrónico</v>
      </c>
      <c r="F10" s="42"/>
      <c r="G10" s="43" t="s">
        <v>124</v>
      </c>
      <c r="H10" s="43" t="s">
        <v>125</v>
      </c>
      <c r="I10" s="43" t="s">
        <v>126</v>
      </c>
      <c r="J10" s="43" t="s">
        <v>127</v>
      </c>
      <c r="K10" s="31"/>
      <c r="L10" s="31">
        <v>4</v>
      </c>
      <c r="M10" s="34">
        <f t="shared" si="25"/>
        <v>14</v>
      </c>
      <c r="N10" s="31" t="s">
        <v>105</v>
      </c>
      <c r="O10" s="31" t="s">
        <v>106</v>
      </c>
      <c r="P10" s="37" t="s">
        <v>107</v>
      </c>
      <c r="Q10" s="31"/>
      <c r="R10" s="31"/>
      <c r="S10" s="31"/>
      <c r="T10" s="31"/>
      <c r="U10" s="31"/>
      <c r="V10" s="31"/>
      <c r="W10" s="31"/>
      <c r="X10" s="31" t="s">
        <v>108</v>
      </c>
      <c r="Y10" s="31" t="s">
        <v>109</v>
      </c>
      <c r="Z10" s="31"/>
      <c r="AA10" s="31"/>
      <c r="AB10" s="31"/>
      <c r="AD10" s="11">
        <f t="shared" si="26"/>
        <v>1</v>
      </c>
      <c r="AE10" s="11">
        <f t="shared" si="27"/>
        <v>1</v>
      </c>
      <c r="AF10" s="11">
        <f t="shared" si="37"/>
        <v>1</v>
      </c>
      <c r="AH10" s="11">
        <f t="shared" si="28"/>
        <v>2</v>
      </c>
      <c r="AI10" s="11">
        <f t="shared" si="29"/>
        <v>2</v>
      </c>
      <c r="AJ10" s="11">
        <f t="shared" si="30"/>
        <v>1</v>
      </c>
      <c r="AK10" s="22">
        <v>1</v>
      </c>
      <c r="AM10" s="11">
        <f t="shared" ref="AM10:AN10" si="41">SUMIFS(AO$3:AO$251,$A$3:$A$251,$A10)</f>
        <v>2</v>
      </c>
      <c r="AN10" s="11">
        <f t="shared" si="41"/>
        <v>2</v>
      </c>
      <c r="AO10" s="11">
        <f t="shared" si="32"/>
        <v>1</v>
      </c>
      <c r="AP10" s="22">
        <v>1</v>
      </c>
      <c r="AQ10" s="22"/>
      <c r="AR10" s="22">
        <f t="shared" si="33"/>
        <v>4</v>
      </c>
      <c r="AS10" s="22">
        <f t="shared" ref="AS10:AV10" si="42">IF(OR(G10="",G10="TBD",G10="N/A",G10="SDK",G10="SAAS"),0,1)</f>
        <v>1</v>
      </c>
      <c r="AT10" s="22">
        <f t="shared" si="42"/>
        <v>1</v>
      </c>
      <c r="AU10" s="22">
        <f t="shared" si="42"/>
        <v>1</v>
      </c>
      <c r="AV10" s="22">
        <f t="shared" si="42"/>
        <v>1</v>
      </c>
      <c r="AX10" s="11">
        <f t="shared" si="35"/>
        <v>4</v>
      </c>
      <c r="AY10" s="22">
        <f t="shared" ref="AY10:BB10" si="43">IF(OR(G10="",G10="N/A",G10="SDK",G10="SAAS"),0,1)</f>
        <v>1</v>
      </c>
      <c r="AZ10" s="22">
        <f t="shared" si="43"/>
        <v>1</v>
      </c>
      <c r="BA10" s="22">
        <f t="shared" si="43"/>
        <v>1</v>
      </c>
      <c r="BB10" s="22">
        <f t="shared" si="43"/>
        <v>1</v>
      </c>
      <c r="BD10" s="22"/>
      <c r="BE10" s="22"/>
      <c r="BF10" s="22"/>
      <c r="BG10" s="22"/>
    </row>
    <row r="11" spans="1:59">
      <c r="A11" s="60" t="s">
        <v>122</v>
      </c>
      <c r="B11" s="24" t="s">
        <v>26</v>
      </c>
      <c r="C11" s="25" t="s">
        <v>123</v>
      </c>
      <c r="D11" s="30" t="s">
        <v>137</v>
      </c>
      <c r="E11" s="35" t="str">
        <f t="shared" si="24"/>
        <v>Extraer la información dentro del documento de identificación (OCR)</v>
      </c>
      <c r="F11" s="42"/>
      <c r="G11" s="43" t="s">
        <v>128</v>
      </c>
      <c r="H11" s="43" t="s">
        <v>129</v>
      </c>
      <c r="I11" s="43" t="s">
        <v>130</v>
      </c>
      <c r="J11" s="43" t="s">
        <v>131</v>
      </c>
      <c r="K11" s="31"/>
      <c r="L11" s="31"/>
      <c r="M11" s="34">
        <f t="shared" si="25"/>
        <v>0</v>
      </c>
      <c r="N11" s="31" t="s">
        <v>105</v>
      </c>
      <c r="O11" s="31" t="s">
        <v>106</v>
      </c>
      <c r="P11" s="37" t="s">
        <v>107</v>
      </c>
      <c r="Q11" s="31"/>
      <c r="R11" s="31"/>
      <c r="S11" s="31"/>
      <c r="T11" s="31"/>
      <c r="U11" s="31"/>
      <c r="V11" s="31"/>
      <c r="W11" s="31"/>
      <c r="X11" s="31" t="s">
        <v>108</v>
      </c>
      <c r="Y11" s="31" t="s">
        <v>109</v>
      </c>
      <c r="Z11" s="31"/>
      <c r="AA11" s="31"/>
      <c r="AB11" s="31"/>
      <c r="AD11" s="11">
        <f t="shared" si="26"/>
        <v>0</v>
      </c>
      <c r="AE11" s="11">
        <f t="shared" si="27"/>
        <v>0</v>
      </c>
      <c r="AF11" s="11">
        <f t="shared" si="37"/>
        <v>0</v>
      </c>
      <c r="AH11" s="11">
        <f t="shared" si="28"/>
        <v>2</v>
      </c>
      <c r="AI11" s="11">
        <f t="shared" si="29"/>
        <v>2</v>
      </c>
      <c r="AJ11" s="11">
        <f t="shared" si="30"/>
        <v>1</v>
      </c>
      <c r="AK11" s="22">
        <v>1</v>
      </c>
      <c r="AM11" s="11">
        <f t="shared" ref="AM11:AN11" si="44">SUMIFS(AO$3:AO$251,$A$3:$A$251,$A11)</f>
        <v>2</v>
      </c>
      <c r="AN11" s="11">
        <f t="shared" si="44"/>
        <v>2</v>
      </c>
      <c r="AO11" s="11">
        <f t="shared" si="32"/>
        <v>1</v>
      </c>
      <c r="AP11" s="22">
        <v>1</v>
      </c>
      <c r="AQ11" s="22"/>
      <c r="AR11" s="22">
        <f t="shared" si="33"/>
        <v>4</v>
      </c>
      <c r="AS11" s="22">
        <f t="shared" ref="AS11:AV11" si="45">IF(OR(G11="",G11="TBD",G11="N/A",G11="SDK",G11="SAAS"),0,1)</f>
        <v>1</v>
      </c>
      <c r="AT11" s="22">
        <f t="shared" si="45"/>
        <v>1</v>
      </c>
      <c r="AU11" s="22">
        <f t="shared" si="45"/>
        <v>1</v>
      </c>
      <c r="AV11" s="22">
        <f t="shared" si="45"/>
        <v>1</v>
      </c>
      <c r="AX11" s="11">
        <f t="shared" si="35"/>
        <v>4</v>
      </c>
      <c r="AY11" s="22">
        <f t="shared" ref="AY11:BB11" si="46">IF(OR(G11="",G11="N/A",G11="SDK",G11="SAAS"),0,1)</f>
        <v>1</v>
      </c>
      <c r="AZ11" s="22">
        <f t="shared" si="46"/>
        <v>1</v>
      </c>
      <c r="BA11" s="22">
        <f t="shared" si="46"/>
        <v>1</v>
      </c>
      <c r="BB11" s="22">
        <f t="shared" si="46"/>
        <v>1</v>
      </c>
      <c r="BD11" s="22"/>
      <c r="BE11" s="22"/>
      <c r="BF11" s="22"/>
      <c r="BG11" s="22"/>
    </row>
    <row r="12" spans="1:59">
      <c r="A12" s="23" t="s">
        <v>132</v>
      </c>
      <c r="B12" s="24" t="s">
        <v>26</v>
      </c>
      <c r="C12" s="25" t="s">
        <v>133</v>
      </c>
      <c r="D12" s="30" t="s">
        <v>142</v>
      </c>
      <c r="E12" s="35" t="str">
        <f t="shared" si="24"/>
        <v>Validar al prospecto / cliente contra la lista nominal del INE</v>
      </c>
      <c r="F12" s="26"/>
      <c r="G12" s="29" t="s">
        <v>134</v>
      </c>
      <c r="H12" s="29" t="s">
        <v>135</v>
      </c>
      <c r="I12" s="29" t="s">
        <v>135</v>
      </c>
      <c r="J12" s="29" t="s">
        <v>135</v>
      </c>
      <c r="K12" s="31"/>
      <c r="L12" s="31">
        <v>2</v>
      </c>
      <c r="M12" s="34">
        <f t="shared" si="25"/>
        <v>7</v>
      </c>
      <c r="N12" s="31" t="s">
        <v>105</v>
      </c>
      <c r="O12" s="31" t="s">
        <v>106</v>
      </c>
      <c r="P12" s="37" t="s">
        <v>107</v>
      </c>
      <c r="Q12" s="31"/>
      <c r="R12" s="31"/>
      <c r="S12" s="31"/>
      <c r="T12" s="31"/>
      <c r="U12" s="31"/>
      <c r="V12" s="31"/>
      <c r="W12" s="31"/>
      <c r="X12" s="31" t="s">
        <v>108</v>
      </c>
      <c r="Y12" s="31" t="s">
        <v>109</v>
      </c>
      <c r="Z12" s="31"/>
      <c r="AA12" s="31"/>
      <c r="AB12" s="31"/>
      <c r="AD12" s="11">
        <f t="shared" si="26"/>
        <v>0</v>
      </c>
      <c r="AE12" s="11">
        <f t="shared" si="27"/>
        <v>0</v>
      </c>
      <c r="AF12" s="11">
        <f t="shared" si="37"/>
        <v>1</v>
      </c>
      <c r="AH12" s="11">
        <f t="shared" si="28"/>
        <v>0</v>
      </c>
      <c r="AI12" s="11">
        <f t="shared" si="29"/>
        <v>1</v>
      </c>
      <c r="AJ12" s="11">
        <f t="shared" si="30"/>
        <v>0</v>
      </c>
      <c r="AK12" s="22">
        <v>1</v>
      </c>
      <c r="AM12" s="11">
        <f t="shared" ref="AM12:AN12" si="47">SUMIFS(AO$3:AO$251,$A$3:$A$251,$A12)</f>
        <v>0</v>
      </c>
      <c r="AN12" s="11">
        <f t="shared" si="47"/>
        <v>1</v>
      </c>
      <c r="AO12" s="11">
        <f t="shared" si="32"/>
        <v>0</v>
      </c>
      <c r="AP12" s="22">
        <v>1</v>
      </c>
      <c r="AQ12" s="22"/>
      <c r="AR12" s="22">
        <f t="shared" si="33"/>
        <v>1</v>
      </c>
      <c r="AS12" s="22">
        <f t="shared" ref="AS12:AV12" si="48">IF(OR(G12="",G12="TBD",G12="N/A",G12="SDK",G12="SAAS"),0,1)</f>
        <v>1</v>
      </c>
      <c r="AT12" s="22">
        <f t="shared" si="48"/>
        <v>0</v>
      </c>
      <c r="AU12" s="22">
        <f t="shared" si="48"/>
        <v>0</v>
      </c>
      <c r="AV12" s="22">
        <f t="shared" si="48"/>
        <v>0</v>
      </c>
      <c r="AX12" s="11">
        <f t="shared" si="35"/>
        <v>4</v>
      </c>
      <c r="AY12" s="22">
        <f t="shared" ref="AY12:BB12" si="49">IF(OR(G12="",G12="N/A",G12="SDK",G12="SAAS"),0,1)</f>
        <v>1</v>
      </c>
      <c r="AZ12" s="22">
        <f t="shared" si="49"/>
        <v>1</v>
      </c>
      <c r="BA12" s="22">
        <f t="shared" si="49"/>
        <v>1</v>
      </c>
      <c r="BB12" s="22">
        <f t="shared" si="49"/>
        <v>1</v>
      </c>
      <c r="BD12" s="22"/>
      <c r="BE12" s="22"/>
      <c r="BF12" s="22"/>
      <c r="BG12" s="22"/>
    </row>
    <row r="13" spans="1:59">
      <c r="A13" s="23" t="s">
        <v>136</v>
      </c>
      <c r="B13" s="24" t="s">
        <v>26</v>
      </c>
      <c r="C13" s="25" t="s">
        <v>137</v>
      </c>
      <c r="D13" s="30" t="s">
        <v>148</v>
      </c>
      <c r="E13" s="35" t="str">
        <f t="shared" si="24"/>
        <v>Validar la coincidencia facial contra el INE</v>
      </c>
      <c r="F13" s="42"/>
      <c r="G13" s="43" t="s">
        <v>138</v>
      </c>
      <c r="H13" s="68" t="s">
        <v>129</v>
      </c>
      <c r="I13" s="43" t="s">
        <v>139</v>
      </c>
      <c r="J13" s="43" t="s">
        <v>140</v>
      </c>
      <c r="K13" s="31"/>
      <c r="L13" s="31">
        <v>1</v>
      </c>
      <c r="M13" s="34">
        <f t="shared" si="25"/>
        <v>3.5</v>
      </c>
      <c r="N13" s="31" t="s">
        <v>105</v>
      </c>
      <c r="O13" s="31" t="s">
        <v>106</v>
      </c>
      <c r="P13" s="37" t="s">
        <v>107</v>
      </c>
      <c r="Q13" s="31"/>
      <c r="R13" s="31"/>
      <c r="S13" s="31"/>
      <c r="T13" s="31"/>
      <c r="U13" s="31"/>
      <c r="V13" s="31"/>
      <c r="W13" s="31"/>
      <c r="X13" s="31" t="s">
        <v>108</v>
      </c>
      <c r="Y13" s="31" t="s">
        <v>109</v>
      </c>
      <c r="Z13" s="31"/>
      <c r="AA13" s="31"/>
      <c r="AB13" s="31"/>
      <c r="AD13" s="11">
        <f t="shared" si="26"/>
        <v>0</v>
      </c>
      <c r="AE13" s="11">
        <f t="shared" si="27"/>
        <v>1</v>
      </c>
      <c r="AF13" s="11">
        <f t="shared" si="37"/>
        <v>1</v>
      </c>
      <c r="AH13" s="11">
        <f t="shared" si="28"/>
        <v>1</v>
      </c>
      <c r="AI13" s="11">
        <f t="shared" si="29"/>
        <v>2</v>
      </c>
      <c r="AJ13" s="11">
        <f t="shared" si="30"/>
        <v>1</v>
      </c>
      <c r="AK13" s="22">
        <v>1</v>
      </c>
      <c r="AM13" s="11">
        <f t="shared" ref="AM13:AN13" si="50">SUMIFS(AO$3:AO$251,$A$3:$A$251,$A13)</f>
        <v>2</v>
      </c>
      <c r="AN13" s="11">
        <f t="shared" si="50"/>
        <v>2</v>
      </c>
      <c r="AO13" s="11">
        <f t="shared" si="32"/>
        <v>1</v>
      </c>
      <c r="AP13" s="22">
        <v>1</v>
      </c>
      <c r="AQ13" s="22"/>
      <c r="AR13" s="22">
        <f t="shared" si="33"/>
        <v>4</v>
      </c>
      <c r="AS13" s="22">
        <f t="shared" ref="AS13:AV13" si="51">IF(OR(G13="",G13="TBD",G13="N/A",G13="SDK",G13="SAAS"),0,1)</f>
        <v>1</v>
      </c>
      <c r="AT13" s="22">
        <f t="shared" si="51"/>
        <v>1</v>
      </c>
      <c r="AU13" s="22">
        <f t="shared" si="51"/>
        <v>1</v>
      </c>
      <c r="AV13" s="22">
        <f t="shared" si="51"/>
        <v>1</v>
      </c>
      <c r="AX13" s="11">
        <f t="shared" si="35"/>
        <v>4</v>
      </c>
      <c r="AY13" s="22">
        <f t="shared" ref="AY13:BB13" si="52">IF(OR(G13="",G13="N/A",G13="SDK",G13="SAAS"),0,1)</f>
        <v>1</v>
      </c>
      <c r="AZ13" s="22">
        <f t="shared" si="52"/>
        <v>1</v>
      </c>
      <c r="BA13" s="22">
        <f t="shared" si="52"/>
        <v>1</v>
      </c>
      <c r="BB13" s="22">
        <f t="shared" si="52"/>
        <v>1</v>
      </c>
      <c r="BD13" s="22"/>
      <c r="BE13" s="22"/>
      <c r="BF13" s="22"/>
      <c r="BG13" s="22"/>
    </row>
    <row r="14" spans="1:59">
      <c r="A14" s="23" t="s">
        <v>136</v>
      </c>
      <c r="B14" s="24" t="s">
        <v>26</v>
      </c>
      <c r="C14" s="25" t="s">
        <v>137</v>
      </c>
      <c r="D14" s="30" t="s">
        <v>151</v>
      </c>
      <c r="E14" s="35" t="str">
        <f t="shared" si="24"/>
        <v>Calcular el RFC del cliente / prospecto</v>
      </c>
      <c r="F14" s="26" t="s">
        <v>110</v>
      </c>
      <c r="G14" s="29" t="s">
        <v>110</v>
      </c>
      <c r="H14" s="29" t="s">
        <v>102</v>
      </c>
      <c r="I14" s="29" t="s">
        <v>102</v>
      </c>
      <c r="J14" s="29" t="s">
        <v>102</v>
      </c>
      <c r="K14" s="31"/>
      <c r="L14" s="31"/>
      <c r="M14" s="34">
        <f t="shared" si="25"/>
        <v>0</v>
      </c>
      <c r="N14" s="31" t="s">
        <v>105</v>
      </c>
      <c r="O14" s="31" t="s">
        <v>106</v>
      </c>
      <c r="P14" s="37" t="s">
        <v>107</v>
      </c>
      <c r="Q14" s="31"/>
      <c r="R14" s="31"/>
      <c r="S14" s="31"/>
      <c r="T14" s="31"/>
      <c r="U14" s="31"/>
      <c r="V14" s="31"/>
      <c r="W14" s="31"/>
      <c r="X14" s="31" t="s">
        <v>108</v>
      </c>
      <c r="Y14" s="31" t="s">
        <v>109</v>
      </c>
      <c r="Z14" s="31"/>
      <c r="AA14" s="31"/>
      <c r="AB14" s="31"/>
      <c r="AD14" s="11">
        <f t="shared" si="26"/>
        <v>0</v>
      </c>
      <c r="AE14" s="11">
        <f t="shared" si="27"/>
        <v>0</v>
      </c>
      <c r="AF14" s="11">
        <f t="shared" si="37"/>
        <v>0</v>
      </c>
      <c r="AH14" s="11">
        <f t="shared" si="28"/>
        <v>1</v>
      </c>
      <c r="AI14" s="11">
        <f t="shared" si="29"/>
        <v>2</v>
      </c>
      <c r="AJ14" s="11">
        <f t="shared" si="30"/>
        <v>0</v>
      </c>
      <c r="AK14" s="22">
        <v>1</v>
      </c>
      <c r="AM14" s="11">
        <f t="shared" ref="AM14:AN14" si="53">SUMIFS(AO$3:AO$251,$A$3:$A$251,$A14)</f>
        <v>2</v>
      </c>
      <c r="AN14" s="11">
        <f t="shared" si="53"/>
        <v>2</v>
      </c>
      <c r="AO14" s="11">
        <f t="shared" si="32"/>
        <v>1</v>
      </c>
      <c r="AP14" s="22">
        <v>1</v>
      </c>
      <c r="AQ14" s="22"/>
      <c r="AR14" s="22">
        <f t="shared" si="33"/>
        <v>0</v>
      </c>
      <c r="AS14" s="22">
        <f t="shared" ref="AS14:AV14" si="54">IF(OR(G14="",G14="TBD",G14="N/A",G14="SDK",G14="SAAS"),0,1)</f>
        <v>0</v>
      </c>
      <c r="AT14" s="22">
        <f t="shared" si="54"/>
        <v>0</v>
      </c>
      <c r="AU14" s="22">
        <f t="shared" si="54"/>
        <v>0</v>
      </c>
      <c r="AV14" s="22">
        <f t="shared" si="54"/>
        <v>0</v>
      </c>
      <c r="AX14" s="11">
        <f t="shared" si="35"/>
        <v>0</v>
      </c>
      <c r="AY14" s="22">
        <f t="shared" ref="AY14:BB14" si="55">IF(OR(G14="",G14="N/A",G14="SDK",G14="SAAS"),0,1)</f>
        <v>0</v>
      </c>
      <c r="AZ14" s="22">
        <f t="shared" si="55"/>
        <v>0</v>
      </c>
      <c r="BA14" s="22">
        <f t="shared" si="55"/>
        <v>0</v>
      </c>
      <c r="BB14" s="22">
        <f t="shared" si="55"/>
        <v>0</v>
      </c>
      <c r="BD14" s="22"/>
      <c r="BE14" s="22"/>
      <c r="BF14" s="22"/>
      <c r="BG14" s="22"/>
    </row>
    <row r="15" spans="1:59">
      <c r="A15" s="23" t="s">
        <v>141</v>
      </c>
      <c r="B15" s="24" t="s">
        <v>26</v>
      </c>
      <c r="C15" s="25" t="s">
        <v>142</v>
      </c>
      <c r="D15" s="44" t="s">
        <v>155</v>
      </c>
      <c r="E15" s="35" t="str">
        <f t="shared" si="24"/>
        <v>Validar el CURP ante RENAPO</v>
      </c>
      <c r="F15" s="42"/>
      <c r="G15" s="43" t="s">
        <v>135</v>
      </c>
      <c r="H15" s="43" t="s">
        <v>135</v>
      </c>
      <c r="I15" s="71" t="s">
        <v>143</v>
      </c>
      <c r="J15" s="71" t="s">
        <v>144</v>
      </c>
      <c r="K15" s="31"/>
      <c r="L15" s="31"/>
      <c r="M15" s="34">
        <f t="shared" si="25"/>
        <v>0</v>
      </c>
      <c r="N15" s="31" t="s">
        <v>105</v>
      </c>
      <c r="O15" s="31" t="s">
        <v>106</v>
      </c>
      <c r="P15" s="37" t="s">
        <v>107</v>
      </c>
      <c r="Q15" s="31"/>
      <c r="R15" s="31"/>
      <c r="S15" s="31"/>
      <c r="T15" s="31"/>
      <c r="U15" s="31"/>
      <c r="V15" s="31"/>
      <c r="W15" s="31"/>
      <c r="X15" s="31" t="s">
        <v>108</v>
      </c>
      <c r="Y15" s="31" t="s">
        <v>109</v>
      </c>
      <c r="Z15" s="31"/>
      <c r="AA15" s="31"/>
      <c r="AB15" s="31"/>
      <c r="AD15" s="11">
        <f t="shared" si="26"/>
        <v>0</v>
      </c>
      <c r="AE15" s="11">
        <f t="shared" si="27"/>
        <v>0</v>
      </c>
      <c r="AF15" s="11">
        <f t="shared" ref="AF15:AF17" si="56">IF(ISNUMBER(MATCH(A15,$A$2:A13,0)),0,1)</f>
        <v>1</v>
      </c>
      <c r="AH15" s="11">
        <f t="shared" si="28"/>
        <v>0</v>
      </c>
      <c r="AI15" s="11">
        <f t="shared" si="29"/>
        <v>2</v>
      </c>
      <c r="AJ15" s="11">
        <f t="shared" si="30"/>
        <v>0</v>
      </c>
      <c r="AK15" s="22">
        <v>1</v>
      </c>
      <c r="AM15" s="11">
        <f t="shared" ref="AM15:AN15" si="57">SUMIFS(AO$3:AO$251,$A$3:$A$251,$A15)</f>
        <v>0</v>
      </c>
      <c r="AN15" s="11">
        <f t="shared" si="57"/>
        <v>2</v>
      </c>
      <c r="AO15" s="11">
        <f t="shared" si="32"/>
        <v>0</v>
      </c>
      <c r="AP15" s="22">
        <v>1</v>
      </c>
      <c r="AQ15" s="22"/>
      <c r="AR15" s="22">
        <f t="shared" si="33"/>
        <v>2</v>
      </c>
      <c r="AS15" s="22">
        <f t="shared" ref="AS15:AV15" si="58">IF(OR(G15="",G15="TBD",G15="N/A",G15="SDK",G15="SAAS"),0,1)</f>
        <v>0</v>
      </c>
      <c r="AT15" s="22">
        <f t="shared" si="58"/>
        <v>0</v>
      </c>
      <c r="AU15" s="22">
        <f t="shared" si="58"/>
        <v>1</v>
      </c>
      <c r="AV15" s="22">
        <f t="shared" si="58"/>
        <v>1</v>
      </c>
      <c r="AX15" s="11">
        <f t="shared" si="35"/>
        <v>4</v>
      </c>
      <c r="AY15" s="22">
        <f t="shared" ref="AY15:BB15" si="59">IF(OR(G15="",G15="N/A",G15="SDK",G15="SAAS"),0,1)</f>
        <v>1</v>
      </c>
      <c r="AZ15" s="22">
        <f t="shared" si="59"/>
        <v>1</v>
      </c>
      <c r="BA15" s="22">
        <f t="shared" si="59"/>
        <v>1</v>
      </c>
      <c r="BB15" s="22">
        <f t="shared" si="59"/>
        <v>1</v>
      </c>
      <c r="BD15" s="22"/>
      <c r="BE15" s="22"/>
      <c r="BF15" s="22"/>
      <c r="BG15" s="22"/>
    </row>
    <row r="16" spans="1:59">
      <c r="A16" s="23" t="s">
        <v>141</v>
      </c>
      <c r="B16" s="24" t="s">
        <v>26</v>
      </c>
      <c r="C16" s="25" t="s">
        <v>142</v>
      </c>
      <c r="D16" s="30" t="s">
        <v>159</v>
      </c>
      <c r="E16" s="35" t="str">
        <f t="shared" si="24"/>
        <v>Extraer la información dentro del comprobante de domicilio (OCR)</v>
      </c>
      <c r="F16" s="42"/>
      <c r="G16" s="43" t="s">
        <v>135</v>
      </c>
      <c r="H16" s="43" t="s">
        <v>135</v>
      </c>
      <c r="I16" s="71" t="s">
        <v>145</v>
      </c>
      <c r="J16" s="71" t="s">
        <v>146</v>
      </c>
      <c r="K16" s="31"/>
      <c r="L16" s="31"/>
      <c r="M16" s="34">
        <f t="shared" si="25"/>
        <v>0</v>
      </c>
      <c r="N16" s="31" t="s">
        <v>105</v>
      </c>
      <c r="O16" s="31" t="s">
        <v>106</v>
      </c>
      <c r="P16" s="37" t="s">
        <v>107</v>
      </c>
      <c r="Q16" s="31"/>
      <c r="R16" s="31"/>
      <c r="S16" s="31"/>
      <c r="T16" s="31"/>
      <c r="U16" s="31"/>
      <c r="V16" s="31"/>
      <c r="W16" s="31"/>
      <c r="X16" s="31" t="s">
        <v>108</v>
      </c>
      <c r="Y16" s="31" t="s">
        <v>109</v>
      </c>
      <c r="Z16" s="31"/>
      <c r="AA16" s="31"/>
      <c r="AB16" s="31"/>
      <c r="AD16" s="11">
        <f t="shared" si="26"/>
        <v>0</v>
      </c>
      <c r="AE16" s="11">
        <f t="shared" si="27"/>
        <v>0</v>
      </c>
      <c r="AF16" s="11">
        <f t="shared" si="56"/>
        <v>1</v>
      </c>
      <c r="AH16" s="11">
        <f t="shared" si="28"/>
        <v>0</v>
      </c>
      <c r="AI16" s="11">
        <f t="shared" si="29"/>
        <v>2</v>
      </c>
      <c r="AJ16" s="11">
        <f t="shared" si="30"/>
        <v>0</v>
      </c>
      <c r="AK16" s="22">
        <v>1</v>
      </c>
      <c r="AM16" s="11">
        <f t="shared" ref="AM16:AN16" si="60">SUMIFS(AO$3:AO$251,$A$3:$A$251,$A16)</f>
        <v>0</v>
      </c>
      <c r="AN16" s="11">
        <f t="shared" si="60"/>
        <v>2</v>
      </c>
      <c r="AO16" s="11">
        <f t="shared" si="32"/>
        <v>0</v>
      </c>
      <c r="AP16" s="22">
        <v>1</v>
      </c>
      <c r="AQ16" s="22"/>
      <c r="AR16" s="22">
        <f t="shared" si="33"/>
        <v>2</v>
      </c>
      <c r="AS16" s="22">
        <f t="shared" ref="AS16:AV16" si="61">IF(OR(G16="",G16="TBD",G16="N/A",G16="SDK",G16="SAAS"),0,1)</f>
        <v>0</v>
      </c>
      <c r="AT16" s="22">
        <f t="shared" si="61"/>
        <v>0</v>
      </c>
      <c r="AU16" s="22">
        <f t="shared" si="61"/>
        <v>1</v>
      </c>
      <c r="AV16" s="22">
        <f t="shared" si="61"/>
        <v>1</v>
      </c>
      <c r="AX16" s="11">
        <f t="shared" si="35"/>
        <v>4</v>
      </c>
      <c r="AY16" s="22">
        <f t="shared" ref="AY16:BB16" si="62">IF(OR(G16="",G16="N/A",G16="SDK",G16="SAAS"),0,1)</f>
        <v>1</v>
      </c>
      <c r="AZ16" s="22">
        <f t="shared" si="62"/>
        <v>1</v>
      </c>
      <c r="BA16" s="22">
        <f t="shared" si="62"/>
        <v>1</v>
      </c>
      <c r="BB16" s="22">
        <f t="shared" si="62"/>
        <v>1</v>
      </c>
      <c r="BD16" s="22"/>
      <c r="BE16" s="22"/>
      <c r="BF16" s="22"/>
      <c r="BG16" s="22"/>
    </row>
    <row r="17" spans="1:59">
      <c r="A17" s="23" t="s">
        <v>147</v>
      </c>
      <c r="B17" s="24" t="s">
        <v>26</v>
      </c>
      <c r="C17" s="25" t="s">
        <v>148</v>
      </c>
      <c r="D17" s="30" t="s">
        <v>295</v>
      </c>
      <c r="E17" s="35" t="s">
        <v>107</v>
      </c>
      <c r="F17" s="42"/>
      <c r="G17" s="72" t="s">
        <v>149</v>
      </c>
      <c r="H17" s="72"/>
      <c r="I17" s="43"/>
      <c r="J17" s="43"/>
      <c r="K17" s="31"/>
      <c r="L17" s="31"/>
      <c r="M17" s="34">
        <f t="shared" si="25"/>
        <v>0</v>
      </c>
      <c r="N17" s="31" t="s">
        <v>105</v>
      </c>
      <c r="O17" s="31" t="s">
        <v>106</v>
      </c>
      <c r="P17" s="37" t="s">
        <v>107</v>
      </c>
      <c r="Q17" s="31"/>
      <c r="R17" s="31"/>
      <c r="S17" s="31"/>
      <c r="T17" s="31"/>
      <c r="U17" s="31"/>
      <c r="V17" s="31"/>
      <c r="W17" s="31"/>
      <c r="X17" s="31" t="s">
        <v>108</v>
      </c>
      <c r="Y17" s="31" t="s">
        <v>109</v>
      </c>
      <c r="Z17" s="31"/>
      <c r="AA17" s="31"/>
      <c r="AB17" s="31"/>
      <c r="AD17" s="11">
        <f t="shared" si="26"/>
        <v>1</v>
      </c>
      <c r="AE17" s="11">
        <f t="shared" si="27"/>
        <v>1</v>
      </c>
      <c r="AF17" s="11">
        <f t="shared" si="56"/>
        <v>1</v>
      </c>
      <c r="AH17" s="11">
        <f t="shared" si="28"/>
        <v>1</v>
      </c>
      <c r="AI17" s="11">
        <f t="shared" si="29"/>
        <v>1</v>
      </c>
      <c r="AJ17" s="11">
        <f t="shared" si="30"/>
        <v>1</v>
      </c>
      <c r="AK17" s="22">
        <v>1</v>
      </c>
      <c r="AM17" s="11">
        <f t="shared" ref="AM17:AN17" si="63">SUMIFS(AO$3:AO$251,$A$3:$A$251,$A17)</f>
        <v>1</v>
      </c>
      <c r="AN17" s="11">
        <f t="shared" si="63"/>
        <v>1</v>
      </c>
      <c r="AO17" s="11">
        <f t="shared" si="32"/>
        <v>1</v>
      </c>
      <c r="AP17" s="22">
        <v>1</v>
      </c>
      <c r="AQ17" s="22"/>
      <c r="AR17" s="22">
        <f t="shared" si="33"/>
        <v>1</v>
      </c>
      <c r="AS17" s="22">
        <f t="shared" ref="AS17:AV17" si="64">IF(OR(G17="",G17="TBD",G17="N/A",G17="SDK",G17="SAAS"),0,1)</f>
        <v>1</v>
      </c>
      <c r="AT17" s="22">
        <f t="shared" si="64"/>
        <v>0</v>
      </c>
      <c r="AU17" s="22">
        <f t="shared" si="64"/>
        <v>0</v>
      </c>
      <c r="AV17" s="22">
        <f t="shared" si="64"/>
        <v>0</v>
      </c>
      <c r="AX17" s="11">
        <f t="shared" si="35"/>
        <v>1</v>
      </c>
      <c r="AY17" s="22">
        <f t="shared" ref="AY17:BB17" si="65">IF(OR(G17="",G17="N/A",G17="SDK",G17="SAAS"),0,1)</f>
        <v>1</v>
      </c>
      <c r="AZ17" s="22">
        <f t="shared" si="65"/>
        <v>0</v>
      </c>
      <c r="BA17" s="22">
        <f t="shared" si="65"/>
        <v>0</v>
      </c>
      <c r="BB17" s="22">
        <f t="shared" si="65"/>
        <v>0</v>
      </c>
      <c r="BD17" s="22"/>
      <c r="BE17" s="22"/>
      <c r="BF17" s="22"/>
      <c r="BG17" s="22"/>
    </row>
    <row r="18" spans="1:59">
      <c r="A18" s="23" t="s">
        <v>150</v>
      </c>
      <c r="B18" s="24" t="s">
        <v>26</v>
      </c>
      <c r="C18" s="25" t="s">
        <v>151</v>
      </c>
      <c r="D18" s="30" t="s">
        <v>296</v>
      </c>
      <c r="E18" s="35" t="s">
        <v>107</v>
      </c>
      <c r="F18" s="42"/>
      <c r="G18" s="43" t="s">
        <v>102</v>
      </c>
      <c r="H18" s="43" t="s">
        <v>102</v>
      </c>
      <c r="I18" s="43" t="s">
        <v>152</v>
      </c>
      <c r="J18" s="75" t="s">
        <v>153</v>
      </c>
      <c r="K18" s="31"/>
      <c r="L18" s="31">
        <v>1</v>
      </c>
      <c r="M18" s="34">
        <f t="shared" si="25"/>
        <v>3.5</v>
      </c>
      <c r="N18" s="31" t="s">
        <v>105</v>
      </c>
      <c r="O18" s="31" t="s">
        <v>106</v>
      </c>
      <c r="P18" s="37" t="s">
        <v>107</v>
      </c>
      <c r="Q18" s="31"/>
      <c r="R18" s="31"/>
      <c r="S18" s="31"/>
      <c r="T18" s="31"/>
      <c r="U18" s="31"/>
      <c r="V18" s="31"/>
      <c r="W18" s="31"/>
      <c r="X18" s="31" t="s">
        <v>108</v>
      </c>
      <c r="Y18" s="31" t="s">
        <v>109</v>
      </c>
      <c r="Z18" s="31"/>
      <c r="AA18" s="31"/>
      <c r="AB18" s="31"/>
      <c r="AD18" s="11">
        <f t="shared" si="26"/>
        <v>1</v>
      </c>
      <c r="AE18" s="11">
        <f t="shared" si="27"/>
        <v>1</v>
      </c>
      <c r="AF18" s="11">
        <f t="shared" ref="AF18:AF29" si="66">IF(ISNUMBER(MATCH(A18,$A$2:A17,0)),0,1)</f>
        <v>1</v>
      </c>
      <c r="AH18" s="11">
        <f t="shared" si="28"/>
        <v>1</v>
      </c>
      <c r="AI18" s="11">
        <f t="shared" si="29"/>
        <v>1</v>
      </c>
      <c r="AJ18" s="11">
        <f t="shared" si="30"/>
        <v>1</v>
      </c>
      <c r="AK18" s="22">
        <v>1</v>
      </c>
      <c r="AM18" s="11">
        <f t="shared" ref="AM18:AN18" si="67">SUMIFS(AO$3:AO$251,$A$3:$A$251,$A18)</f>
        <v>1</v>
      </c>
      <c r="AN18" s="11">
        <f t="shared" si="67"/>
        <v>1</v>
      </c>
      <c r="AO18" s="11">
        <f t="shared" si="32"/>
        <v>1</v>
      </c>
      <c r="AP18" s="22">
        <v>1</v>
      </c>
      <c r="AQ18" s="22"/>
      <c r="AR18" s="22">
        <f t="shared" si="33"/>
        <v>2</v>
      </c>
      <c r="AS18" s="22">
        <f t="shared" ref="AS18:AV18" si="68">IF(OR(G18="",G18="TBD",G18="N/A",G18="SDK",G18="SAAS"),0,1)</f>
        <v>0</v>
      </c>
      <c r="AT18" s="22">
        <f t="shared" si="68"/>
        <v>0</v>
      </c>
      <c r="AU18" s="22">
        <f t="shared" si="68"/>
        <v>1</v>
      </c>
      <c r="AV18" s="22">
        <f t="shared" si="68"/>
        <v>1</v>
      </c>
      <c r="AX18" s="11">
        <f t="shared" si="35"/>
        <v>2</v>
      </c>
      <c r="AY18" s="22">
        <f t="shared" ref="AY18:BB18" si="69">IF(OR(G18="",G18="N/A",G18="SDK",G18="SAAS"),0,1)</f>
        <v>0</v>
      </c>
      <c r="AZ18" s="22">
        <f t="shared" si="69"/>
        <v>0</v>
      </c>
      <c r="BA18" s="22">
        <f t="shared" si="69"/>
        <v>1</v>
      </c>
      <c r="BB18" s="22">
        <f t="shared" si="69"/>
        <v>1</v>
      </c>
      <c r="BD18" s="22"/>
      <c r="BE18" s="22"/>
      <c r="BF18" s="22"/>
      <c r="BG18" s="22"/>
    </row>
    <row r="19" spans="1:59">
      <c r="A19" s="23" t="s">
        <v>154</v>
      </c>
      <c r="B19" s="24" t="s">
        <v>26</v>
      </c>
      <c r="C19" s="25" t="s">
        <v>155</v>
      </c>
      <c r="D19" s="30" t="s">
        <v>297</v>
      </c>
      <c r="E19" s="35" t="e">
        <f t="shared" ref="E19:E26" si="70">VLOOKUP(D19,C:C,1,FALSE)</f>
        <v>#N/A</v>
      </c>
      <c r="F19" s="42"/>
      <c r="G19" s="43" t="s">
        <v>102</v>
      </c>
      <c r="H19" s="43" t="s">
        <v>102</v>
      </c>
      <c r="I19" s="43" t="s">
        <v>156</v>
      </c>
      <c r="J19" s="72" t="s">
        <v>157</v>
      </c>
      <c r="K19" s="31"/>
      <c r="L19" s="31">
        <v>1</v>
      </c>
      <c r="M19" s="34">
        <f t="shared" si="25"/>
        <v>3.5</v>
      </c>
      <c r="N19" s="31" t="s">
        <v>105</v>
      </c>
      <c r="O19" s="31" t="s">
        <v>106</v>
      </c>
      <c r="P19" s="37" t="s">
        <v>107</v>
      </c>
      <c r="Q19" s="31"/>
      <c r="R19" s="31"/>
      <c r="S19" s="31"/>
      <c r="T19" s="31"/>
      <c r="U19" s="31"/>
      <c r="V19" s="31"/>
      <c r="W19" s="31"/>
      <c r="X19" s="31" t="s">
        <v>108</v>
      </c>
      <c r="Y19" s="31" t="s">
        <v>109</v>
      </c>
      <c r="Z19" s="31"/>
      <c r="AA19" s="31"/>
      <c r="AB19" s="31"/>
      <c r="AD19" s="11">
        <f t="shared" si="26"/>
        <v>1</v>
      </c>
      <c r="AE19" s="11">
        <f t="shared" si="27"/>
        <v>1</v>
      </c>
      <c r="AF19" s="11">
        <f t="shared" si="66"/>
        <v>1</v>
      </c>
      <c r="AH19" s="11">
        <f t="shared" si="28"/>
        <v>1</v>
      </c>
      <c r="AI19" s="11">
        <f t="shared" si="29"/>
        <v>1</v>
      </c>
      <c r="AJ19" s="11">
        <f t="shared" si="30"/>
        <v>1</v>
      </c>
      <c r="AK19" s="22">
        <v>1</v>
      </c>
      <c r="AM19" s="11">
        <f t="shared" ref="AM19:AN19" si="71">SUMIFS(AO$3:AO$251,$A$3:$A$251,$A19)</f>
        <v>1</v>
      </c>
      <c r="AN19" s="11">
        <f t="shared" si="71"/>
        <v>1</v>
      </c>
      <c r="AO19" s="11">
        <f t="shared" si="32"/>
        <v>1</v>
      </c>
      <c r="AP19" s="22">
        <v>1</v>
      </c>
      <c r="AQ19" s="22"/>
      <c r="AR19" s="22">
        <f t="shared" si="33"/>
        <v>2</v>
      </c>
      <c r="AS19" s="22">
        <f t="shared" ref="AS19:AV19" si="72">IF(OR(G19="",G19="TBD",G19="N/A",G19="SDK",G19="SAAS"),0,1)</f>
        <v>0</v>
      </c>
      <c r="AT19" s="22">
        <f t="shared" si="72"/>
        <v>0</v>
      </c>
      <c r="AU19" s="22">
        <f t="shared" si="72"/>
        <v>1</v>
      </c>
      <c r="AV19" s="22">
        <f t="shared" si="72"/>
        <v>1</v>
      </c>
      <c r="AX19" s="11">
        <f t="shared" si="35"/>
        <v>2</v>
      </c>
      <c r="AY19" s="22">
        <f t="shared" ref="AY19:BB19" si="73">IF(OR(G19="",G19="N/A",G19="SDK",G19="SAAS"),0,1)</f>
        <v>0</v>
      </c>
      <c r="AZ19" s="22">
        <f t="shared" si="73"/>
        <v>0</v>
      </c>
      <c r="BA19" s="22">
        <f t="shared" si="73"/>
        <v>1</v>
      </c>
      <c r="BB19" s="22">
        <f t="shared" si="73"/>
        <v>1</v>
      </c>
      <c r="BD19" s="22"/>
      <c r="BE19" s="22"/>
      <c r="BF19" s="22"/>
      <c r="BG19" s="22"/>
    </row>
    <row r="20" spans="1:59">
      <c r="A20" s="23" t="s">
        <v>158</v>
      </c>
      <c r="B20" s="24" t="s">
        <v>26</v>
      </c>
      <c r="C20" s="25" t="s">
        <v>159</v>
      </c>
      <c r="D20" s="30" t="s">
        <v>171</v>
      </c>
      <c r="E20" s="35" t="str">
        <f t="shared" si="70"/>
        <v>Obtener la Dirección IP del dispositivo en donde se está ejecutando el proceso</v>
      </c>
      <c r="F20" s="77"/>
      <c r="G20" s="43" t="s">
        <v>138</v>
      </c>
      <c r="H20" s="68" t="s">
        <v>129</v>
      </c>
      <c r="I20" s="43" t="s">
        <v>139</v>
      </c>
      <c r="J20" s="43" t="s">
        <v>140</v>
      </c>
      <c r="K20" s="31"/>
      <c r="L20" s="31"/>
      <c r="M20" s="34">
        <f t="shared" si="25"/>
        <v>0</v>
      </c>
      <c r="N20" s="31" t="s">
        <v>105</v>
      </c>
      <c r="O20" s="31" t="s">
        <v>106</v>
      </c>
      <c r="P20" s="37" t="s">
        <v>107</v>
      </c>
      <c r="Q20" s="31"/>
      <c r="R20" s="31"/>
      <c r="S20" s="31"/>
      <c r="T20" s="31"/>
      <c r="U20" s="31"/>
      <c r="V20" s="31"/>
      <c r="W20" s="31"/>
      <c r="X20" s="31" t="s">
        <v>108</v>
      </c>
      <c r="Y20" s="31" t="s">
        <v>109</v>
      </c>
      <c r="Z20" s="31"/>
      <c r="AA20" s="31"/>
      <c r="AB20" s="31"/>
      <c r="AD20" s="11">
        <f t="shared" si="26"/>
        <v>1</v>
      </c>
      <c r="AE20" s="11">
        <f t="shared" si="27"/>
        <v>1</v>
      </c>
      <c r="AF20" s="11">
        <f t="shared" si="66"/>
        <v>1</v>
      </c>
      <c r="AH20" s="11">
        <f t="shared" si="28"/>
        <v>1</v>
      </c>
      <c r="AI20" s="11">
        <f t="shared" si="29"/>
        <v>1</v>
      </c>
      <c r="AJ20" s="11">
        <f t="shared" si="30"/>
        <v>1</v>
      </c>
      <c r="AK20" s="22">
        <v>1</v>
      </c>
      <c r="AM20" s="11">
        <f t="shared" ref="AM20:AN20" si="74">SUMIFS(AO$3:AO$251,$A$3:$A$251,$A20)</f>
        <v>1</v>
      </c>
      <c r="AN20" s="11">
        <f t="shared" si="74"/>
        <v>1</v>
      </c>
      <c r="AO20" s="11">
        <f t="shared" si="32"/>
        <v>1</v>
      </c>
      <c r="AP20" s="22">
        <v>1</v>
      </c>
      <c r="AQ20" s="22"/>
      <c r="AR20" s="22">
        <f t="shared" si="33"/>
        <v>4</v>
      </c>
      <c r="AS20" s="22">
        <f t="shared" ref="AS20:AV20" si="75">IF(OR(G20="",G20="TBD",G20="N/A",G20="SDK",G20="SAAS"),0,1)</f>
        <v>1</v>
      </c>
      <c r="AT20" s="22">
        <f t="shared" si="75"/>
        <v>1</v>
      </c>
      <c r="AU20" s="22">
        <f t="shared" si="75"/>
        <v>1</v>
      </c>
      <c r="AV20" s="22">
        <f t="shared" si="75"/>
        <v>1</v>
      </c>
      <c r="AX20" s="11">
        <f t="shared" si="35"/>
        <v>4</v>
      </c>
      <c r="AY20" s="22">
        <f t="shared" ref="AY20:BB20" si="76">IF(OR(G20="",G20="N/A",G20="SDK",G20="SAAS"),0,1)</f>
        <v>1</v>
      </c>
      <c r="AZ20" s="22">
        <f t="shared" si="76"/>
        <v>1</v>
      </c>
      <c r="BA20" s="22">
        <f t="shared" si="76"/>
        <v>1</v>
      </c>
      <c r="BB20" s="22">
        <f t="shared" si="76"/>
        <v>1</v>
      </c>
      <c r="BD20" s="22"/>
      <c r="BE20" s="22"/>
      <c r="BF20" s="22"/>
      <c r="BG20" s="22"/>
    </row>
    <row r="21" spans="1:59">
      <c r="A21" s="23" t="s">
        <v>160</v>
      </c>
      <c r="B21" s="24" t="s">
        <v>26</v>
      </c>
      <c r="C21" s="25" t="s">
        <v>161</v>
      </c>
      <c r="D21" s="30" t="s">
        <v>176</v>
      </c>
      <c r="E21" s="35" t="str">
        <f t="shared" si="70"/>
        <v>Obtener la Geolocalización (longitud y altitud)</v>
      </c>
      <c r="F21" s="42" t="s">
        <v>110</v>
      </c>
      <c r="G21" s="43" t="s">
        <v>110</v>
      </c>
      <c r="H21" s="43" t="s">
        <v>110</v>
      </c>
      <c r="I21" s="43" t="s">
        <v>110</v>
      </c>
      <c r="J21" s="43" t="s">
        <v>110</v>
      </c>
      <c r="K21" s="31"/>
      <c r="L21" s="31"/>
      <c r="M21" s="34">
        <f t="shared" si="25"/>
        <v>0</v>
      </c>
      <c r="N21" s="31" t="s">
        <v>105</v>
      </c>
      <c r="O21" s="31" t="s">
        <v>106</v>
      </c>
      <c r="P21" s="37" t="s">
        <v>107</v>
      </c>
      <c r="Q21" s="31"/>
      <c r="R21" s="31"/>
      <c r="S21" s="31"/>
      <c r="T21" s="31"/>
      <c r="U21" s="31"/>
      <c r="V21" s="31"/>
      <c r="W21" s="31"/>
      <c r="X21" s="31" t="s">
        <v>108</v>
      </c>
      <c r="Y21" s="31" t="s">
        <v>109</v>
      </c>
      <c r="Z21" s="31"/>
      <c r="AA21" s="31"/>
      <c r="AB21" s="31"/>
      <c r="AD21" s="11">
        <f t="shared" si="26"/>
        <v>0</v>
      </c>
      <c r="AE21" s="11">
        <f t="shared" si="27"/>
        <v>1</v>
      </c>
      <c r="AF21" s="11">
        <f t="shared" si="66"/>
        <v>1</v>
      </c>
      <c r="AH21" s="11">
        <f t="shared" si="28"/>
        <v>0</v>
      </c>
      <c r="AI21" s="11">
        <f t="shared" si="29"/>
        <v>1</v>
      </c>
      <c r="AJ21" s="11">
        <f t="shared" si="30"/>
        <v>0</v>
      </c>
      <c r="AK21" s="22">
        <v>1</v>
      </c>
      <c r="AM21" s="11">
        <f t="shared" ref="AM21:AN21" si="77">SUMIFS(AO$3:AO$251,$A$3:$A$251,$A21)</f>
        <v>1</v>
      </c>
      <c r="AN21" s="11">
        <f t="shared" si="77"/>
        <v>1</v>
      </c>
      <c r="AO21" s="11">
        <f t="shared" si="32"/>
        <v>1</v>
      </c>
      <c r="AP21" s="22">
        <v>1</v>
      </c>
      <c r="AQ21" s="22"/>
      <c r="AR21" s="22">
        <f t="shared" si="33"/>
        <v>0</v>
      </c>
      <c r="AS21" s="22">
        <f t="shared" ref="AS21:AV21" si="78">IF(OR(G21="",G21="TBD",G21="N/A",G21="SDK",G21="SAAS"),0,1)</f>
        <v>0</v>
      </c>
      <c r="AT21" s="22">
        <f t="shared" si="78"/>
        <v>0</v>
      </c>
      <c r="AU21" s="22">
        <f t="shared" si="78"/>
        <v>0</v>
      </c>
      <c r="AV21" s="22">
        <f t="shared" si="78"/>
        <v>0</v>
      </c>
      <c r="AX21" s="11">
        <f t="shared" si="35"/>
        <v>0</v>
      </c>
      <c r="AY21" s="22">
        <f t="shared" ref="AY21:BB21" si="79">IF(OR(G21="",G21="N/A",G21="SDK",G21="SAAS"),0,1)</f>
        <v>0</v>
      </c>
      <c r="AZ21" s="22">
        <f t="shared" si="79"/>
        <v>0</v>
      </c>
      <c r="BA21" s="22">
        <f t="shared" si="79"/>
        <v>0</v>
      </c>
      <c r="BB21" s="22">
        <f t="shared" si="79"/>
        <v>0</v>
      </c>
      <c r="BD21" s="22"/>
      <c r="BE21" s="22"/>
      <c r="BF21" s="22"/>
      <c r="BG21" s="22"/>
    </row>
    <row r="22" spans="1:59">
      <c r="A22" s="23" t="s">
        <v>162</v>
      </c>
      <c r="B22" s="24" t="s">
        <v>26</v>
      </c>
      <c r="C22" s="25" t="s">
        <v>163</v>
      </c>
      <c r="D22" s="30" t="s">
        <v>178</v>
      </c>
      <c r="E22" s="35" t="str">
        <f t="shared" si="70"/>
        <v>Generar el Hash ID del dispositivo</v>
      </c>
      <c r="F22" s="42" t="s">
        <v>110</v>
      </c>
      <c r="G22" s="43" t="s">
        <v>110</v>
      </c>
      <c r="H22" s="43" t="s">
        <v>110</v>
      </c>
      <c r="I22" s="43" t="s">
        <v>110</v>
      </c>
      <c r="J22" s="43" t="s">
        <v>110</v>
      </c>
      <c r="K22" s="31"/>
      <c r="L22" s="31"/>
      <c r="M22" s="34">
        <f t="shared" si="25"/>
        <v>0</v>
      </c>
      <c r="N22" s="31" t="s">
        <v>105</v>
      </c>
      <c r="O22" s="31" t="s">
        <v>106</v>
      </c>
      <c r="P22" s="37" t="s">
        <v>107</v>
      </c>
      <c r="Q22" s="31"/>
      <c r="R22" s="31"/>
      <c r="S22" s="31"/>
      <c r="T22" s="31"/>
      <c r="U22" s="31"/>
      <c r="V22" s="31"/>
      <c r="W22" s="31"/>
      <c r="X22" s="31" t="s">
        <v>108</v>
      </c>
      <c r="Y22" s="31" t="s">
        <v>109</v>
      </c>
      <c r="Z22" s="31"/>
      <c r="AA22" s="31"/>
      <c r="AB22" s="31"/>
      <c r="AD22" s="11">
        <f t="shared" si="26"/>
        <v>0</v>
      </c>
      <c r="AE22" s="11">
        <f t="shared" si="27"/>
        <v>1</v>
      </c>
      <c r="AF22" s="11">
        <f t="shared" si="66"/>
        <v>1</v>
      </c>
      <c r="AH22" s="11">
        <f t="shared" si="28"/>
        <v>0</v>
      </c>
      <c r="AI22" s="11">
        <f t="shared" si="29"/>
        <v>1</v>
      </c>
      <c r="AJ22" s="11">
        <f t="shared" si="30"/>
        <v>0</v>
      </c>
      <c r="AK22" s="22">
        <v>1</v>
      </c>
      <c r="AM22" s="11">
        <f t="shared" ref="AM22:AN22" si="80">SUMIFS(AO$3:AO$251,$A$3:$A$251,$A22)</f>
        <v>1</v>
      </c>
      <c r="AN22" s="11">
        <f t="shared" si="80"/>
        <v>1</v>
      </c>
      <c r="AO22" s="11">
        <f t="shared" si="32"/>
        <v>1</v>
      </c>
      <c r="AP22" s="22">
        <v>1</v>
      </c>
      <c r="AQ22" s="22"/>
      <c r="AR22" s="22">
        <f t="shared" si="33"/>
        <v>0</v>
      </c>
      <c r="AS22" s="22">
        <f t="shared" ref="AS22:AV22" si="81">IF(OR(G22="",G22="TBD",G22="N/A",G22="SDK",G22="SAAS"),0,1)</f>
        <v>0</v>
      </c>
      <c r="AT22" s="22">
        <f t="shared" si="81"/>
        <v>0</v>
      </c>
      <c r="AU22" s="22">
        <f t="shared" si="81"/>
        <v>0</v>
      </c>
      <c r="AV22" s="22">
        <f t="shared" si="81"/>
        <v>0</v>
      </c>
      <c r="AX22" s="11">
        <f t="shared" si="35"/>
        <v>0</v>
      </c>
      <c r="AY22" s="22">
        <f t="shared" ref="AY22:BB22" si="82">IF(OR(G22="",G22="N/A",G22="SDK",G22="SAAS"),0,1)</f>
        <v>0</v>
      </c>
      <c r="AZ22" s="22">
        <f t="shared" si="82"/>
        <v>0</v>
      </c>
      <c r="BA22" s="22">
        <f t="shared" si="82"/>
        <v>0</v>
      </c>
      <c r="BB22" s="22">
        <f t="shared" si="82"/>
        <v>0</v>
      </c>
      <c r="BD22" s="22"/>
      <c r="BE22" s="22"/>
      <c r="BF22" s="22"/>
      <c r="BG22" s="22"/>
    </row>
    <row r="23" spans="1:59">
      <c r="A23" s="23" t="s">
        <v>164</v>
      </c>
      <c r="B23" s="24" t="s">
        <v>26</v>
      </c>
      <c r="C23" s="47" t="s">
        <v>165</v>
      </c>
      <c r="D23" s="30" t="s">
        <v>183</v>
      </c>
      <c r="E23" s="35" t="str">
        <f t="shared" si="70"/>
        <v>Generar la videograbación como parte de la prueba de vida (Video Selfie)</v>
      </c>
      <c r="F23" s="42"/>
      <c r="G23" s="43" t="s">
        <v>166</v>
      </c>
      <c r="H23" s="43" t="s">
        <v>167</v>
      </c>
      <c r="I23" s="43" t="s">
        <v>168</v>
      </c>
      <c r="J23" s="72" t="s">
        <v>169</v>
      </c>
      <c r="K23" s="31"/>
      <c r="L23" s="31">
        <v>6</v>
      </c>
      <c r="M23" s="34">
        <f t="shared" si="25"/>
        <v>21</v>
      </c>
      <c r="N23" s="31" t="s">
        <v>105</v>
      </c>
      <c r="O23" s="31" t="s">
        <v>106</v>
      </c>
      <c r="P23" s="37" t="s">
        <v>107</v>
      </c>
      <c r="Q23" s="31"/>
      <c r="R23" s="31"/>
      <c r="S23" s="31"/>
      <c r="T23" s="31"/>
      <c r="U23" s="31"/>
      <c r="V23" s="31"/>
      <c r="W23" s="31"/>
      <c r="X23" s="31" t="s">
        <v>108</v>
      </c>
      <c r="Y23" s="31" t="s">
        <v>109</v>
      </c>
      <c r="Z23" s="31"/>
      <c r="AA23" s="31"/>
      <c r="AB23" s="31"/>
      <c r="AD23" s="11">
        <f t="shared" si="26"/>
        <v>1</v>
      </c>
      <c r="AE23" s="11">
        <f t="shared" si="27"/>
        <v>1</v>
      </c>
      <c r="AF23" s="11">
        <f t="shared" si="66"/>
        <v>1</v>
      </c>
      <c r="AH23" s="11">
        <f t="shared" si="28"/>
        <v>1</v>
      </c>
      <c r="AI23" s="11">
        <f t="shared" si="29"/>
        <v>1</v>
      </c>
      <c r="AJ23" s="11">
        <f t="shared" si="30"/>
        <v>1</v>
      </c>
      <c r="AK23" s="22">
        <v>1</v>
      </c>
      <c r="AM23" s="11">
        <f t="shared" ref="AM23:AN23" si="83">SUMIFS(AO$3:AO$251,$A$3:$A$251,$A23)</f>
        <v>1</v>
      </c>
      <c r="AN23" s="11">
        <f t="shared" si="83"/>
        <v>1</v>
      </c>
      <c r="AO23" s="11">
        <f t="shared" si="32"/>
        <v>1</v>
      </c>
      <c r="AP23" s="22">
        <v>1</v>
      </c>
      <c r="AQ23" s="22"/>
      <c r="AR23" s="22">
        <f t="shared" si="33"/>
        <v>4</v>
      </c>
      <c r="AS23" s="22">
        <f t="shared" ref="AS23:AV23" si="84">IF(OR(G23="",G23="TBD",G23="N/A",G23="SDK",G23="SAAS"),0,1)</f>
        <v>1</v>
      </c>
      <c r="AT23" s="22">
        <f t="shared" si="84"/>
        <v>1</v>
      </c>
      <c r="AU23" s="22">
        <f t="shared" si="84"/>
        <v>1</v>
      </c>
      <c r="AV23" s="22">
        <f t="shared" si="84"/>
        <v>1</v>
      </c>
      <c r="AX23" s="11">
        <f t="shared" si="35"/>
        <v>4</v>
      </c>
      <c r="AY23" s="22">
        <f t="shared" ref="AY23:BB23" si="85">IF(OR(G23="",G23="N/A",G23="SDK",G23="SAAS"),0,1)</f>
        <v>1</v>
      </c>
      <c r="AZ23" s="22">
        <f t="shared" si="85"/>
        <v>1</v>
      </c>
      <c r="BA23" s="22">
        <f t="shared" si="85"/>
        <v>1</v>
      </c>
      <c r="BB23" s="22">
        <f t="shared" si="85"/>
        <v>1</v>
      </c>
      <c r="BD23" s="22"/>
      <c r="BE23" s="22"/>
      <c r="BF23" s="22"/>
      <c r="BG23" s="22"/>
    </row>
    <row r="24" spans="1:59">
      <c r="A24" s="23" t="s">
        <v>170</v>
      </c>
      <c r="B24" s="24" t="s">
        <v>26</v>
      </c>
      <c r="C24" s="25" t="s">
        <v>171</v>
      </c>
      <c r="D24" s="30" t="s">
        <v>298</v>
      </c>
      <c r="E24" s="35" t="e">
        <f t="shared" si="70"/>
        <v>#N/A</v>
      </c>
      <c r="F24" s="42"/>
      <c r="G24" s="43" t="s">
        <v>172</v>
      </c>
      <c r="H24" s="43" t="s">
        <v>173</v>
      </c>
      <c r="I24" s="72" t="s">
        <v>174</v>
      </c>
      <c r="J24" s="43"/>
      <c r="K24" s="31"/>
      <c r="L24" s="31"/>
      <c r="M24" s="34">
        <f t="shared" si="25"/>
        <v>0</v>
      </c>
      <c r="N24" s="31" t="s">
        <v>105</v>
      </c>
      <c r="O24" s="31" t="s">
        <v>106</v>
      </c>
      <c r="P24" s="37" t="s">
        <v>107</v>
      </c>
      <c r="Q24" s="31"/>
      <c r="R24" s="31"/>
      <c r="S24" s="31"/>
      <c r="T24" s="31"/>
      <c r="U24" s="31"/>
      <c r="V24" s="31"/>
      <c r="W24" s="31"/>
      <c r="X24" s="31" t="s">
        <v>108</v>
      </c>
      <c r="Y24" s="31" t="s">
        <v>109</v>
      </c>
      <c r="Z24" s="31"/>
      <c r="AA24" s="31"/>
      <c r="AB24" s="31"/>
      <c r="AD24" s="11">
        <f t="shared" si="26"/>
        <v>1</v>
      </c>
      <c r="AE24" s="11">
        <f t="shared" si="27"/>
        <v>1</v>
      </c>
      <c r="AF24" s="11">
        <f t="shared" si="66"/>
        <v>1</v>
      </c>
      <c r="AH24" s="11">
        <f t="shared" si="28"/>
        <v>1</v>
      </c>
      <c r="AI24" s="11">
        <f t="shared" si="29"/>
        <v>1</v>
      </c>
      <c r="AJ24" s="11">
        <f t="shared" si="30"/>
        <v>1</v>
      </c>
      <c r="AK24" s="22">
        <v>1</v>
      </c>
      <c r="AM24" s="11">
        <f t="shared" ref="AM24:AN24" si="86">SUMIFS(AO$3:AO$251,$A$3:$A$251,$A24)</f>
        <v>1</v>
      </c>
      <c r="AN24" s="11">
        <f t="shared" si="86"/>
        <v>1</v>
      </c>
      <c r="AO24" s="11">
        <f t="shared" si="32"/>
        <v>1</v>
      </c>
      <c r="AP24" s="22">
        <v>1</v>
      </c>
      <c r="AQ24" s="22"/>
      <c r="AR24" s="22">
        <f t="shared" si="33"/>
        <v>3</v>
      </c>
      <c r="AS24" s="22">
        <f t="shared" ref="AS24:AV24" si="87">IF(OR(G24="",G24="TBD",G24="N/A",G24="SDK",G24="SAAS"),0,1)</f>
        <v>1</v>
      </c>
      <c r="AT24" s="22">
        <f t="shared" si="87"/>
        <v>1</v>
      </c>
      <c r="AU24" s="22">
        <f t="shared" si="87"/>
        <v>1</v>
      </c>
      <c r="AV24" s="22">
        <f t="shared" si="87"/>
        <v>0</v>
      </c>
      <c r="AX24" s="11">
        <f t="shared" si="35"/>
        <v>3</v>
      </c>
      <c r="AY24" s="22">
        <f t="shared" ref="AY24:BB24" si="88">IF(OR(G24="",G24="N/A",G24="SDK",G24="SAAS"),0,1)</f>
        <v>1</v>
      </c>
      <c r="AZ24" s="22">
        <f t="shared" si="88"/>
        <v>1</v>
      </c>
      <c r="BA24" s="22">
        <f t="shared" si="88"/>
        <v>1</v>
      </c>
      <c r="BB24" s="22">
        <f t="shared" si="88"/>
        <v>0</v>
      </c>
      <c r="BD24" s="22"/>
      <c r="BE24" s="22"/>
      <c r="BF24" s="22"/>
      <c r="BG24" s="22"/>
    </row>
    <row r="25" spans="1:59">
      <c r="A25" s="23" t="s">
        <v>175</v>
      </c>
      <c r="B25" s="24" t="s">
        <v>26</v>
      </c>
      <c r="C25" s="25" t="s">
        <v>176</v>
      </c>
      <c r="D25" s="30" t="s">
        <v>299</v>
      </c>
      <c r="E25" s="35" t="e">
        <f t="shared" si="70"/>
        <v>#N/A</v>
      </c>
      <c r="F25" s="42"/>
      <c r="G25" s="43" t="s">
        <v>172</v>
      </c>
      <c r="H25" s="43" t="s">
        <v>173</v>
      </c>
      <c r="I25" s="72" t="s">
        <v>174</v>
      </c>
      <c r="J25" s="43"/>
      <c r="K25" s="31"/>
      <c r="L25" s="31"/>
      <c r="M25" s="34">
        <f t="shared" si="25"/>
        <v>0</v>
      </c>
      <c r="N25" s="31" t="s">
        <v>105</v>
      </c>
      <c r="O25" s="31" t="s">
        <v>106</v>
      </c>
      <c r="P25" s="37" t="s">
        <v>107</v>
      </c>
      <c r="Q25" s="31"/>
      <c r="R25" s="31"/>
      <c r="S25" s="31"/>
      <c r="T25" s="31"/>
      <c r="U25" s="31"/>
      <c r="V25" s="31"/>
      <c r="W25" s="31"/>
      <c r="X25" s="31" t="s">
        <v>108</v>
      </c>
      <c r="Y25" s="31" t="s">
        <v>109</v>
      </c>
      <c r="Z25" s="31"/>
      <c r="AA25" s="31"/>
      <c r="AB25" s="31"/>
      <c r="AD25" s="11">
        <f t="shared" si="26"/>
        <v>1</v>
      </c>
      <c r="AE25" s="11">
        <f t="shared" si="27"/>
        <v>1</v>
      </c>
      <c r="AF25" s="11">
        <f t="shared" si="66"/>
        <v>1</v>
      </c>
      <c r="AH25" s="11">
        <f t="shared" si="28"/>
        <v>1</v>
      </c>
      <c r="AI25" s="11">
        <f t="shared" si="29"/>
        <v>1</v>
      </c>
      <c r="AJ25" s="11">
        <f t="shared" si="30"/>
        <v>1</v>
      </c>
      <c r="AK25" s="22">
        <v>1</v>
      </c>
      <c r="AM25" s="11">
        <f t="shared" ref="AM25:AN25" si="89">SUMIFS(AO$3:AO$251,$A$3:$A$251,$A25)</f>
        <v>1</v>
      </c>
      <c r="AN25" s="11">
        <f t="shared" si="89"/>
        <v>1</v>
      </c>
      <c r="AO25" s="11">
        <f t="shared" si="32"/>
        <v>1</v>
      </c>
      <c r="AP25" s="22">
        <v>1</v>
      </c>
      <c r="AQ25" s="22"/>
      <c r="AR25" s="22">
        <f t="shared" si="33"/>
        <v>3</v>
      </c>
      <c r="AS25" s="22">
        <f t="shared" ref="AS25:AV25" si="90">IF(OR(G25="",G25="TBD",G25="N/A",G25="SDK",G25="SAAS"),0,1)</f>
        <v>1</v>
      </c>
      <c r="AT25" s="22">
        <f t="shared" si="90"/>
        <v>1</v>
      </c>
      <c r="AU25" s="22">
        <f t="shared" si="90"/>
        <v>1</v>
      </c>
      <c r="AV25" s="22">
        <f t="shared" si="90"/>
        <v>0</v>
      </c>
      <c r="AX25" s="11">
        <f t="shared" si="35"/>
        <v>3</v>
      </c>
      <c r="AY25" s="22">
        <f t="shared" ref="AY25:BB25" si="91">IF(OR(G25="",G25="N/A",G25="SDK",G25="SAAS"),0,1)</f>
        <v>1</v>
      </c>
      <c r="AZ25" s="22">
        <f t="shared" si="91"/>
        <v>1</v>
      </c>
      <c r="BA25" s="22">
        <f t="shared" si="91"/>
        <v>1</v>
      </c>
      <c r="BB25" s="22">
        <f t="shared" si="91"/>
        <v>0</v>
      </c>
      <c r="BD25" s="22"/>
      <c r="BE25" s="22"/>
      <c r="BF25" s="22"/>
      <c r="BG25" s="22"/>
    </row>
    <row r="26" spans="1:59">
      <c r="A26" s="23" t="s">
        <v>177</v>
      </c>
      <c r="B26" s="24" t="s">
        <v>26</v>
      </c>
      <c r="C26" s="25" t="s">
        <v>178</v>
      </c>
      <c r="D26" s="44" t="s">
        <v>300</v>
      </c>
      <c r="E26" s="35" t="e">
        <f t="shared" si="70"/>
        <v>#N/A</v>
      </c>
      <c r="F26" s="26"/>
      <c r="G26" s="29" t="s">
        <v>172</v>
      </c>
      <c r="H26" s="29" t="s">
        <v>173</v>
      </c>
      <c r="I26" s="83" t="s">
        <v>174</v>
      </c>
      <c r="J26" s="29"/>
      <c r="K26" s="31"/>
      <c r="L26" s="31"/>
      <c r="M26" s="34">
        <f t="shared" si="25"/>
        <v>0</v>
      </c>
      <c r="N26" s="31" t="s">
        <v>105</v>
      </c>
      <c r="O26" s="31" t="s">
        <v>106</v>
      </c>
      <c r="P26" s="37" t="s">
        <v>107</v>
      </c>
      <c r="Q26" s="31"/>
      <c r="R26" s="31"/>
      <c r="S26" s="31"/>
      <c r="T26" s="31"/>
      <c r="U26" s="31"/>
      <c r="V26" s="31"/>
      <c r="W26" s="31"/>
      <c r="X26" s="31" t="s">
        <v>108</v>
      </c>
      <c r="Y26" s="31" t="s">
        <v>109</v>
      </c>
      <c r="Z26" s="31"/>
      <c r="AA26" s="31"/>
      <c r="AB26" s="31"/>
      <c r="AD26" s="11">
        <f t="shared" si="26"/>
        <v>1</v>
      </c>
      <c r="AE26" s="11">
        <f t="shared" si="27"/>
        <v>1</v>
      </c>
      <c r="AF26" s="11">
        <f t="shared" si="66"/>
        <v>1</v>
      </c>
      <c r="AH26" s="11">
        <f t="shared" si="28"/>
        <v>1</v>
      </c>
      <c r="AI26" s="11">
        <f t="shared" si="29"/>
        <v>1</v>
      </c>
      <c r="AJ26" s="11">
        <f t="shared" si="30"/>
        <v>1</v>
      </c>
      <c r="AK26" s="22">
        <v>1</v>
      </c>
      <c r="AM26" s="11">
        <f t="shared" ref="AM26:AN26" si="92">SUMIFS(AO$3:AO$251,$A$3:$A$251,$A26)</f>
        <v>1</v>
      </c>
      <c r="AN26" s="11">
        <f t="shared" si="92"/>
        <v>1</v>
      </c>
      <c r="AO26" s="11">
        <f t="shared" si="32"/>
        <v>1</v>
      </c>
      <c r="AP26" s="22">
        <v>1</v>
      </c>
      <c r="AQ26" s="22"/>
      <c r="AR26" s="22">
        <f t="shared" si="33"/>
        <v>3</v>
      </c>
      <c r="AS26" s="22">
        <f t="shared" ref="AS26:AV26" si="93">IF(OR(G26="",G26="TBD",G26="N/A",G26="SDK",G26="SAAS"),0,1)</f>
        <v>1</v>
      </c>
      <c r="AT26" s="22">
        <f t="shared" si="93"/>
        <v>1</v>
      </c>
      <c r="AU26" s="22">
        <f t="shared" si="93"/>
        <v>1</v>
      </c>
      <c r="AV26" s="22">
        <f t="shared" si="93"/>
        <v>0</v>
      </c>
      <c r="AX26" s="11">
        <f t="shared" si="35"/>
        <v>3</v>
      </c>
      <c r="AY26" s="22">
        <f t="shared" ref="AY26:BB26" si="94">IF(OR(G26="",G26="N/A",G26="SDK",G26="SAAS"),0,1)</f>
        <v>1</v>
      </c>
      <c r="AZ26" s="22">
        <f t="shared" si="94"/>
        <v>1</v>
      </c>
      <c r="BA26" s="22">
        <f t="shared" si="94"/>
        <v>1</v>
      </c>
      <c r="BB26" s="22">
        <f t="shared" si="94"/>
        <v>0</v>
      </c>
      <c r="BD26" s="22"/>
      <c r="BE26" s="22"/>
      <c r="BF26" s="22"/>
      <c r="BG26" s="22"/>
    </row>
    <row r="27" spans="1:59" hidden="1">
      <c r="A27" s="23" t="s">
        <v>179</v>
      </c>
      <c r="B27" s="24" t="s">
        <v>26</v>
      </c>
      <c r="C27" s="47" t="s">
        <v>180</v>
      </c>
      <c r="D27" s="30" t="s">
        <v>300</v>
      </c>
      <c r="E27" s="42"/>
      <c r="F27" s="42"/>
      <c r="G27" s="43" t="s">
        <v>135</v>
      </c>
      <c r="H27" s="43" t="s">
        <v>135</v>
      </c>
      <c r="I27" s="43" t="s">
        <v>135</v>
      </c>
      <c r="J27" s="43" t="s">
        <v>135</v>
      </c>
      <c r="K27" s="31"/>
      <c r="L27" s="31"/>
      <c r="M27" s="34">
        <f t="shared" si="25"/>
        <v>0</v>
      </c>
      <c r="N27" s="31" t="s">
        <v>105</v>
      </c>
      <c r="O27" s="31" t="s">
        <v>106</v>
      </c>
      <c r="P27" s="37" t="s">
        <v>107</v>
      </c>
      <c r="Q27" s="31"/>
      <c r="R27" s="31"/>
      <c r="S27" s="31"/>
      <c r="T27" s="31"/>
      <c r="U27" s="31"/>
      <c r="V27" s="31"/>
      <c r="W27" s="31"/>
      <c r="X27" s="31" t="s">
        <v>181</v>
      </c>
      <c r="Y27" s="31" t="s">
        <v>109</v>
      </c>
      <c r="Z27" s="31"/>
      <c r="AA27" s="31"/>
      <c r="AB27" s="31"/>
      <c r="AD27" s="11">
        <f t="shared" si="26"/>
        <v>0</v>
      </c>
      <c r="AE27" s="11">
        <f t="shared" si="27"/>
        <v>0</v>
      </c>
      <c r="AF27" s="11">
        <f t="shared" si="66"/>
        <v>1</v>
      </c>
      <c r="AH27" s="11">
        <f t="shared" si="28"/>
        <v>0</v>
      </c>
      <c r="AI27" s="11">
        <f t="shared" si="29"/>
        <v>1</v>
      </c>
      <c r="AJ27" s="11">
        <f t="shared" si="30"/>
        <v>0</v>
      </c>
      <c r="AK27" s="22">
        <v>1</v>
      </c>
      <c r="AM27" s="11">
        <f t="shared" ref="AM27:AN27" si="95">SUMIFS(AO$3:AO$251,$A$3:$A$251,$A27)</f>
        <v>0</v>
      </c>
      <c r="AN27" s="11">
        <f t="shared" si="95"/>
        <v>1</v>
      </c>
      <c r="AO27" s="11">
        <f t="shared" si="32"/>
        <v>0</v>
      </c>
      <c r="AP27" s="22">
        <v>1</v>
      </c>
      <c r="AQ27" s="22"/>
      <c r="AR27" s="22">
        <f t="shared" si="33"/>
        <v>0</v>
      </c>
      <c r="AS27" s="22">
        <f t="shared" ref="AS27:AV27" si="96">IF(OR(G27="",G27="TBD",G27="N/A",G27="SDK",G27="SAAS"),0,1)</f>
        <v>0</v>
      </c>
      <c r="AT27" s="22">
        <f t="shared" si="96"/>
        <v>0</v>
      </c>
      <c r="AU27" s="22">
        <f t="shared" si="96"/>
        <v>0</v>
      </c>
      <c r="AV27" s="22">
        <f t="shared" si="96"/>
        <v>0</v>
      </c>
      <c r="AX27" s="11">
        <f t="shared" si="35"/>
        <v>4</v>
      </c>
      <c r="AY27" s="22">
        <f t="shared" ref="AY27:BB27" si="97">IF(OR(G27="",G27="N/A",G27="SDK",G27="SAAS"),0,1)</f>
        <v>1</v>
      </c>
      <c r="AZ27" s="22">
        <f t="shared" si="97"/>
        <v>1</v>
      </c>
      <c r="BA27" s="22">
        <f t="shared" si="97"/>
        <v>1</v>
      </c>
      <c r="BB27" s="22">
        <f t="shared" si="97"/>
        <v>1</v>
      </c>
      <c r="BD27" s="22"/>
      <c r="BE27" s="22"/>
      <c r="BF27" s="22"/>
      <c r="BG27" s="22"/>
    </row>
    <row r="28" spans="1:59">
      <c r="A28" s="23" t="s">
        <v>182</v>
      </c>
      <c r="B28" s="24" t="s">
        <v>26</v>
      </c>
      <c r="C28" s="47" t="s">
        <v>183</v>
      </c>
      <c r="D28" s="30" t="s">
        <v>228</v>
      </c>
      <c r="E28" s="35" t="str">
        <f t="shared" ref="E28:E45" si="98">VLOOKUP(D28,C:C,1,FALSE)</f>
        <v>Supervisar la actividad de los usuarios y/o sitios digitales relacionados con el contenido y las aplicaciones</v>
      </c>
      <c r="F28" s="42"/>
      <c r="G28" s="72" t="s">
        <v>184</v>
      </c>
      <c r="H28" s="72"/>
      <c r="I28" s="43"/>
      <c r="J28" s="43"/>
      <c r="K28" s="31"/>
      <c r="L28" s="31">
        <v>1</v>
      </c>
      <c r="M28" s="34">
        <f t="shared" si="25"/>
        <v>3.5</v>
      </c>
      <c r="N28" s="31" t="s">
        <v>105</v>
      </c>
      <c r="O28" s="31" t="s">
        <v>106</v>
      </c>
      <c r="P28" s="37" t="s">
        <v>107</v>
      </c>
      <c r="Q28" s="31"/>
      <c r="R28" s="31"/>
      <c r="S28" s="31"/>
      <c r="T28" s="31"/>
      <c r="U28" s="31"/>
      <c r="V28" s="31"/>
      <c r="W28" s="31"/>
      <c r="X28" s="31" t="s">
        <v>108</v>
      </c>
      <c r="Y28" s="31" t="s">
        <v>109</v>
      </c>
      <c r="Z28" s="31"/>
      <c r="AA28" s="31"/>
      <c r="AB28" s="31"/>
      <c r="AD28" s="11">
        <f t="shared" si="26"/>
        <v>1</v>
      </c>
      <c r="AE28" s="11">
        <f t="shared" si="27"/>
        <v>1</v>
      </c>
      <c r="AF28" s="11">
        <f t="shared" si="66"/>
        <v>1</v>
      </c>
      <c r="AH28" s="11">
        <f t="shared" si="28"/>
        <v>2</v>
      </c>
      <c r="AI28" s="11">
        <f t="shared" si="29"/>
        <v>2</v>
      </c>
      <c r="AJ28" s="11">
        <f t="shared" si="30"/>
        <v>1</v>
      </c>
      <c r="AK28" s="22">
        <v>1</v>
      </c>
      <c r="AM28" s="11">
        <f t="shared" ref="AM28:AN28" si="99">SUMIFS(AO$3:AO$251,$A$3:$A$251,$A28)</f>
        <v>2</v>
      </c>
      <c r="AN28" s="11">
        <f t="shared" si="99"/>
        <v>2</v>
      </c>
      <c r="AO28" s="11">
        <f t="shared" si="32"/>
        <v>1</v>
      </c>
      <c r="AP28" s="22">
        <v>1</v>
      </c>
      <c r="AQ28" s="22"/>
      <c r="AR28" s="22">
        <f t="shared" si="33"/>
        <v>1</v>
      </c>
      <c r="AS28" s="22">
        <f t="shared" ref="AS28:AV28" si="100">IF(OR(G28="",G28="TBD",G28="N/A",G28="SDK",G28="SAAS"),0,1)</f>
        <v>1</v>
      </c>
      <c r="AT28" s="22">
        <f t="shared" si="100"/>
        <v>0</v>
      </c>
      <c r="AU28" s="22">
        <f t="shared" si="100"/>
        <v>0</v>
      </c>
      <c r="AV28" s="22">
        <f t="shared" si="100"/>
        <v>0</v>
      </c>
      <c r="AX28" s="11">
        <f t="shared" si="35"/>
        <v>1</v>
      </c>
      <c r="AY28" s="22">
        <f t="shared" ref="AY28:BB28" si="101">IF(OR(G28="",G28="N/A",G28="SDK",G28="SAAS"),0,1)</f>
        <v>1</v>
      </c>
      <c r="AZ28" s="22">
        <f t="shared" si="101"/>
        <v>0</v>
      </c>
      <c r="BA28" s="22">
        <f t="shared" si="101"/>
        <v>0</v>
      </c>
      <c r="BB28" s="22">
        <f t="shared" si="101"/>
        <v>0</v>
      </c>
      <c r="BD28" s="22"/>
      <c r="BE28" s="22"/>
      <c r="BF28" s="22"/>
      <c r="BG28" s="22"/>
    </row>
    <row r="29" spans="1:59">
      <c r="A29" s="23" t="s">
        <v>182</v>
      </c>
      <c r="B29" s="24" t="s">
        <v>26</v>
      </c>
      <c r="C29" s="47" t="s">
        <v>183</v>
      </c>
      <c r="D29" s="30" t="s">
        <v>230</v>
      </c>
      <c r="E29" s="35" t="str">
        <f t="shared" si="98"/>
        <v>Creación de expediente digital cliente BanCoppel</v>
      </c>
      <c r="F29" s="42"/>
      <c r="G29" s="72" t="s">
        <v>185</v>
      </c>
      <c r="H29" s="72"/>
      <c r="I29" s="43"/>
      <c r="J29" s="43"/>
      <c r="K29" s="31"/>
      <c r="L29" s="31">
        <v>1</v>
      </c>
      <c r="M29" s="34">
        <f t="shared" si="25"/>
        <v>3.5</v>
      </c>
      <c r="N29" s="31" t="s">
        <v>105</v>
      </c>
      <c r="O29" s="31" t="s">
        <v>106</v>
      </c>
      <c r="P29" s="37" t="s">
        <v>107</v>
      </c>
      <c r="Q29" s="31"/>
      <c r="R29" s="31"/>
      <c r="S29" s="31"/>
      <c r="T29" s="31"/>
      <c r="U29" s="31"/>
      <c r="V29" s="31"/>
      <c r="W29" s="31"/>
      <c r="X29" s="31" t="s">
        <v>108</v>
      </c>
      <c r="Y29" s="31" t="s">
        <v>109</v>
      </c>
      <c r="Z29" s="31"/>
      <c r="AA29" s="31"/>
      <c r="AB29" s="31"/>
      <c r="AD29" s="11">
        <f t="shared" si="26"/>
        <v>0</v>
      </c>
      <c r="AE29" s="11">
        <f t="shared" si="27"/>
        <v>0</v>
      </c>
      <c r="AF29" s="11">
        <f t="shared" si="66"/>
        <v>0</v>
      </c>
      <c r="AH29" s="11">
        <f t="shared" si="28"/>
        <v>2</v>
      </c>
      <c r="AI29" s="11">
        <f t="shared" si="29"/>
        <v>2</v>
      </c>
      <c r="AJ29" s="11">
        <f t="shared" si="30"/>
        <v>1</v>
      </c>
      <c r="AK29" s="22">
        <v>1</v>
      </c>
      <c r="AM29" s="11">
        <f t="shared" ref="AM29:AN29" si="102">SUMIFS(AO$3:AO$251,$A$3:$A$251,$A29)</f>
        <v>2</v>
      </c>
      <c r="AN29" s="11">
        <f t="shared" si="102"/>
        <v>2</v>
      </c>
      <c r="AO29" s="11">
        <f t="shared" si="32"/>
        <v>1</v>
      </c>
      <c r="AP29" s="22">
        <v>1</v>
      </c>
      <c r="AQ29" s="22"/>
      <c r="AR29" s="22">
        <f t="shared" si="33"/>
        <v>1</v>
      </c>
      <c r="AS29" s="22">
        <f t="shared" ref="AS29:AV29" si="103">IF(OR(G29="",G29="TBD",G29="N/A",G29="SDK",G29="SAAS"),0,1)</f>
        <v>1</v>
      </c>
      <c r="AT29" s="22">
        <f t="shared" si="103"/>
        <v>0</v>
      </c>
      <c r="AU29" s="22">
        <f t="shared" si="103"/>
        <v>0</v>
      </c>
      <c r="AV29" s="22">
        <f t="shared" si="103"/>
        <v>0</v>
      </c>
      <c r="AX29" s="11">
        <f t="shared" si="35"/>
        <v>1</v>
      </c>
      <c r="AY29" s="22">
        <f t="shared" ref="AY29:BB29" si="104">IF(OR(G29="",G29="N/A",G29="SDK",G29="SAAS"),0,1)</f>
        <v>1</v>
      </c>
      <c r="AZ29" s="22">
        <f t="shared" si="104"/>
        <v>0</v>
      </c>
      <c r="BA29" s="22">
        <f t="shared" si="104"/>
        <v>0</v>
      </c>
      <c r="BB29" s="22">
        <f t="shared" si="104"/>
        <v>0</v>
      </c>
      <c r="BD29" s="22"/>
      <c r="BE29" s="22"/>
      <c r="BF29" s="22"/>
      <c r="BG29" s="22"/>
    </row>
    <row r="30" spans="1:59">
      <c r="A30" s="23" t="s">
        <v>186</v>
      </c>
      <c r="B30" s="24" t="s">
        <v>26</v>
      </c>
      <c r="C30" s="47" t="s">
        <v>187</v>
      </c>
      <c r="D30" s="30" t="s">
        <v>232</v>
      </c>
      <c r="E30" s="35" t="str">
        <f t="shared" si="98"/>
        <v>Carga de documentos en expediente</v>
      </c>
      <c r="F30" s="42"/>
      <c r="G30" s="43" t="s">
        <v>135</v>
      </c>
      <c r="H30" s="43" t="s">
        <v>135</v>
      </c>
      <c r="I30" s="43" t="s">
        <v>135</v>
      </c>
      <c r="J30" s="43" t="s">
        <v>135</v>
      </c>
      <c r="K30" s="31"/>
      <c r="L30" s="31"/>
      <c r="M30" s="34">
        <f t="shared" si="25"/>
        <v>0</v>
      </c>
      <c r="N30" s="31" t="s">
        <v>105</v>
      </c>
      <c r="O30" s="31" t="s">
        <v>106</v>
      </c>
      <c r="P30" s="37" t="s">
        <v>107</v>
      </c>
      <c r="Q30" s="31"/>
      <c r="R30" s="31"/>
      <c r="S30" s="31"/>
      <c r="T30" s="31"/>
      <c r="U30" s="31"/>
      <c r="V30" s="31"/>
      <c r="W30" s="31"/>
      <c r="X30" s="31" t="s">
        <v>108</v>
      </c>
      <c r="Y30" s="31" t="s">
        <v>109</v>
      </c>
      <c r="Z30" s="31"/>
      <c r="AA30" s="31"/>
      <c r="AB30" s="31"/>
      <c r="AD30" s="11">
        <f t="shared" si="26"/>
        <v>0</v>
      </c>
      <c r="AE30" s="11">
        <f t="shared" si="27"/>
        <v>0</v>
      </c>
      <c r="AF30" s="11">
        <f>IF(ISNUMBER(MATCH(A30,$A$2:A28,0)),0,1)</f>
        <v>1</v>
      </c>
      <c r="AH30" s="11">
        <f t="shared" si="28"/>
        <v>0</v>
      </c>
      <c r="AI30" s="11">
        <f t="shared" si="29"/>
        <v>1</v>
      </c>
      <c r="AJ30" s="11">
        <f t="shared" si="30"/>
        <v>0</v>
      </c>
      <c r="AK30" s="22">
        <v>1</v>
      </c>
      <c r="AM30" s="11">
        <f t="shared" ref="AM30:AN30" si="105">SUMIFS(AO$3:AO$251,$A$3:$A$251,$A30)</f>
        <v>0</v>
      </c>
      <c r="AN30" s="11">
        <f t="shared" si="105"/>
        <v>1</v>
      </c>
      <c r="AO30" s="11">
        <f t="shared" si="32"/>
        <v>0</v>
      </c>
      <c r="AP30" s="22">
        <v>1</v>
      </c>
      <c r="AQ30" s="22"/>
      <c r="AR30" s="22">
        <f t="shared" si="33"/>
        <v>0</v>
      </c>
      <c r="AS30" s="22">
        <f t="shared" ref="AS30:AV30" si="106">IF(OR(G30="",G30="TBD",G30="N/A",G30="SDK",G30="SAAS"),0,1)</f>
        <v>0</v>
      </c>
      <c r="AT30" s="22">
        <f t="shared" si="106"/>
        <v>0</v>
      </c>
      <c r="AU30" s="22">
        <f t="shared" si="106"/>
        <v>0</v>
      </c>
      <c r="AV30" s="22">
        <f t="shared" si="106"/>
        <v>0</v>
      </c>
      <c r="AX30" s="11">
        <f t="shared" si="35"/>
        <v>4</v>
      </c>
      <c r="AY30" s="22">
        <f t="shared" ref="AY30:BB30" si="107">IF(OR(G30="",G30="N/A",G30="SDK",G30="SAAS"),0,1)</f>
        <v>1</v>
      </c>
      <c r="AZ30" s="22">
        <f t="shared" si="107"/>
        <v>1</v>
      </c>
      <c r="BA30" s="22">
        <f t="shared" si="107"/>
        <v>1</v>
      </c>
      <c r="BB30" s="22">
        <f t="shared" si="107"/>
        <v>1</v>
      </c>
      <c r="BD30" s="22"/>
      <c r="BE30" s="22"/>
      <c r="BF30" s="22"/>
      <c r="BG30" s="22"/>
    </row>
    <row r="31" spans="1:59">
      <c r="A31" s="23" t="s">
        <v>188</v>
      </c>
      <c r="B31" s="24" t="s">
        <v>26</v>
      </c>
      <c r="C31" s="47" t="s">
        <v>189</v>
      </c>
      <c r="D31" s="30" t="s">
        <v>234</v>
      </c>
      <c r="E31" s="35" t="str">
        <f t="shared" si="98"/>
        <v>Búsqueda por metadata Expediente digital</v>
      </c>
      <c r="F31" s="42"/>
      <c r="G31" s="43" t="s">
        <v>135</v>
      </c>
      <c r="H31" s="43" t="s">
        <v>135</v>
      </c>
      <c r="I31" s="43" t="s">
        <v>135</v>
      </c>
      <c r="J31" s="43" t="s">
        <v>135</v>
      </c>
      <c r="K31" s="31"/>
      <c r="L31" s="31"/>
      <c r="M31" s="34">
        <f t="shared" si="25"/>
        <v>0</v>
      </c>
      <c r="N31" s="31" t="s">
        <v>105</v>
      </c>
      <c r="O31" s="31" t="s">
        <v>106</v>
      </c>
      <c r="P31" s="37" t="s">
        <v>107</v>
      </c>
      <c r="Q31" s="31"/>
      <c r="R31" s="31"/>
      <c r="S31" s="31"/>
      <c r="T31" s="31"/>
      <c r="U31" s="31"/>
      <c r="V31" s="31"/>
      <c r="W31" s="31"/>
      <c r="X31" s="31" t="s">
        <v>108</v>
      </c>
      <c r="Y31" s="31" t="s">
        <v>109</v>
      </c>
      <c r="Z31" s="31"/>
      <c r="AA31" s="31"/>
      <c r="AB31" s="31"/>
      <c r="AD31" s="11">
        <f t="shared" si="26"/>
        <v>0</v>
      </c>
      <c r="AE31" s="11">
        <f t="shared" si="27"/>
        <v>0</v>
      </c>
      <c r="AF31" s="11">
        <f t="shared" ref="AF31:AF81" si="108">IF(ISNUMBER(MATCH(A31,$A$2:A30,0)),0,1)</f>
        <v>1</v>
      </c>
      <c r="AH31" s="11">
        <f t="shared" si="28"/>
        <v>0</v>
      </c>
      <c r="AI31" s="11">
        <f t="shared" si="29"/>
        <v>1</v>
      </c>
      <c r="AJ31" s="11">
        <f t="shared" si="30"/>
        <v>0</v>
      </c>
      <c r="AK31" s="22">
        <v>1</v>
      </c>
      <c r="AM31" s="11">
        <f t="shared" ref="AM31:AN31" si="109">SUMIFS(AO$3:AO$251,$A$3:$A$251,$A31)</f>
        <v>0</v>
      </c>
      <c r="AN31" s="11">
        <f t="shared" si="109"/>
        <v>1</v>
      </c>
      <c r="AO31" s="11">
        <f t="shared" si="32"/>
        <v>0</v>
      </c>
      <c r="AP31" s="22">
        <v>1</v>
      </c>
      <c r="AQ31" s="22"/>
      <c r="AR31" s="22">
        <f t="shared" si="33"/>
        <v>0</v>
      </c>
      <c r="AS31" s="22">
        <f t="shared" ref="AS31:AV31" si="110">IF(OR(G31="",G31="TBD",G31="N/A",G31="SDK",G31="SAAS"),0,1)</f>
        <v>0</v>
      </c>
      <c r="AT31" s="22">
        <f t="shared" si="110"/>
        <v>0</v>
      </c>
      <c r="AU31" s="22">
        <f t="shared" si="110"/>
        <v>0</v>
      </c>
      <c r="AV31" s="22">
        <f t="shared" si="110"/>
        <v>0</v>
      </c>
      <c r="AX31" s="11">
        <f t="shared" si="35"/>
        <v>4</v>
      </c>
      <c r="AY31" s="22">
        <f t="shared" ref="AY31:BB31" si="111">IF(OR(G31="",G31="N/A",G31="SDK",G31="SAAS"),0,1)</f>
        <v>1</v>
      </c>
      <c r="AZ31" s="22">
        <f t="shared" si="111"/>
        <v>1</v>
      </c>
      <c r="BA31" s="22">
        <f t="shared" si="111"/>
        <v>1</v>
      </c>
      <c r="BB31" s="22">
        <f t="shared" si="111"/>
        <v>1</v>
      </c>
      <c r="BD31" s="22"/>
      <c r="BE31" s="22"/>
      <c r="BF31" s="22"/>
      <c r="BG31" s="22"/>
    </row>
    <row r="32" spans="1:59">
      <c r="A32" s="84" t="s">
        <v>190</v>
      </c>
      <c r="B32" s="84" t="s">
        <v>26</v>
      </c>
      <c r="C32" s="85" t="s">
        <v>191</v>
      </c>
      <c r="D32" s="30" t="s">
        <v>236</v>
      </c>
      <c r="E32" s="35" t="str">
        <f t="shared" si="98"/>
        <v>Métricas de expediente digital</v>
      </c>
      <c r="F32" s="42"/>
      <c r="G32" s="43" t="s">
        <v>135</v>
      </c>
      <c r="H32" s="43" t="s">
        <v>135</v>
      </c>
      <c r="I32" s="43" t="s">
        <v>135</v>
      </c>
      <c r="J32" s="43" t="s">
        <v>135</v>
      </c>
      <c r="K32" s="31"/>
      <c r="L32" s="31"/>
      <c r="M32" s="34">
        <f t="shared" si="25"/>
        <v>0</v>
      </c>
      <c r="N32" s="31" t="s">
        <v>105</v>
      </c>
      <c r="O32" s="31" t="s">
        <v>106</v>
      </c>
      <c r="P32" s="37" t="s">
        <v>107</v>
      </c>
      <c r="Q32" s="31"/>
      <c r="R32" s="31"/>
      <c r="S32" s="31"/>
      <c r="T32" s="31"/>
      <c r="U32" s="31"/>
      <c r="V32" s="31"/>
      <c r="W32" s="31"/>
      <c r="X32" s="31" t="s">
        <v>108</v>
      </c>
      <c r="Y32" s="31" t="s">
        <v>109</v>
      </c>
      <c r="Z32" s="31"/>
      <c r="AA32" s="31"/>
      <c r="AB32" s="31"/>
      <c r="AD32" s="11">
        <f t="shared" si="26"/>
        <v>0</v>
      </c>
      <c r="AE32" s="11">
        <f t="shared" si="27"/>
        <v>0</v>
      </c>
      <c r="AF32" s="11">
        <f t="shared" si="108"/>
        <v>1</v>
      </c>
      <c r="AH32" s="11">
        <f t="shared" si="28"/>
        <v>0</v>
      </c>
      <c r="AI32" s="11">
        <f t="shared" si="29"/>
        <v>1</v>
      </c>
      <c r="AJ32" s="11">
        <f t="shared" si="30"/>
        <v>0</v>
      </c>
      <c r="AK32" s="22">
        <v>1</v>
      </c>
      <c r="AM32" s="11">
        <f t="shared" ref="AM32:AN32" si="112">SUMIFS(AO$3:AO$251,$A$3:$A$251,$A32)</f>
        <v>0</v>
      </c>
      <c r="AN32" s="11">
        <f t="shared" si="112"/>
        <v>1</v>
      </c>
      <c r="AO32" s="11">
        <f t="shared" si="32"/>
        <v>0</v>
      </c>
      <c r="AP32" s="22">
        <v>1</v>
      </c>
      <c r="AQ32" s="22"/>
      <c r="AR32" s="22">
        <f t="shared" si="33"/>
        <v>0</v>
      </c>
      <c r="AS32" s="22">
        <f t="shared" ref="AS32:AV32" si="113">IF(OR(G32="",G32="TBD",G32="N/A",G32="SDK",G32="SAAS"),0,1)</f>
        <v>0</v>
      </c>
      <c r="AT32" s="22">
        <f t="shared" si="113"/>
        <v>0</v>
      </c>
      <c r="AU32" s="22">
        <f t="shared" si="113"/>
        <v>0</v>
      </c>
      <c r="AV32" s="22">
        <f t="shared" si="113"/>
        <v>0</v>
      </c>
      <c r="AX32" s="11">
        <f t="shared" si="35"/>
        <v>4</v>
      </c>
      <c r="AY32" s="22">
        <f t="shared" ref="AY32:BB32" si="114">IF(OR(G32="",G32="N/A",G32="SDK",G32="SAAS"),0,1)</f>
        <v>1</v>
      </c>
      <c r="AZ32" s="22">
        <f t="shared" si="114"/>
        <v>1</v>
      </c>
      <c r="BA32" s="22">
        <f t="shared" si="114"/>
        <v>1</v>
      </c>
      <c r="BB32" s="22">
        <f t="shared" si="114"/>
        <v>1</v>
      </c>
      <c r="BD32" s="22"/>
      <c r="BE32" s="22"/>
      <c r="BF32" s="22"/>
      <c r="BG32" s="22"/>
    </row>
    <row r="33" spans="1:59">
      <c r="A33" s="86" t="s">
        <v>192</v>
      </c>
      <c r="B33" s="24" t="s">
        <v>26</v>
      </c>
      <c r="C33" s="87" t="s">
        <v>193</v>
      </c>
      <c r="D33" s="30" t="s">
        <v>238</v>
      </c>
      <c r="E33" s="35" t="str">
        <f t="shared" si="98"/>
        <v>Validaciones sobre vigencia de documentos</v>
      </c>
      <c r="F33" s="88" t="s">
        <v>194</v>
      </c>
      <c r="G33" s="31" t="s">
        <v>194</v>
      </c>
      <c r="H33" s="31" t="s">
        <v>194</v>
      </c>
      <c r="I33" s="31" t="s">
        <v>194</v>
      </c>
      <c r="J33" s="31" t="s">
        <v>194</v>
      </c>
      <c r="K33" s="31"/>
      <c r="L33" s="31"/>
      <c r="M33" s="34">
        <f t="shared" si="25"/>
        <v>0</v>
      </c>
      <c r="N33" s="31" t="s">
        <v>105</v>
      </c>
      <c r="O33" s="31" t="s">
        <v>106</v>
      </c>
      <c r="P33" s="37" t="s">
        <v>107</v>
      </c>
      <c r="Q33" s="31"/>
      <c r="R33" s="31"/>
      <c r="S33" s="31"/>
      <c r="T33" s="31"/>
      <c r="U33" s="31"/>
      <c r="V33" s="31"/>
      <c r="W33" s="31"/>
      <c r="X33" s="31" t="s">
        <v>108</v>
      </c>
      <c r="Y33" s="31" t="s">
        <v>109</v>
      </c>
      <c r="Z33" s="31"/>
      <c r="AA33" s="31"/>
      <c r="AB33" s="31"/>
      <c r="AD33" s="11">
        <f t="shared" si="26"/>
        <v>0</v>
      </c>
      <c r="AE33" s="11">
        <f t="shared" si="27"/>
        <v>1</v>
      </c>
      <c r="AF33" s="11">
        <f t="shared" si="108"/>
        <v>1</v>
      </c>
      <c r="AH33" s="11">
        <f t="shared" si="28"/>
        <v>0</v>
      </c>
      <c r="AI33" s="11">
        <f t="shared" si="29"/>
        <v>1</v>
      </c>
      <c r="AJ33" s="11">
        <f t="shared" si="30"/>
        <v>0</v>
      </c>
      <c r="AK33" s="22">
        <v>1</v>
      </c>
      <c r="AM33" s="11">
        <f t="shared" ref="AM33:AN33" si="115">SUMIFS(AO$3:AO$251,$A$3:$A$251,$A33)</f>
        <v>1</v>
      </c>
      <c r="AN33" s="11">
        <f t="shared" si="115"/>
        <v>1</v>
      </c>
      <c r="AO33" s="11">
        <f t="shared" si="32"/>
        <v>1</v>
      </c>
      <c r="AP33" s="22">
        <v>1</v>
      </c>
      <c r="AQ33" s="22"/>
      <c r="AR33" s="22">
        <f t="shared" si="33"/>
        <v>0</v>
      </c>
      <c r="AS33" s="22">
        <f t="shared" ref="AS33:AV33" si="116">IF(OR(G33="",G33="TBD",G33="N/A",G33="SDK",G33="SAAS"),0,1)</f>
        <v>0</v>
      </c>
      <c r="AT33" s="22">
        <f t="shared" si="116"/>
        <v>0</v>
      </c>
      <c r="AU33" s="22">
        <f t="shared" si="116"/>
        <v>0</v>
      </c>
      <c r="AV33" s="22">
        <f t="shared" si="116"/>
        <v>0</v>
      </c>
      <c r="AX33" s="11">
        <f t="shared" si="35"/>
        <v>0</v>
      </c>
      <c r="AY33" s="22">
        <f t="shared" ref="AY33:BB33" si="117">IF(OR(G33="",G33="N/A",G33="SDK",G33="SAAS"),0,1)</f>
        <v>0</v>
      </c>
      <c r="AZ33" s="22">
        <f t="shared" si="117"/>
        <v>0</v>
      </c>
      <c r="BA33" s="22">
        <f t="shared" si="117"/>
        <v>0</v>
      </c>
      <c r="BB33" s="22">
        <f t="shared" si="117"/>
        <v>0</v>
      </c>
      <c r="BD33" s="22"/>
      <c r="BE33" s="22"/>
      <c r="BF33" s="22"/>
      <c r="BG33" s="22"/>
    </row>
    <row r="34" spans="1:59">
      <c r="A34" s="23" t="s">
        <v>195</v>
      </c>
      <c r="B34" s="24" t="s">
        <v>26</v>
      </c>
      <c r="C34" s="47" t="s">
        <v>196</v>
      </c>
      <c r="D34" s="30" t="s">
        <v>240</v>
      </c>
      <c r="E34" s="35" t="str">
        <f t="shared" si="98"/>
        <v>Visor de expediente digital</v>
      </c>
      <c r="F34" s="88" t="s">
        <v>194</v>
      </c>
      <c r="G34" s="31" t="s">
        <v>194</v>
      </c>
      <c r="H34" s="31" t="s">
        <v>194</v>
      </c>
      <c r="I34" s="31" t="s">
        <v>194</v>
      </c>
      <c r="J34" s="31" t="s">
        <v>194</v>
      </c>
      <c r="K34" s="31"/>
      <c r="L34" s="31"/>
      <c r="M34" s="34">
        <f t="shared" si="25"/>
        <v>0</v>
      </c>
      <c r="N34" s="31" t="s">
        <v>105</v>
      </c>
      <c r="O34" s="31" t="s">
        <v>106</v>
      </c>
      <c r="P34" s="37" t="s">
        <v>107</v>
      </c>
      <c r="Q34" s="31"/>
      <c r="R34" s="31"/>
      <c r="S34" s="31"/>
      <c r="T34" s="31"/>
      <c r="U34" s="31"/>
      <c r="V34" s="31"/>
      <c r="W34" s="31"/>
      <c r="X34" s="31" t="s">
        <v>108</v>
      </c>
      <c r="Y34" s="31" t="s">
        <v>109</v>
      </c>
      <c r="Z34" s="31"/>
      <c r="AA34" s="31"/>
      <c r="AB34" s="31"/>
      <c r="AD34" s="11">
        <f t="shared" si="26"/>
        <v>0</v>
      </c>
      <c r="AE34" s="11">
        <f t="shared" si="27"/>
        <v>1</v>
      </c>
      <c r="AF34" s="11">
        <f t="shared" si="108"/>
        <v>1</v>
      </c>
      <c r="AH34" s="11">
        <f t="shared" si="28"/>
        <v>0</v>
      </c>
      <c r="AI34" s="11">
        <f t="shared" si="29"/>
        <v>1</v>
      </c>
      <c r="AJ34" s="11">
        <f t="shared" si="30"/>
        <v>0</v>
      </c>
      <c r="AK34" s="22">
        <v>1</v>
      </c>
      <c r="AM34" s="11">
        <f t="shared" ref="AM34:AN34" si="118">SUMIFS(AO$3:AO$251,$A$3:$A$251,$A34)</f>
        <v>1</v>
      </c>
      <c r="AN34" s="11">
        <f t="shared" si="118"/>
        <v>1</v>
      </c>
      <c r="AO34" s="11">
        <f t="shared" si="32"/>
        <v>1</v>
      </c>
      <c r="AP34" s="22">
        <v>1</v>
      </c>
      <c r="AQ34" s="22"/>
      <c r="AR34" s="22">
        <f t="shared" si="33"/>
        <v>0</v>
      </c>
      <c r="AS34" s="22">
        <f t="shared" ref="AS34:AV34" si="119">IF(OR(G34="",G34="TBD",G34="N/A",G34="SDK",G34="SAAS"),0,1)</f>
        <v>0</v>
      </c>
      <c r="AT34" s="22">
        <f t="shared" si="119"/>
        <v>0</v>
      </c>
      <c r="AU34" s="22">
        <f t="shared" si="119"/>
        <v>0</v>
      </c>
      <c r="AV34" s="22">
        <f t="shared" si="119"/>
        <v>0</v>
      </c>
      <c r="AX34" s="11">
        <f t="shared" si="35"/>
        <v>0</v>
      </c>
      <c r="AY34" s="22">
        <f t="shared" ref="AY34:BB34" si="120">IF(OR(G34="",G34="N/A",G34="SDK",G34="SAAS"),0,1)</f>
        <v>0</v>
      </c>
      <c r="AZ34" s="22">
        <f t="shared" si="120"/>
        <v>0</v>
      </c>
      <c r="BA34" s="22">
        <f t="shared" si="120"/>
        <v>0</v>
      </c>
      <c r="BB34" s="22">
        <f t="shared" si="120"/>
        <v>0</v>
      </c>
      <c r="BD34" s="22"/>
      <c r="BE34" s="22"/>
      <c r="BF34" s="22"/>
      <c r="BG34" s="22"/>
    </row>
    <row r="35" spans="1:59">
      <c r="A35" s="23" t="s">
        <v>197</v>
      </c>
      <c r="B35" s="24" t="s">
        <v>26</v>
      </c>
      <c r="C35" s="47" t="s">
        <v>198</v>
      </c>
      <c r="D35" s="30" t="s">
        <v>301</v>
      </c>
      <c r="E35" s="35" t="e">
        <f t="shared" si="98"/>
        <v>#N/A</v>
      </c>
      <c r="F35" s="88" t="s">
        <v>194</v>
      </c>
      <c r="G35" s="31" t="s">
        <v>194</v>
      </c>
      <c r="H35" s="31" t="s">
        <v>194</v>
      </c>
      <c r="I35" s="31" t="s">
        <v>194</v>
      </c>
      <c r="J35" s="31" t="s">
        <v>194</v>
      </c>
      <c r="K35" s="31"/>
      <c r="L35" s="31"/>
      <c r="M35" s="34">
        <f t="shared" si="25"/>
        <v>0</v>
      </c>
      <c r="N35" s="31" t="s">
        <v>105</v>
      </c>
      <c r="O35" s="31" t="s">
        <v>106</v>
      </c>
      <c r="P35" s="37" t="s">
        <v>107</v>
      </c>
      <c r="Q35" s="31"/>
      <c r="R35" s="31"/>
      <c r="S35" s="31"/>
      <c r="T35" s="31"/>
      <c r="U35" s="31"/>
      <c r="V35" s="31"/>
      <c r="W35" s="31"/>
      <c r="X35" s="31" t="s">
        <v>108</v>
      </c>
      <c r="Y35" s="31" t="s">
        <v>109</v>
      </c>
      <c r="Z35" s="31"/>
      <c r="AA35" s="31"/>
      <c r="AB35" s="31"/>
      <c r="AD35" s="11">
        <f t="shared" si="26"/>
        <v>0</v>
      </c>
      <c r="AE35" s="11">
        <f t="shared" si="27"/>
        <v>1</v>
      </c>
      <c r="AF35" s="11">
        <f t="shared" si="108"/>
        <v>1</v>
      </c>
      <c r="AH35" s="11">
        <f t="shared" si="28"/>
        <v>0</v>
      </c>
      <c r="AI35" s="11">
        <f t="shared" si="29"/>
        <v>1</v>
      </c>
      <c r="AJ35" s="11">
        <f t="shared" si="30"/>
        <v>0</v>
      </c>
      <c r="AK35" s="22">
        <v>1</v>
      </c>
      <c r="AM35" s="11">
        <f t="shared" ref="AM35:AN35" si="121">SUMIFS(AO$3:AO$251,$A$3:$A$251,$A35)</f>
        <v>1</v>
      </c>
      <c r="AN35" s="11">
        <f t="shared" si="121"/>
        <v>1</v>
      </c>
      <c r="AO35" s="11">
        <f t="shared" si="32"/>
        <v>1</v>
      </c>
      <c r="AP35" s="22">
        <v>1</v>
      </c>
      <c r="AQ35" s="22"/>
      <c r="AR35" s="22">
        <f t="shared" si="33"/>
        <v>0</v>
      </c>
      <c r="AS35" s="22">
        <f t="shared" ref="AS35:AV35" si="122">IF(OR(G35="",G35="TBD",G35="N/A",G35="SDK",G35="SAAS"),0,1)</f>
        <v>0</v>
      </c>
      <c r="AT35" s="22">
        <f t="shared" si="122"/>
        <v>0</v>
      </c>
      <c r="AU35" s="22">
        <f t="shared" si="122"/>
        <v>0</v>
      </c>
      <c r="AV35" s="22">
        <f t="shared" si="122"/>
        <v>0</v>
      </c>
      <c r="AX35" s="11">
        <f t="shared" si="35"/>
        <v>0</v>
      </c>
      <c r="AY35" s="22">
        <f t="shared" ref="AY35:BB35" si="123">IF(OR(G35="",G35="N/A",G35="SDK",G35="SAAS"),0,1)</f>
        <v>0</v>
      </c>
      <c r="AZ35" s="22">
        <f t="shared" si="123"/>
        <v>0</v>
      </c>
      <c r="BA35" s="22">
        <f t="shared" si="123"/>
        <v>0</v>
      </c>
      <c r="BB35" s="22">
        <f t="shared" si="123"/>
        <v>0</v>
      </c>
      <c r="BD35" s="22"/>
      <c r="BE35" s="22"/>
      <c r="BF35" s="22"/>
      <c r="BG35" s="22"/>
    </row>
    <row r="36" spans="1:59">
      <c r="A36" s="23" t="s">
        <v>199</v>
      </c>
      <c r="B36" s="24" t="s">
        <v>26</v>
      </c>
      <c r="C36" s="47" t="s">
        <v>200</v>
      </c>
      <c r="D36" s="30" t="s">
        <v>244</v>
      </c>
      <c r="E36" s="35" t="str">
        <f t="shared" si="98"/>
        <v>Inventario de reglas desacoplado</v>
      </c>
      <c r="F36" s="88" t="s">
        <v>194</v>
      </c>
      <c r="G36" s="31" t="s">
        <v>194</v>
      </c>
      <c r="H36" s="31" t="s">
        <v>194</v>
      </c>
      <c r="I36" s="31" t="s">
        <v>194</v>
      </c>
      <c r="J36" s="31" t="s">
        <v>194</v>
      </c>
      <c r="K36" s="31"/>
      <c r="L36" s="31"/>
      <c r="M36" s="34">
        <f t="shared" si="25"/>
        <v>0</v>
      </c>
      <c r="N36" s="31" t="s">
        <v>105</v>
      </c>
      <c r="O36" s="31" t="s">
        <v>106</v>
      </c>
      <c r="P36" s="37" t="s">
        <v>107</v>
      </c>
      <c r="Q36" s="31"/>
      <c r="R36" s="31"/>
      <c r="S36" s="31"/>
      <c r="T36" s="31"/>
      <c r="U36" s="31"/>
      <c r="V36" s="31"/>
      <c r="W36" s="31"/>
      <c r="X36" s="31" t="s">
        <v>108</v>
      </c>
      <c r="Y36" s="31" t="s">
        <v>109</v>
      </c>
      <c r="Z36" s="31"/>
      <c r="AA36" s="31"/>
      <c r="AB36" s="31"/>
      <c r="AD36" s="11">
        <f t="shared" si="26"/>
        <v>0</v>
      </c>
      <c r="AE36" s="11">
        <f t="shared" si="27"/>
        <v>1</v>
      </c>
      <c r="AF36" s="11">
        <f t="shared" si="108"/>
        <v>1</v>
      </c>
      <c r="AH36" s="11">
        <f t="shared" si="28"/>
        <v>0</v>
      </c>
      <c r="AI36" s="11">
        <f t="shared" si="29"/>
        <v>1</v>
      </c>
      <c r="AJ36" s="11">
        <f t="shared" si="30"/>
        <v>0</v>
      </c>
      <c r="AK36" s="22">
        <v>1</v>
      </c>
      <c r="AM36" s="11">
        <f t="shared" ref="AM36:AN36" si="124">SUMIFS(AO$3:AO$251,$A$3:$A$251,$A36)</f>
        <v>1</v>
      </c>
      <c r="AN36" s="11">
        <f t="shared" si="124"/>
        <v>1</v>
      </c>
      <c r="AO36" s="11">
        <f t="shared" si="32"/>
        <v>1</v>
      </c>
      <c r="AP36" s="22">
        <v>1</v>
      </c>
      <c r="AQ36" s="22"/>
      <c r="AR36" s="22">
        <f t="shared" si="33"/>
        <v>0</v>
      </c>
      <c r="AS36" s="22">
        <f t="shared" ref="AS36:AV36" si="125">IF(OR(G36="",G36="TBD",G36="N/A",G36="SDK",G36="SAAS"),0,1)</f>
        <v>0</v>
      </c>
      <c r="AT36" s="22">
        <f t="shared" si="125"/>
        <v>0</v>
      </c>
      <c r="AU36" s="22">
        <f t="shared" si="125"/>
        <v>0</v>
      </c>
      <c r="AV36" s="22">
        <f t="shared" si="125"/>
        <v>0</v>
      </c>
      <c r="AX36" s="11">
        <f t="shared" si="35"/>
        <v>0</v>
      </c>
      <c r="AY36" s="22">
        <f t="shared" ref="AY36:BB36" si="126">IF(OR(G36="",G36="N/A",G36="SDK",G36="SAAS"),0,1)</f>
        <v>0</v>
      </c>
      <c r="AZ36" s="22">
        <f t="shared" si="126"/>
        <v>0</v>
      </c>
      <c r="BA36" s="22">
        <f t="shared" si="126"/>
        <v>0</v>
      </c>
      <c r="BB36" s="22">
        <f t="shared" si="126"/>
        <v>0</v>
      </c>
      <c r="BD36" s="22"/>
      <c r="BE36" s="22"/>
      <c r="BF36" s="22"/>
      <c r="BG36" s="22"/>
    </row>
    <row r="37" spans="1:59">
      <c r="A37" s="23" t="s">
        <v>201</v>
      </c>
      <c r="B37" s="24" t="s">
        <v>26</v>
      </c>
      <c r="C37" s="47" t="s">
        <v>202</v>
      </c>
      <c r="D37" s="30" t="s">
        <v>302</v>
      </c>
      <c r="E37" s="35" t="e">
        <f t="shared" si="98"/>
        <v>#N/A</v>
      </c>
      <c r="F37" s="88" t="s">
        <v>194</v>
      </c>
      <c r="G37" s="31" t="s">
        <v>194</v>
      </c>
      <c r="H37" s="31" t="s">
        <v>194</v>
      </c>
      <c r="I37" s="31" t="s">
        <v>194</v>
      </c>
      <c r="J37" s="31" t="s">
        <v>194</v>
      </c>
      <c r="K37" s="31"/>
      <c r="L37" s="31"/>
      <c r="M37" s="34">
        <f t="shared" si="25"/>
        <v>0</v>
      </c>
      <c r="N37" s="31" t="s">
        <v>105</v>
      </c>
      <c r="O37" s="31" t="s">
        <v>106</v>
      </c>
      <c r="P37" s="37" t="s">
        <v>107</v>
      </c>
      <c r="Q37" s="31"/>
      <c r="R37" s="31"/>
      <c r="S37" s="31"/>
      <c r="T37" s="31"/>
      <c r="U37" s="31"/>
      <c r="V37" s="31"/>
      <c r="W37" s="31"/>
      <c r="X37" s="31" t="s">
        <v>108</v>
      </c>
      <c r="Y37" s="31" t="s">
        <v>109</v>
      </c>
      <c r="Z37" s="31"/>
      <c r="AA37" s="31"/>
      <c r="AB37" s="31"/>
      <c r="AD37" s="11">
        <f t="shared" si="26"/>
        <v>0</v>
      </c>
      <c r="AE37" s="11">
        <f t="shared" si="27"/>
        <v>1</v>
      </c>
      <c r="AF37" s="11">
        <f t="shared" si="108"/>
        <v>1</v>
      </c>
      <c r="AH37" s="11">
        <f t="shared" si="28"/>
        <v>0</v>
      </c>
      <c r="AI37" s="11">
        <f t="shared" si="29"/>
        <v>1</v>
      </c>
      <c r="AJ37" s="11">
        <f t="shared" si="30"/>
        <v>0</v>
      </c>
      <c r="AK37" s="22">
        <v>1</v>
      </c>
      <c r="AM37" s="11">
        <f t="shared" ref="AM37:AN37" si="127">SUMIFS(AO$3:AO$251,$A$3:$A$251,$A37)</f>
        <v>1</v>
      </c>
      <c r="AN37" s="11">
        <f t="shared" si="127"/>
        <v>1</v>
      </c>
      <c r="AO37" s="11">
        <f t="shared" si="32"/>
        <v>1</v>
      </c>
      <c r="AP37" s="22">
        <v>1</v>
      </c>
      <c r="AQ37" s="22"/>
      <c r="AR37" s="22">
        <f t="shared" si="33"/>
        <v>0</v>
      </c>
      <c r="AS37" s="22">
        <f t="shared" ref="AS37:AV37" si="128">IF(OR(G37="",G37="TBD",G37="N/A",G37="SDK",G37="SAAS"),0,1)</f>
        <v>0</v>
      </c>
      <c r="AT37" s="22">
        <f t="shared" si="128"/>
        <v>0</v>
      </c>
      <c r="AU37" s="22">
        <f t="shared" si="128"/>
        <v>0</v>
      </c>
      <c r="AV37" s="22">
        <f t="shared" si="128"/>
        <v>0</v>
      </c>
      <c r="AX37" s="11">
        <f t="shared" si="35"/>
        <v>0</v>
      </c>
      <c r="AY37" s="22">
        <f t="shared" ref="AY37:BB37" si="129">IF(OR(G37="",G37="N/A",G37="SDK",G37="SAAS"),0,1)</f>
        <v>0</v>
      </c>
      <c r="AZ37" s="22">
        <f t="shared" si="129"/>
        <v>0</v>
      </c>
      <c r="BA37" s="22">
        <f t="shared" si="129"/>
        <v>0</v>
      </c>
      <c r="BB37" s="22">
        <f t="shared" si="129"/>
        <v>0</v>
      </c>
      <c r="BD37" s="22"/>
      <c r="BE37" s="22"/>
      <c r="BF37" s="22"/>
      <c r="BG37" s="22"/>
    </row>
    <row r="38" spans="1:59">
      <c r="A38" s="23" t="s">
        <v>203</v>
      </c>
      <c r="B38" s="24" t="s">
        <v>26</v>
      </c>
      <c r="C38" s="47" t="s">
        <v>204</v>
      </c>
      <c r="D38" s="30" t="s">
        <v>303</v>
      </c>
      <c r="E38" s="35" t="e">
        <f t="shared" si="98"/>
        <v>#N/A</v>
      </c>
      <c r="F38" s="88" t="s">
        <v>194</v>
      </c>
      <c r="G38" s="31" t="s">
        <v>194</v>
      </c>
      <c r="H38" s="31" t="s">
        <v>194</v>
      </c>
      <c r="I38" s="31" t="s">
        <v>194</v>
      </c>
      <c r="J38" s="31" t="s">
        <v>194</v>
      </c>
      <c r="K38" s="31"/>
      <c r="L38" s="31"/>
      <c r="M38" s="34">
        <f t="shared" si="25"/>
        <v>0</v>
      </c>
      <c r="N38" s="31" t="s">
        <v>105</v>
      </c>
      <c r="O38" s="31" t="s">
        <v>106</v>
      </c>
      <c r="P38" s="37" t="s">
        <v>107</v>
      </c>
      <c r="Q38" s="31"/>
      <c r="R38" s="31"/>
      <c r="S38" s="31"/>
      <c r="T38" s="31"/>
      <c r="U38" s="31"/>
      <c r="V38" s="31"/>
      <c r="W38" s="31"/>
      <c r="X38" s="31" t="s">
        <v>108</v>
      </c>
      <c r="Y38" s="31" t="s">
        <v>109</v>
      </c>
      <c r="Z38" s="31"/>
      <c r="AA38" s="31"/>
      <c r="AB38" s="31"/>
      <c r="AD38" s="11">
        <f t="shared" si="26"/>
        <v>0</v>
      </c>
      <c r="AE38" s="11">
        <f t="shared" si="27"/>
        <v>1</v>
      </c>
      <c r="AF38" s="11">
        <f t="shared" si="108"/>
        <v>1</v>
      </c>
      <c r="AH38" s="11">
        <f t="shared" si="28"/>
        <v>0</v>
      </c>
      <c r="AI38" s="11">
        <f t="shared" si="29"/>
        <v>1</v>
      </c>
      <c r="AJ38" s="11">
        <f t="shared" si="30"/>
        <v>0</v>
      </c>
      <c r="AK38" s="22">
        <v>1</v>
      </c>
      <c r="AM38" s="11">
        <f t="shared" ref="AM38:AN38" si="130">SUMIFS(AO$3:AO$251,$A$3:$A$251,$A38)</f>
        <v>1</v>
      </c>
      <c r="AN38" s="11">
        <f t="shared" si="130"/>
        <v>1</v>
      </c>
      <c r="AO38" s="11">
        <f t="shared" si="32"/>
        <v>1</v>
      </c>
      <c r="AP38" s="22">
        <v>1</v>
      </c>
      <c r="AQ38" s="22"/>
      <c r="AR38" s="22">
        <f t="shared" si="33"/>
        <v>0</v>
      </c>
      <c r="AS38" s="22">
        <f t="shared" ref="AS38:AV38" si="131">IF(OR(G38="",G38="TBD",G38="N/A",G38="SDK",G38="SAAS"),0,1)</f>
        <v>0</v>
      </c>
      <c r="AT38" s="22">
        <f t="shared" si="131"/>
        <v>0</v>
      </c>
      <c r="AU38" s="22">
        <f t="shared" si="131"/>
        <v>0</v>
      </c>
      <c r="AV38" s="22">
        <f t="shared" si="131"/>
        <v>0</v>
      </c>
      <c r="AX38" s="11">
        <f t="shared" si="35"/>
        <v>0</v>
      </c>
      <c r="AY38" s="22">
        <f t="shared" ref="AY38:BB38" si="132">IF(OR(G38="",G38="N/A",G38="SDK",G38="SAAS"),0,1)</f>
        <v>0</v>
      </c>
      <c r="AZ38" s="22">
        <f t="shared" si="132"/>
        <v>0</v>
      </c>
      <c r="BA38" s="22">
        <f t="shared" si="132"/>
        <v>0</v>
      </c>
      <c r="BB38" s="22">
        <f t="shared" si="132"/>
        <v>0</v>
      </c>
      <c r="BD38" s="22"/>
      <c r="BE38" s="22"/>
      <c r="BF38" s="22"/>
      <c r="BG38" s="22"/>
    </row>
    <row r="39" spans="1:59">
      <c r="A39" s="23" t="s">
        <v>205</v>
      </c>
      <c r="B39" s="24" t="s">
        <v>26</v>
      </c>
      <c r="C39" s="47" t="s">
        <v>206</v>
      </c>
      <c r="D39" s="30" t="s">
        <v>260</v>
      </c>
      <c r="E39" s="35" t="str">
        <f t="shared" si="98"/>
        <v>Dispersión de SMS</v>
      </c>
      <c r="F39" s="88" t="s">
        <v>194</v>
      </c>
      <c r="G39" s="31" t="s">
        <v>194</v>
      </c>
      <c r="H39" s="31" t="s">
        <v>194</v>
      </c>
      <c r="I39" s="31" t="s">
        <v>194</v>
      </c>
      <c r="J39" s="31" t="s">
        <v>194</v>
      </c>
      <c r="K39" s="31"/>
      <c r="L39" s="31"/>
      <c r="M39" s="34">
        <f t="shared" si="25"/>
        <v>0</v>
      </c>
      <c r="N39" s="31" t="s">
        <v>105</v>
      </c>
      <c r="O39" s="31" t="s">
        <v>106</v>
      </c>
      <c r="P39" s="37" t="s">
        <v>107</v>
      </c>
      <c r="Q39" s="31"/>
      <c r="R39" s="31"/>
      <c r="S39" s="31"/>
      <c r="T39" s="31"/>
      <c r="U39" s="31"/>
      <c r="V39" s="31"/>
      <c r="W39" s="31"/>
      <c r="X39" s="31" t="s">
        <v>108</v>
      </c>
      <c r="Y39" s="31" t="s">
        <v>109</v>
      </c>
      <c r="Z39" s="31"/>
      <c r="AA39" s="31"/>
      <c r="AB39" s="31"/>
      <c r="AD39" s="11">
        <f t="shared" si="26"/>
        <v>0</v>
      </c>
      <c r="AE39" s="11">
        <f t="shared" si="27"/>
        <v>1</v>
      </c>
      <c r="AF39" s="11">
        <f t="shared" si="108"/>
        <v>1</v>
      </c>
      <c r="AH39" s="11">
        <f t="shared" si="28"/>
        <v>0</v>
      </c>
      <c r="AI39" s="11">
        <f t="shared" si="29"/>
        <v>1</v>
      </c>
      <c r="AJ39" s="11">
        <f t="shared" si="30"/>
        <v>0</v>
      </c>
      <c r="AK39" s="22">
        <v>1</v>
      </c>
      <c r="AM39" s="11">
        <f t="shared" ref="AM39:AN39" si="133">SUMIFS(AO$3:AO$251,$A$3:$A$251,$A39)</f>
        <v>1</v>
      </c>
      <c r="AN39" s="11">
        <f t="shared" si="133"/>
        <v>1</v>
      </c>
      <c r="AO39" s="11">
        <f t="shared" si="32"/>
        <v>1</v>
      </c>
      <c r="AP39" s="22">
        <v>1</v>
      </c>
      <c r="AQ39" s="22"/>
      <c r="AR39" s="22">
        <f t="shared" si="33"/>
        <v>0</v>
      </c>
      <c r="AS39" s="22">
        <f t="shared" ref="AS39:AV39" si="134">IF(OR(G39="",G39="TBD",G39="N/A",G39="SDK",G39="SAAS"),0,1)</f>
        <v>0</v>
      </c>
      <c r="AT39" s="22">
        <f t="shared" si="134"/>
        <v>0</v>
      </c>
      <c r="AU39" s="22">
        <f t="shared" si="134"/>
        <v>0</v>
      </c>
      <c r="AV39" s="22">
        <f t="shared" si="134"/>
        <v>0</v>
      </c>
      <c r="AX39" s="11">
        <f t="shared" si="35"/>
        <v>0</v>
      </c>
      <c r="AY39" s="22">
        <f t="shared" ref="AY39:BB39" si="135">IF(OR(G39="",G39="N/A",G39="SDK",G39="SAAS"),0,1)</f>
        <v>0</v>
      </c>
      <c r="AZ39" s="22">
        <f t="shared" si="135"/>
        <v>0</v>
      </c>
      <c r="BA39" s="22">
        <f t="shared" si="135"/>
        <v>0</v>
      </c>
      <c r="BB39" s="22">
        <f t="shared" si="135"/>
        <v>0</v>
      </c>
      <c r="BD39" s="22"/>
      <c r="BE39" s="22"/>
      <c r="BF39" s="22"/>
      <c r="BG39" s="22"/>
    </row>
    <row r="40" spans="1:59">
      <c r="A40" s="23" t="s">
        <v>207</v>
      </c>
      <c r="B40" s="24" t="s">
        <v>26</v>
      </c>
      <c r="C40" s="47" t="s">
        <v>208</v>
      </c>
      <c r="D40" s="30" t="s">
        <v>262</v>
      </c>
      <c r="E40" s="35" t="str">
        <f t="shared" si="98"/>
        <v>Dispersión de Email (Welcome Kit)</v>
      </c>
      <c r="F40" s="88" t="s">
        <v>194</v>
      </c>
      <c r="G40" s="31" t="s">
        <v>194</v>
      </c>
      <c r="H40" s="31" t="s">
        <v>194</v>
      </c>
      <c r="I40" s="31" t="s">
        <v>194</v>
      </c>
      <c r="J40" s="31" t="s">
        <v>194</v>
      </c>
      <c r="K40" s="31"/>
      <c r="L40" s="31"/>
      <c r="M40" s="34">
        <f t="shared" si="25"/>
        <v>0</v>
      </c>
      <c r="N40" s="31" t="s">
        <v>105</v>
      </c>
      <c r="O40" s="31" t="s">
        <v>106</v>
      </c>
      <c r="P40" s="37" t="s">
        <v>107</v>
      </c>
      <c r="Q40" s="31"/>
      <c r="R40" s="31"/>
      <c r="S40" s="31"/>
      <c r="T40" s="31"/>
      <c r="U40" s="31"/>
      <c r="V40" s="31"/>
      <c r="W40" s="31"/>
      <c r="X40" s="31" t="s">
        <v>108</v>
      </c>
      <c r="Y40" s="31" t="s">
        <v>109</v>
      </c>
      <c r="Z40" s="31"/>
      <c r="AA40" s="31"/>
      <c r="AB40" s="31"/>
      <c r="AD40" s="11">
        <f t="shared" si="26"/>
        <v>0</v>
      </c>
      <c r="AE40" s="11">
        <f t="shared" si="27"/>
        <v>1</v>
      </c>
      <c r="AF40" s="11">
        <f t="shared" si="108"/>
        <v>1</v>
      </c>
      <c r="AH40" s="11">
        <f t="shared" si="28"/>
        <v>0</v>
      </c>
      <c r="AI40" s="11">
        <f t="shared" si="29"/>
        <v>1</v>
      </c>
      <c r="AJ40" s="11">
        <f t="shared" si="30"/>
        <v>0</v>
      </c>
      <c r="AK40" s="22">
        <v>1</v>
      </c>
      <c r="AM40" s="11">
        <f t="shared" ref="AM40:AN40" si="136">SUMIFS(AO$3:AO$251,$A$3:$A$251,$A40)</f>
        <v>1</v>
      </c>
      <c r="AN40" s="11">
        <f t="shared" si="136"/>
        <v>1</v>
      </c>
      <c r="AO40" s="11">
        <f t="shared" si="32"/>
        <v>1</v>
      </c>
      <c r="AP40" s="22">
        <v>1</v>
      </c>
      <c r="AQ40" s="22"/>
      <c r="AR40" s="22">
        <f t="shared" si="33"/>
        <v>0</v>
      </c>
      <c r="AS40" s="22">
        <f t="shared" ref="AS40:AV40" si="137">IF(OR(G40="",G40="TBD",G40="N/A",G40="SDK",G40="SAAS"),0,1)</f>
        <v>0</v>
      </c>
      <c r="AT40" s="22">
        <f t="shared" si="137"/>
        <v>0</v>
      </c>
      <c r="AU40" s="22">
        <f t="shared" si="137"/>
        <v>0</v>
      </c>
      <c r="AV40" s="22">
        <f t="shared" si="137"/>
        <v>0</v>
      </c>
      <c r="AX40" s="11">
        <f t="shared" si="35"/>
        <v>0</v>
      </c>
      <c r="AY40" s="22">
        <f t="shared" ref="AY40:BB40" si="138">IF(OR(G40="",G40="N/A",G40="SDK",G40="SAAS"),0,1)</f>
        <v>0</v>
      </c>
      <c r="AZ40" s="22">
        <f t="shared" si="138"/>
        <v>0</v>
      </c>
      <c r="BA40" s="22">
        <f t="shared" si="138"/>
        <v>0</v>
      </c>
      <c r="BB40" s="22">
        <f t="shared" si="138"/>
        <v>0</v>
      </c>
      <c r="BD40" s="22"/>
      <c r="BE40" s="22"/>
      <c r="BF40" s="22"/>
      <c r="BG40" s="22"/>
    </row>
    <row r="41" spans="1:59">
      <c r="A41" s="23" t="s">
        <v>209</v>
      </c>
      <c r="B41" s="24" t="s">
        <v>26</v>
      </c>
      <c r="C41" s="47" t="s">
        <v>210</v>
      </c>
      <c r="E41" s="35" t="e">
        <f t="shared" si="98"/>
        <v>#N/A</v>
      </c>
      <c r="F41" s="88" t="s">
        <v>194</v>
      </c>
      <c r="G41" s="31" t="s">
        <v>194</v>
      </c>
      <c r="H41" s="31" t="s">
        <v>194</v>
      </c>
      <c r="I41" s="31" t="s">
        <v>194</v>
      </c>
      <c r="J41" s="31" t="s">
        <v>194</v>
      </c>
      <c r="K41" s="31"/>
      <c r="L41" s="31"/>
      <c r="M41" s="34">
        <f t="shared" si="25"/>
        <v>0</v>
      </c>
      <c r="N41" s="31" t="s">
        <v>105</v>
      </c>
      <c r="O41" s="31" t="s">
        <v>106</v>
      </c>
      <c r="P41" s="37" t="s">
        <v>107</v>
      </c>
      <c r="Q41" s="31"/>
      <c r="R41" s="31"/>
      <c r="S41" s="31"/>
      <c r="T41" s="31"/>
      <c r="U41" s="31"/>
      <c r="V41" s="31"/>
      <c r="W41" s="31"/>
      <c r="X41" s="31" t="s">
        <v>108</v>
      </c>
      <c r="Y41" s="31" t="s">
        <v>109</v>
      </c>
      <c r="Z41" s="31"/>
      <c r="AA41" s="31"/>
      <c r="AB41" s="31"/>
      <c r="AD41" s="11">
        <f t="shared" si="26"/>
        <v>0</v>
      </c>
      <c r="AE41" s="11">
        <f t="shared" si="27"/>
        <v>1</v>
      </c>
      <c r="AF41" s="11">
        <f t="shared" si="108"/>
        <v>1</v>
      </c>
      <c r="AH41" s="11">
        <f t="shared" si="28"/>
        <v>0</v>
      </c>
      <c r="AI41" s="11">
        <f t="shared" si="29"/>
        <v>1</v>
      </c>
      <c r="AJ41" s="11">
        <f t="shared" si="30"/>
        <v>0</v>
      </c>
      <c r="AK41" s="22">
        <v>1</v>
      </c>
      <c r="AM41" s="11">
        <f t="shared" ref="AM41:AN41" si="139">SUMIFS(AO$3:AO$251,$A$3:$A$251,$A41)</f>
        <v>1</v>
      </c>
      <c r="AN41" s="11">
        <f t="shared" si="139"/>
        <v>1</v>
      </c>
      <c r="AO41" s="11">
        <f t="shared" si="32"/>
        <v>1</v>
      </c>
      <c r="AP41" s="22">
        <v>1</v>
      </c>
      <c r="AQ41" s="22"/>
      <c r="AR41" s="22">
        <f t="shared" si="33"/>
        <v>0</v>
      </c>
      <c r="AS41" s="22">
        <f t="shared" ref="AS41:AV41" si="140">IF(OR(G41="",G41="TBD",G41="N/A",G41="SDK",G41="SAAS"),0,1)</f>
        <v>0</v>
      </c>
      <c r="AT41" s="22">
        <f t="shared" si="140"/>
        <v>0</v>
      </c>
      <c r="AU41" s="22">
        <f t="shared" si="140"/>
        <v>0</v>
      </c>
      <c r="AV41" s="22">
        <f t="shared" si="140"/>
        <v>0</v>
      </c>
      <c r="AX41" s="11">
        <f t="shared" si="35"/>
        <v>0</v>
      </c>
      <c r="AY41" s="22">
        <f t="shared" ref="AY41:BB41" si="141">IF(OR(G41="",G41="N/A",G41="SDK",G41="SAAS"),0,1)</f>
        <v>0</v>
      </c>
      <c r="AZ41" s="22">
        <f t="shared" si="141"/>
        <v>0</v>
      </c>
      <c r="BA41" s="22">
        <f t="shared" si="141"/>
        <v>0</v>
      </c>
      <c r="BB41" s="22">
        <f t="shared" si="141"/>
        <v>0</v>
      </c>
      <c r="BD41" s="22"/>
      <c r="BE41" s="22"/>
      <c r="BF41" s="22"/>
      <c r="BG41" s="22"/>
    </row>
    <row r="42" spans="1:59">
      <c r="A42" s="23" t="s">
        <v>211</v>
      </c>
      <c r="B42" s="24" t="s">
        <v>26</v>
      </c>
      <c r="C42" s="47" t="s">
        <v>212</v>
      </c>
      <c r="D42" s="88"/>
      <c r="E42" s="35" t="e">
        <f t="shared" si="98"/>
        <v>#N/A</v>
      </c>
      <c r="F42" s="88" t="s">
        <v>194</v>
      </c>
      <c r="G42" s="31" t="s">
        <v>194</v>
      </c>
      <c r="H42" s="31" t="s">
        <v>194</v>
      </c>
      <c r="I42" s="31" t="s">
        <v>194</v>
      </c>
      <c r="J42" s="31" t="s">
        <v>194</v>
      </c>
      <c r="K42" s="31"/>
      <c r="L42" s="31"/>
      <c r="M42" s="34">
        <f t="shared" si="25"/>
        <v>0</v>
      </c>
      <c r="N42" s="31" t="s">
        <v>105</v>
      </c>
      <c r="O42" s="31" t="s">
        <v>106</v>
      </c>
      <c r="P42" s="37" t="s">
        <v>107</v>
      </c>
      <c r="Q42" s="31"/>
      <c r="R42" s="31"/>
      <c r="S42" s="31"/>
      <c r="T42" s="31"/>
      <c r="U42" s="31"/>
      <c r="V42" s="31"/>
      <c r="W42" s="31"/>
      <c r="X42" s="31" t="s">
        <v>108</v>
      </c>
      <c r="Y42" s="31" t="s">
        <v>109</v>
      </c>
      <c r="Z42" s="31"/>
      <c r="AA42" s="31"/>
      <c r="AB42" s="31"/>
      <c r="AD42" s="11">
        <f t="shared" si="26"/>
        <v>0</v>
      </c>
      <c r="AE42" s="11">
        <f t="shared" si="27"/>
        <v>1</v>
      </c>
      <c r="AF42" s="11">
        <f t="shared" si="108"/>
        <v>1</v>
      </c>
      <c r="AH42" s="11">
        <f t="shared" si="28"/>
        <v>0</v>
      </c>
      <c r="AI42" s="11">
        <f t="shared" si="29"/>
        <v>1</v>
      </c>
      <c r="AJ42" s="11">
        <f t="shared" si="30"/>
        <v>0</v>
      </c>
      <c r="AK42" s="22">
        <v>1</v>
      </c>
      <c r="AM42" s="11">
        <f t="shared" ref="AM42:AN42" si="142">SUMIFS(AO$3:AO$251,$A$3:$A$251,$A42)</f>
        <v>1</v>
      </c>
      <c r="AN42" s="11">
        <f t="shared" si="142"/>
        <v>1</v>
      </c>
      <c r="AO42" s="11">
        <f t="shared" si="32"/>
        <v>1</v>
      </c>
      <c r="AP42" s="22">
        <v>1</v>
      </c>
      <c r="AQ42" s="22"/>
      <c r="AR42" s="22">
        <f t="shared" si="33"/>
        <v>0</v>
      </c>
      <c r="AS42" s="22">
        <f t="shared" ref="AS42:AV42" si="143">IF(OR(G42="",G42="TBD",G42="N/A",G42="SDK",G42="SAAS"),0,1)</f>
        <v>0</v>
      </c>
      <c r="AT42" s="22">
        <f t="shared" si="143"/>
        <v>0</v>
      </c>
      <c r="AU42" s="22">
        <f t="shared" si="143"/>
        <v>0</v>
      </c>
      <c r="AV42" s="22">
        <f t="shared" si="143"/>
        <v>0</v>
      </c>
      <c r="AX42" s="11">
        <f t="shared" si="35"/>
        <v>0</v>
      </c>
      <c r="AY42" s="22">
        <f t="shared" ref="AY42:BB42" si="144">IF(OR(G42="",G42="N/A",G42="SDK",G42="SAAS"),0,1)</f>
        <v>0</v>
      </c>
      <c r="AZ42" s="22">
        <f t="shared" si="144"/>
        <v>0</v>
      </c>
      <c r="BA42" s="22">
        <f t="shared" si="144"/>
        <v>0</v>
      </c>
      <c r="BB42" s="22">
        <f t="shared" si="144"/>
        <v>0</v>
      </c>
      <c r="BD42" s="22"/>
      <c r="BE42" s="22"/>
      <c r="BF42" s="22"/>
      <c r="BG42" s="22"/>
    </row>
    <row r="43" spans="1:59">
      <c r="A43" s="23" t="s">
        <v>213</v>
      </c>
      <c r="B43" s="24" t="s">
        <v>26</v>
      </c>
      <c r="C43" s="47" t="s">
        <v>214</v>
      </c>
      <c r="D43" s="88"/>
      <c r="E43" s="35" t="e">
        <f t="shared" si="98"/>
        <v>#N/A</v>
      </c>
      <c r="F43" s="88" t="s">
        <v>194</v>
      </c>
      <c r="G43" s="31" t="s">
        <v>194</v>
      </c>
      <c r="H43" s="31" t="s">
        <v>194</v>
      </c>
      <c r="I43" s="31" t="s">
        <v>194</v>
      </c>
      <c r="J43" s="31" t="s">
        <v>194</v>
      </c>
      <c r="K43" s="31"/>
      <c r="L43" s="31"/>
      <c r="M43" s="34">
        <f t="shared" si="25"/>
        <v>0</v>
      </c>
      <c r="N43" s="31" t="s">
        <v>105</v>
      </c>
      <c r="O43" s="31" t="s">
        <v>106</v>
      </c>
      <c r="P43" s="37" t="s">
        <v>107</v>
      </c>
      <c r="Q43" s="31"/>
      <c r="R43" s="31"/>
      <c r="S43" s="31"/>
      <c r="T43" s="31"/>
      <c r="U43" s="31"/>
      <c r="V43" s="31"/>
      <c r="W43" s="31"/>
      <c r="X43" s="31" t="s">
        <v>108</v>
      </c>
      <c r="Y43" s="31" t="s">
        <v>109</v>
      </c>
      <c r="Z43" s="31"/>
      <c r="AA43" s="31"/>
      <c r="AB43" s="31"/>
      <c r="AD43" s="11">
        <f t="shared" si="26"/>
        <v>0</v>
      </c>
      <c r="AE43" s="11">
        <f t="shared" si="27"/>
        <v>1</v>
      </c>
      <c r="AF43" s="11">
        <f t="shared" si="108"/>
        <v>1</v>
      </c>
      <c r="AH43" s="11">
        <f t="shared" si="28"/>
        <v>0</v>
      </c>
      <c r="AI43" s="11">
        <f t="shared" si="29"/>
        <v>1</v>
      </c>
      <c r="AJ43" s="11">
        <f t="shared" si="30"/>
        <v>0</v>
      </c>
      <c r="AK43" s="22">
        <v>1</v>
      </c>
      <c r="AM43" s="11">
        <f t="shared" ref="AM43:AN43" si="145">SUMIFS(AO$3:AO$251,$A$3:$A$251,$A43)</f>
        <v>1</v>
      </c>
      <c r="AN43" s="11">
        <f t="shared" si="145"/>
        <v>1</v>
      </c>
      <c r="AO43" s="11">
        <f t="shared" si="32"/>
        <v>1</v>
      </c>
      <c r="AP43" s="22">
        <v>1</v>
      </c>
      <c r="AQ43" s="22"/>
      <c r="AR43" s="22">
        <f t="shared" si="33"/>
        <v>0</v>
      </c>
      <c r="AS43" s="22">
        <f t="shared" ref="AS43:AV43" si="146">IF(OR(G43="",G43="TBD",G43="N/A",G43="SDK",G43="SAAS"),0,1)</f>
        <v>0</v>
      </c>
      <c r="AT43" s="22">
        <f t="shared" si="146"/>
        <v>0</v>
      </c>
      <c r="AU43" s="22">
        <f t="shared" si="146"/>
        <v>0</v>
      </c>
      <c r="AV43" s="22">
        <f t="shared" si="146"/>
        <v>0</v>
      </c>
      <c r="AX43" s="11">
        <f t="shared" si="35"/>
        <v>0</v>
      </c>
      <c r="AY43" s="22">
        <f t="shared" ref="AY43:BB43" si="147">IF(OR(G43="",G43="N/A",G43="SDK",G43="SAAS"),0,1)</f>
        <v>0</v>
      </c>
      <c r="AZ43" s="22">
        <f t="shared" si="147"/>
        <v>0</v>
      </c>
      <c r="BA43" s="22">
        <f t="shared" si="147"/>
        <v>0</v>
      </c>
      <c r="BB43" s="22">
        <f t="shared" si="147"/>
        <v>0</v>
      </c>
      <c r="BD43" s="22"/>
      <c r="BE43" s="22"/>
      <c r="BF43" s="22"/>
      <c r="BG43" s="22"/>
    </row>
    <row r="44" spans="1:59">
      <c r="A44" s="23" t="s">
        <v>215</v>
      </c>
      <c r="B44" s="24" t="s">
        <v>26</v>
      </c>
      <c r="C44" s="47" t="s">
        <v>216</v>
      </c>
      <c r="D44" s="88"/>
      <c r="E44" s="35" t="e">
        <f t="shared" si="98"/>
        <v>#N/A</v>
      </c>
      <c r="F44" s="88" t="s">
        <v>194</v>
      </c>
      <c r="G44" s="31" t="s">
        <v>194</v>
      </c>
      <c r="H44" s="31" t="s">
        <v>194</v>
      </c>
      <c r="I44" s="31" t="s">
        <v>194</v>
      </c>
      <c r="J44" s="31" t="s">
        <v>194</v>
      </c>
      <c r="K44" s="31"/>
      <c r="L44" s="31"/>
      <c r="M44" s="34">
        <f t="shared" si="25"/>
        <v>0</v>
      </c>
      <c r="N44" s="31" t="s">
        <v>105</v>
      </c>
      <c r="O44" s="31" t="s">
        <v>106</v>
      </c>
      <c r="P44" s="37" t="s">
        <v>107</v>
      </c>
      <c r="Q44" s="31"/>
      <c r="R44" s="31"/>
      <c r="S44" s="31"/>
      <c r="T44" s="31"/>
      <c r="U44" s="31"/>
      <c r="V44" s="31"/>
      <c r="W44" s="31"/>
      <c r="X44" s="31" t="s">
        <v>108</v>
      </c>
      <c r="Y44" s="31" t="s">
        <v>109</v>
      </c>
      <c r="Z44" s="31"/>
      <c r="AA44" s="31"/>
      <c r="AB44" s="31"/>
      <c r="AD44" s="11">
        <f t="shared" si="26"/>
        <v>0</v>
      </c>
      <c r="AE44" s="11">
        <f t="shared" si="27"/>
        <v>1</v>
      </c>
      <c r="AF44" s="11">
        <f t="shared" si="108"/>
        <v>1</v>
      </c>
      <c r="AH44" s="11">
        <f t="shared" si="28"/>
        <v>0</v>
      </c>
      <c r="AI44" s="11">
        <f t="shared" si="29"/>
        <v>1</v>
      </c>
      <c r="AJ44" s="11">
        <f t="shared" si="30"/>
        <v>0</v>
      </c>
      <c r="AK44" s="22">
        <v>1</v>
      </c>
      <c r="AM44" s="11">
        <f t="shared" ref="AM44:AN44" si="148">SUMIFS(AO$3:AO$251,$A$3:$A$251,$A44)</f>
        <v>1</v>
      </c>
      <c r="AN44" s="11">
        <f t="shared" si="148"/>
        <v>1</v>
      </c>
      <c r="AO44" s="11">
        <f t="shared" si="32"/>
        <v>1</v>
      </c>
      <c r="AP44" s="22">
        <v>1</v>
      </c>
      <c r="AQ44" s="22"/>
      <c r="AR44" s="22">
        <f t="shared" si="33"/>
        <v>0</v>
      </c>
      <c r="AS44" s="22">
        <f t="shared" ref="AS44:AV44" si="149">IF(OR(G44="",G44="TBD",G44="N/A",G44="SDK",G44="SAAS"),0,1)</f>
        <v>0</v>
      </c>
      <c r="AT44" s="22">
        <f t="shared" si="149"/>
        <v>0</v>
      </c>
      <c r="AU44" s="22">
        <f t="shared" si="149"/>
        <v>0</v>
      </c>
      <c r="AV44" s="22">
        <f t="shared" si="149"/>
        <v>0</v>
      </c>
      <c r="AX44" s="11">
        <f t="shared" si="35"/>
        <v>0</v>
      </c>
      <c r="AY44" s="22">
        <f t="shared" ref="AY44:BB44" si="150">IF(OR(G44="",G44="N/A",G44="SDK",G44="SAAS"),0,1)</f>
        <v>0</v>
      </c>
      <c r="AZ44" s="22">
        <f t="shared" si="150"/>
        <v>0</v>
      </c>
      <c r="BA44" s="22">
        <f t="shared" si="150"/>
        <v>0</v>
      </c>
      <c r="BB44" s="22">
        <f t="shared" si="150"/>
        <v>0</v>
      </c>
      <c r="BD44" s="22"/>
      <c r="BE44" s="22"/>
      <c r="BF44" s="22"/>
      <c r="BG44" s="22"/>
    </row>
    <row r="45" spans="1:59">
      <c r="A45" s="23" t="s">
        <v>217</v>
      </c>
      <c r="B45" s="24" t="s">
        <v>26</v>
      </c>
      <c r="C45" s="47" t="s">
        <v>218</v>
      </c>
      <c r="D45" s="88"/>
      <c r="E45" s="35" t="e">
        <f t="shared" si="98"/>
        <v>#N/A</v>
      </c>
      <c r="F45" s="88" t="s">
        <v>194</v>
      </c>
      <c r="G45" s="31" t="s">
        <v>194</v>
      </c>
      <c r="H45" s="31" t="s">
        <v>194</v>
      </c>
      <c r="I45" s="31" t="s">
        <v>194</v>
      </c>
      <c r="J45" s="31" t="s">
        <v>194</v>
      </c>
      <c r="K45" s="31"/>
      <c r="L45" s="31"/>
      <c r="M45" s="34">
        <f t="shared" si="25"/>
        <v>0</v>
      </c>
      <c r="N45" s="31" t="s">
        <v>105</v>
      </c>
      <c r="O45" s="31" t="s">
        <v>106</v>
      </c>
      <c r="P45" s="37" t="s">
        <v>107</v>
      </c>
      <c r="Q45" s="31"/>
      <c r="R45" s="31"/>
      <c r="S45" s="31"/>
      <c r="T45" s="31"/>
      <c r="U45" s="31"/>
      <c r="V45" s="31"/>
      <c r="W45" s="31"/>
      <c r="X45" s="31" t="s">
        <v>108</v>
      </c>
      <c r="Y45" s="31" t="s">
        <v>109</v>
      </c>
      <c r="Z45" s="31"/>
      <c r="AA45" s="31"/>
      <c r="AB45" s="31"/>
      <c r="AD45" s="11">
        <f t="shared" si="26"/>
        <v>0</v>
      </c>
      <c r="AE45" s="11">
        <f t="shared" si="27"/>
        <v>1</v>
      </c>
      <c r="AF45" s="11">
        <f t="shared" si="108"/>
        <v>1</v>
      </c>
      <c r="AH45" s="11">
        <f t="shared" si="28"/>
        <v>0</v>
      </c>
      <c r="AI45" s="11">
        <f t="shared" si="29"/>
        <v>1</v>
      </c>
      <c r="AJ45" s="11">
        <f t="shared" si="30"/>
        <v>0</v>
      </c>
      <c r="AK45" s="22">
        <v>1</v>
      </c>
      <c r="AM45" s="11">
        <f t="shared" ref="AM45:AN45" si="151">SUMIFS(AO$3:AO$251,$A$3:$A$251,$A45)</f>
        <v>1</v>
      </c>
      <c r="AN45" s="11">
        <f t="shared" si="151"/>
        <v>1</v>
      </c>
      <c r="AO45" s="11">
        <f t="shared" si="32"/>
        <v>1</v>
      </c>
      <c r="AP45" s="22">
        <v>1</v>
      </c>
      <c r="AQ45" s="22"/>
      <c r="AR45" s="22">
        <f t="shared" si="33"/>
        <v>0</v>
      </c>
      <c r="AS45" s="22">
        <f t="shared" ref="AS45:AV45" si="152">IF(OR(G45="",G45="TBD",G45="N/A",G45="SDK",G45="SAAS"),0,1)</f>
        <v>0</v>
      </c>
      <c r="AT45" s="22">
        <f t="shared" si="152"/>
        <v>0</v>
      </c>
      <c r="AU45" s="22">
        <f t="shared" si="152"/>
        <v>0</v>
      </c>
      <c r="AV45" s="22">
        <f t="shared" si="152"/>
        <v>0</v>
      </c>
      <c r="AX45" s="11">
        <f t="shared" si="35"/>
        <v>0</v>
      </c>
      <c r="AY45" s="22">
        <f t="shared" ref="AY45:BB45" si="153">IF(OR(G45="",G45="N/A",G45="SDK",G45="SAAS"),0,1)</f>
        <v>0</v>
      </c>
      <c r="AZ45" s="22">
        <f t="shared" si="153"/>
        <v>0</v>
      </c>
      <c r="BA45" s="22">
        <f t="shared" si="153"/>
        <v>0</v>
      </c>
      <c r="BB45" s="22">
        <f t="shared" si="153"/>
        <v>0</v>
      </c>
      <c r="BD45" s="22"/>
      <c r="BE45" s="22"/>
      <c r="BF45" s="22"/>
      <c r="BG45" s="22"/>
    </row>
    <row r="46" spans="1:59">
      <c r="A46" s="23" t="s">
        <v>219</v>
      </c>
      <c r="B46" s="24" t="s">
        <v>26</v>
      </c>
      <c r="C46" s="47" t="s">
        <v>220</v>
      </c>
      <c r="D46" s="88"/>
      <c r="E46" s="88"/>
      <c r="F46" s="88" t="s">
        <v>194</v>
      </c>
      <c r="G46" s="31" t="s">
        <v>194</v>
      </c>
      <c r="H46" s="31" t="s">
        <v>194</v>
      </c>
      <c r="I46" s="31" t="s">
        <v>194</v>
      </c>
      <c r="J46" s="31" t="s">
        <v>194</v>
      </c>
      <c r="K46" s="31"/>
      <c r="L46" s="31"/>
      <c r="M46" s="34">
        <f t="shared" si="25"/>
        <v>0</v>
      </c>
      <c r="N46" s="31" t="s">
        <v>105</v>
      </c>
      <c r="O46" s="31" t="s">
        <v>106</v>
      </c>
      <c r="P46" s="37" t="s">
        <v>107</v>
      </c>
      <c r="Q46" s="31"/>
      <c r="R46" s="31"/>
      <c r="S46" s="31"/>
      <c r="T46" s="31"/>
      <c r="U46" s="31"/>
      <c r="V46" s="31"/>
      <c r="W46" s="31"/>
      <c r="X46" s="31" t="s">
        <v>108</v>
      </c>
      <c r="Y46" s="31" t="s">
        <v>109</v>
      </c>
      <c r="Z46" s="31"/>
      <c r="AA46" s="31"/>
      <c r="AB46" s="31"/>
      <c r="AD46" s="11">
        <f t="shared" si="26"/>
        <v>0</v>
      </c>
      <c r="AE46" s="11">
        <f t="shared" si="27"/>
        <v>1</v>
      </c>
      <c r="AF46" s="11">
        <f t="shared" si="108"/>
        <v>1</v>
      </c>
      <c r="AH46" s="11">
        <f t="shared" si="28"/>
        <v>0</v>
      </c>
      <c r="AI46" s="11">
        <f t="shared" si="29"/>
        <v>1</v>
      </c>
      <c r="AJ46" s="11">
        <f t="shared" si="30"/>
        <v>0</v>
      </c>
      <c r="AK46" s="22">
        <v>1</v>
      </c>
      <c r="AM46" s="11">
        <f t="shared" ref="AM46:AN46" si="154">SUMIFS(AO$3:AO$251,$A$3:$A$251,$A46)</f>
        <v>1</v>
      </c>
      <c r="AN46" s="11">
        <f t="shared" si="154"/>
        <v>1</v>
      </c>
      <c r="AO46" s="11">
        <f t="shared" si="32"/>
        <v>1</v>
      </c>
      <c r="AP46" s="22">
        <v>1</v>
      </c>
      <c r="AQ46" s="22"/>
      <c r="AR46" s="22">
        <f t="shared" si="33"/>
        <v>0</v>
      </c>
      <c r="AS46" s="22">
        <f t="shared" ref="AS46:AV46" si="155">IF(OR(G46="",G46="TBD",G46="N/A",G46="SDK",G46="SAAS"),0,1)</f>
        <v>0</v>
      </c>
      <c r="AT46" s="22">
        <f t="shared" si="155"/>
        <v>0</v>
      </c>
      <c r="AU46" s="22">
        <f t="shared" si="155"/>
        <v>0</v>
      </c>
      <c r="AV46" s="22">
        <f t="shared" si="155"/>
        <v>0</v>
      </c>
      <c r="AX46" s="11">
        <f t="shared" si="35"/>
        <v>0</v>
      </c>
      <c r="AY46" s="22">
        <f t="shared" ref="AY46:BB46" si="156">IF(OR(G46="",G46="N/A",G46="SDK",G46="SAAS"),0,1)</f>
        <v>0</v>
      </c>
      <c r="AZ46" s="22">
        <f t="shared" si="156"/>
        <v>0</v>
      </c>
      <c r="BA46" s="22">
        <f t="shared" si="156"/>
        <v>0</v>
      </c>
      <c r="BB46" s="22">
        <f t="shared" si="156"/>
        <v>0</v>
      </c>
      <c r="BD46" s="22"/>
      <c r="BE46" s="22"/>
      <c r="BF46" s="22"/>
      <c r="BG46" s="22"/>
    </row>
    <row r="47" spans="1:59">
      <c r="A47" s="23" t="s">
        <v>221</v>
      </c>
      <c r="B47" s="24" t="s">
        <v>26</v>
      </c>
      <c r="C47" s="47" t="s">
        <v>222</v>
      </c>
      <c r="D47" s="88"/>
      <c r="E47" s="88"/>
      <c r="F47" s="88" t="s">
        <v>194</v>
      </c>
      <c r="G47" s="31" t="s">
        <v>194</v>
      </c>
      <c r="H47" s="31" t="s">
        <v>194</v>
      </c>
      <c r="I47" s="31" t="s">
        <v>194</v>
      </c>
      <c r="J47" s="31" t="s">
        <v>194</v>
      </c>
      <c r="K47" s="31"/>
      <c r="L47" s="31"/>
      <c r="M47" s="34">
        <f t="shared" si="25"/>
        <v>0</v>
      </c>
      <c r="N47" s="31" t="s">
        <v>105</v>
      </c>
      <c r="O47" s="31" t="s">
        <v>106</v>
      </c>
      <c r="P47" s="37" t="s">
        <v>107</v>
      </c>
      <c r="Q47" s="31"/>
      <c r="R47" s="31"/>
      <c r="S47" s="31"/>
      <c r="T47" s="31"/>
      <c r="U47" s="31"/>
      <c r="V47" s="31"/>
      <c r="W47" s="31"/>
      <c r="X47" s="31" t="s">
        <v>108</v>
      </c>
      <c r="Y47" s="31" t="s">
        <v>109</v>
      </c>
      <c r="Z47" s="31"/>
      <c r="AA47" s="31"/>
      <c r="AB47" s="31"/>
      <c r="AD47" s="11">
        <f t="shared" si="26"/>
        <v>0</v>
      </c>
      <c r="AE47" s="11">
        <f t="shared" si="27"/>
        <v>1</v>
      </c>
      <c r="AF47" s="11">
        <f t="shared" si="108"/>
        <v>1</v>
      </c>
      <c r="AH47" s="11">
        <f t="shared" si="28"/>
        <v>0</v>
      </c>
      <c r="AI47" s="11">
        <f t="shared" si="29"/>
        <v>1</v>
      </c>
      <c r="AJ47" s="11">
        <f t="shared" si="30"/>
        <v>0</v>
      </c>
      <c r="AK47" s="22">
        <v>1</v>
      </c>
      <c r="AM47" s="11">
        <f t="shared" ref="AM47:AN47" si="157">SUMIFS(AO$3:AO$251,$A$3:$A$251,$A47)</f>
        <v>1</v>
      </c>
      <c r="AN47" s="11">
        <f t="shared" si="157"/>
        <v>1</v>
      </c>
      <c r="AO47" s="11">
        <f t="shared" si="32"/>
        <v>1</v>
      </c>
      <c r="AP47" s="22">
        <v>1</v>
      </c>
      <c r="AQ47" s="22"/>
      <c r="AR47" s="22">
        <f t="shared" si="33"/>
        <v>0</v>
      </c>
      <c r="AS47" s="22">
        <f t="shared" ref="AS47:AV47" si="158">IF(OR(G47="",G47="TBD",G47="N/A",G47="SDK",G47="SAAS"),0,1)</f>
        <v>0</v>
      </c>
      <c r="AT47" s="22">
        <f t="shared" si="158"/>
        <v>0</v>
      </c>
      <c r="AU47" s="22">
        <f t="shared" si="158"/>
        <v>0</v>
      </c>
      <c r="AV47" s="22">
        <f t="shared" si="158"/>
        <v>0</v>
      </c>
      <c r="AX47" s="11">
        <f t="shared" si="35"/>
        <v>0</v>
      </c>
      <c r="AY47" s="22">
        <f t="shared" ref="AY47:BB47" si="159">IF(OR(G47="",G47="N/A",G47="SDK",G47="SAAS"),0,1)</f>
        <v>0</v>
      </c>
      <c r="AZ47" s="22">
        <f t="shared" si="159"/>
        <v>0</v>
      </c>
      <c r="BA47" s="22">
        <f t="shared" si="159"/>
        <v>0</v>
      </c>
      <c r="BB47" s="22">
        <f t="shared" si="159"/>
        <v>0</v>
      </c>
      <c r="BD47" s="22"/>
      <c r="BE47" s="22"/>
      <c r="BF47" s="22"/>
      <c r="BG47" s="22"/>
    </row>
    <row r="48" spans="1:59">
      <c r="A48" s="23" t="s">
        <v>223</v>
      </c>
      <c r="B48" s="84" t="s">
        <v>26</v>
      </c>
      <c r="C48" s="47" t="s">
        <v>224</v>
      </c>
      <c r="D48" s="88"/>
      <c r="E48" s="88"/>
      <c r="F48" s="88" t="s">
        <v>194</v>
      </c>
      <c r="G48" s="31" t="s">
        <v>194</v>
      </c>
      <c r="H48" s="31" t="s">
        <v>194</v>
      </c>
      <c r="I48" s="31" t="s">
        <v>194</v>
      </c>
      <c r="J48" s="31" t="s">
        <v>194</v>
      </c>
      <c r="K48" s="31"/>
      <c r="L48" s="31"/>
      <c r="M48" s="34">
        <f t="shared" si="25"/>
        <v>0</v>
      </c>
      <c r="N48" s="31" t="s">
        <v>105</v>
      </c>
      <c r="O48" s="31" t="s">
        <v>106</v>
      </c>
      <c r="P48" s="37" t="s">
        <v>107</v>
      </c>
      <c r="Q48" s="31"/>
      <c r="R48" s="31"/>
      <c r="S48" s="31"/>
      <c r="T48" s="31"/>
      <c r="U48" s="31"/>
      <c r="V48" s="31"/>
      <c r="W48" s="31"/>
      <c r="X48" s="31" t="s">
        <v>108</v>
      </c>
      <c r="Y48" s="31" t="s">
        <v>109</v>
      </c>
      <c r="Z48" s="31"/>
      <c r="AA48" s="31"/>
      <c r="AB48" s="31"/>
      <c r="AD48" s="11">
        <f t="shared" si="26"/>
        <v>0</v>
      </c>
      <c r="AE48" s="11">
        <f t="shared" si="27"/>
        <v>1</v>
      </c>
      <c r="AF48" s="11">
        <f t="shared" si="108"/>
        <v>1</v>
      </c>
      <c r="AH48" s="11">
        <f t="shared" si="28"/>
        <v>0</v>
      </c>
      <c r="AI48" s="11">
        <f t="shared" si="29"/>
        <v>1</v>
      </c>
      <c r="AJ48" s="11">
        <f t="shared" si="30"/>
        <v>0</v>
      </c>
      <c r="AK48" s="22">
        <v>1</v>
      </c>
      <c r="AM48" s="11">
        <f t="shared" ref="AM48:AN48" si="160">SUMIFS(AO$3:AO$251,$A$3:$A$251,$A48)</f>
        <v>1</v>
      </c>
      <c r="AN48" s="11">
        <f t="shared" si="160"/>
        <v>1</v>
      </c>
      <c r="AO48" s="11">
        <f t="shared" si="32"/>
        <v>1</v>
      </c>
      <c r="AP48" s="22">
        <v>1</v>
      </c>
      <c r="AQ48" s="22"/>
      <c r="AR48" s="22">
        <f t="shared" si="33"/>
        <v>0</v>
      </c>
      <c r="AS48" s="22">
        <f t="shared" ref="AS48:AV48" si="161">IF(OR(G48="",G48="TBD",G48="N/A",G48="SDK",G48="SAAS"),0,1)</f>
        <v>0</v>
      </c>
      <c r="AT48" s="22">
        <f t="shared" si="161"/>
        <v>0</v>
      </c>
      <c r="AU48" s="22">
        <f t="shared" si="161"/>
        <v>0</v>
      </c>
      <c r="AV48" s="22">
        <f t="shared" si="161"/>
        <v>0</v>
      </c>
      <c r="AX48" s="11">
        <f t="shared" si="35"/>
        <v>0</v>
      </c>
      <c r="AY48" s="22">
        <f t="shared" ref="AY48:BB48" si="162">IF(OR(G48="",G48="N/A",G48="SDK",G48="SAAS"),0,1)</f>
        <v>0</v>
      </c>
      <c r="AZ48" s="22">
        <f t="shared" si="162"/>
        <v>0</v>
      </c>
      <c r="BA48" s="22">
        <f t="shared" si="162"/>
        <v>0</v>
      </c>
      <c r="BB48" s="22">
        <f t="shared" si="162"/>
        <v>0</v>
      </c>
      <c r="BD48" s="22"/>
      <c r="BE48" s="22"/>
      <c r="BF48" s="22"/>
      <c r="BG48" s="22"/>
    </row>
    <row r="49" spans="1:59">
      <c r="A49" s="84" t="s">
        <v>225</v>
      </c>
      <c r="B49" s="84" t="s">
        <v>26</v>
      </c>
      <c r="C49" s="85" t="s">
        <v>226</v>
      </c>
      <c r="D49" s="99"/>
      <c r="E49" s="99"/>
      <c r="F49" s="88" t="s">
        <v>194</v>
      </c>
      <c r="G49" s="31" t="s">
        <v>194</v>
      </c>
      <c r="H49" s="31" t="s">
        <v>194</v>
      </c>
      <c r="I49" s="31" t="s">
        <v>194</v>
      </c>
      <c r="J49" s="31" t="s">
        <v>194</v>
      </c>
      <c r="K49" s="31"/>
      <c r="L49" s="31"/>
      <c r="M49" s="34">
        <f t="shared" si="25"/>
        <v>0</v>
      </c>
      <c r="N49" s="31" t="s">
        <v>105</v>
      </c>
      <c r="O49" s="31" t="s">
        <v>106</v>
      </c>
      <c r="P49" s="37" t="s">
        <v>107</v>
      </c>
      <c r="Q49" s="31"/>
      <c r="R49" s="31"/>
      <c r="S49" s="31"/>
      <c r="T49" s="31"/>
      <c r="U49" s="31"/>
      <c r="V49" s="31"/>
      <c r="W49" s="31"/>
      <c r="X49" s="31" t="s">
        <v>108</v>
      </c>
      <c r="Y49" s="31" t="s">
        <v>109</v>
      </c>
      <c r="Z49" s="31"/>
      <c r="AA49" s="31"/>
      <c r="AB49" s="31"/>
      <c r="AD49" s="11">
        <f t="shared" si="26"/>
        <v>0</v>
      </c>
      <c r="AE49" s="11">
        <f t="shared" si="27"/>
        <v>1</v>
      </c>
      <c r="AF49" s="11">
        <f t="shared" si="108"/>
        <v>1</v>
      </c>
      <c r="AH49" s="11">
        <f t="shared" si="28"/>
        <v>0</v>
      </c>
      <c r="AI49" s="11">
        <f t="shared" si="29"/>
        <v>1</v>
      </c>
      <c r="AJ49" s="11">
        <f t="shared" si="30"/>
        <v>0</v>
      </c>
      <c r="AK49" s="22">
        <v>1</v>
      </c>
      <c r="AM49" s="11">
        <f t="shared" ref="AM49:AN49" si="163">SUMIFS(AO$3:AO$251,$A$3:$A$251,$A49)</f>
        <v>1</v>
      </c>
      <c r="AN49" s="11">
        <f t="shared" si="163"/>
        <v>1</v>
      </c>
      <c r="AO49" s="11">
        <f t="shared" si="32"/>
        <v>1</v>
      </c>
      <c r="AP49" s="22">
        <v>1</v>
      </c>
      <c r="AQ49" s="22"/>
      <c r="AR49" s="22">
        <f t="shared" si="33"/>
        <v>0</v>
      </c>
      <c r="AS49" s="22">
        <f t="shared" ref="AS49:AV49" si="164">IF(OR(G49="",G49="TBD",G49="N/A",G49="SDK",G49="SAAS"),0,1)</f>
        <v>0</v>
      </c>
      <c r="AT49" s="22">
        <f t="shared" si="164"/>
        <v>0</v>
      </c>
      <c r="AU49" s="22">
        <f t="shared" si="164"/>
        <v>0</v>
      </c>
      <c r="AV49" s="22">
        <f t="shared" si="164"/>
        <v>0</v>
      </c>
      <c r="AX49" s="11">
        <f t="shared" si="35"/>
        <v>0</v>
      </c>
      <c r="AY49" s="22">
        <f t="shared" ref="AY49:BB49" si="165">IF(OR(G49="",G49="N/A",G49="SDK",G49="SAAS"),0,1)</f>
        <v>0</v>
      </c>
      <c r="AZ49" s="22">
        <f t="shared" si="165"/>
        <v>0</v>
      </c>
      <c r="BA49" s="22">
        <f t="shared" si="165"/>
        <v>0</v>
      </c>
      <c r="BB49" s="22">
        <f t="shared" si="165"/>
        <v>0</v>
      </c>
      <c r="BD49" s="22"/>
      <c r="BE49" s="22"/>
      <c r="BF49" s="22"/>
      <c r="BG49" s="22"/>
    </row>
    <row r="50" spans="1:59">
      <c r="A50" s="23" t="s">
        <v>227</v>
      </c>
      <c r="B50" s="24" t="s">
        <v>26</v>
      </c>
      <c r="C50" s="47" t="s">
        <v>228</v>
      </c>
      <c r="D50" s="88"/>
      <c r="E50" s="88"/>
      <c r="F50" s="88" t="s">
        <v>135</v>
      </c>
      <c r="G50" s="31" t="s">
        <v>135</v>
      </c>
      <c r="H50" s="31" t="s">
        <v>135</v>
      </c>
      <c r="I50" s="31" t="s">
        <v>135</v>
      </c>
      <c r="J50" s="31" t="s">
        <v>135</v>
      </c>
      <c r="K50" s="31"/>
      <c r="L50" s="31"/>
      <c r="M50" s="34">
        <f t="shared" si="25"/>
        <v>0</v>
      </c>
      <c r="N50" s="31" t="s">
        <v>105</v>
      </c>
      <c r="O50" s="31" t="s">
        <v>106</v>
      </c>
      <c r="P50" s="37" t="s">
        <v>107</v>
      </c>
      <c r="Q50" s="31"/>
      <c r="R50" s="31"/>
      <c r="S50" s="31"/>
      <c r="T50" s="31"/>
      <c r="U50" s="31"/>
      <c r="V50" s="31"/>
      <c r="W50" s="31"/>
      <c r="X50" s="31" t="s">
        <v>108</v>
      </c>
      <c r="Y50" s="31" t="s">
        <v>109</v>
      </c>
      <c r="Z50" s="31"/>
      <c r="AA50" s="31"/>
      <c r="AB50" s="31"/>
      <c r="AD50" s="11">
        <f t="shared" si="26"/>
        <v>0</v>
      </c>
      <c r="AE50" s="11">
        <f t="shared" si="27"/>
        <v>0</v>
      </c>
      <c r="AF50" s="11">
        <f t="shared" si="108"/>
        <v>1</v>
      </c>
      <c r="AH50" s="11">
        <f t="shared" si="28"/>
        <v>0</v>
      </c>
      <c r="AI50" s="11">
        <f t="shared" si="29"/>
        <v>1</v>
      </c>
      <c r="AJ50" s="11">
        <f t="shared" si="30"/>
        <v>0</v>
      </c>
      <c r="AK50" s="22">
        <v>1</v>
      </c>
      <c r="AM50" s="11">
        <f t="shared" ref="AM50:AN50" si="166">SUMIFS(AO$3:AO$251,$A$3:$A$251,$A50)</f>
        <v>0</v>
      </c>
      <c r="AN50" s="11">
        <f t="shared" si="166"/>
        <v>1</v>
      </c>
      <c r="AO50" s="11">
        <f t="shared" si="32"/>
        <v>0</v>
      </c>
      <c r="AP50" s="22">
        <v>1</v>
      </c>
      <c r="AQ50" s="22"/>
      <c r="AR50" s="22">
        <f t="shared" si="33"/>
        <v>0</v>
      </c>
      <c r="AS50" s="22">
        <f t="shared" ref="AS50:AV50" si="167">IF(OR(G50="",G50="TBD",G50="N/A",G50="SDK",G50="SAAS"),0,1)</f>
        <v>0</v>
      </c>
      <c r="AT50" s="22">
        <f t="shared" si="167"/>
        <v>0</v>
      </c>
      <c r="AU50" s="22">
        <f t="shared" si="167"/>
        <v>0</v>
      </c>
      <c r="AV50" s="22">
        <f t="shared" si="167"/>
        <v>0</v>
      </c>
      <c r="AX50" s="11">
        <f t="shared" si="35"/>
        <v>4</v>
      </c>
      <c r="AY50" s="22">
        <f t="shared" ref="AY50:BB50" si="168">IF(OR(G50="",G50="N/A",G50="SDK",G50="SAAS"),0,1)</f>
        <v>1</v>
      </c>
      <c r="AZ50" s="22">
        <f t="shared" si="168"/>
        <v>1</v>
      </c>
      <c r="BA50" s="22">
        <f t="shared" si="168"/>
        <v>1</v>
      </c>
      <c r="BB50" s="22">
        <f t="shared" si="168"/>
        <v>1</v>
      </c>
      <c r="BD50" s="22"/>
      <c r="BE50" s="22"/>
      <c r="BF50" s="22"/>
      <c r="BG50" s="22"/>
    </row>
    <row r="51" spans="1:59">
      <c r="A51" s="23" t="s">
        <v>229</v>
      </c>
      <c r="B51" s="24" t="s">
        <v>26</v>
      </c>
      <c r="C51" s="47" t="s">
        <v>230</v>
      </c>
      <c r="D51" s="88"/>
      <c r="E51" s="88"/>
      <c r="F51" s="88" t="s">
        <v>135</v>
      </c>
      <c r="G51" s="31" t="s">
        <v>135</v>
      </c>
      <c r="H51" s="31" t="s">
        <v>135</v>
      </c>
      <c r="I51" s="31" t="s">
        <v>135</v>
      </c>
      <c r="J51" s="31" t="s">
        <v>135</v>
      </c>
      <c r="K51" s="31"/>
      <c r="L51" s="31"/>
      <c r="M51" s="34">
        <f t="shared" si="25"/>
        <v>0</v>
      </c>
      <c r="N51" s="31" t="s">
        <v>105</v>
      </c>
      <c r="O51" s="31" t="s">
        <v>106</v>
      </c>
      <c r="P51" s="37" t="s">
        <v>107</v>
      </c>
      <c r="Q51" s="31"/>
      <c r="R51" s="31"/>
      <c r="S51" s="31"/>
      <c r="T51" s="31"/>
      <c r="U51" s="31"/>
      <c r="V51" s="31"/>
      <c r="W51" s="31"/>
      <c r="X51" s="31" t="s">
        <v>108</v>
      </c>
      <c r="Y51" s="31" t="s">
        <v>109</v>
      </c>
      <c r="Z51" s="31"/>
      <c r="AA51" s="31"/>
      <c r="AB51" s="31"/>
      <c r="AD51" s="11">
        <f t="shared" si="26"/>
        <v>0</v>
      </c>
      <c r="AE51" s="11">
        <f t="shared" si="27"/>
        <v>0</v>
      </c>
      <c r="AF51" s="11">
        <f t="shared" si="108"/>
        <v>1</v>
      </c>
      <c r="AH51" s="11">
        <f t="shared" si="28"/>
        <v>0</v>
      </c>
      <c r="AI51" s="11">
        <f t="shared" si="29"/>
        <v>1</v>
      </c>
      <c r="AJ51" s="11">
        <f t="shared" si="30"/>
        <v>0</v>
      </c>
      <c r="AK51" s="22">
        <v>1</v>
      </c>
      <c r="AM51" s="11">
        <f t="shared" ref="AM51:AN51" si="169">SUMIFS(AO$3:AO$251,$A$3:$A$251,$A51)</f>
        <v>0</v>
      </c>
      <c r="AN51" s="11">
        <f t="shared" si="169"/>
        <v>1</v>
      </c>
      <c r="AO51" s="11">
        <f t="shared" si="32"/>
        <v>0</v>
      </c>
      <c r="AP51" s="22">
        <v>1</v>
      </c>
      <c r="AQ51" s="22"/>
      <c r="AR51" s="22">
        <f t="shared" si="33"/>
        <v>0</v>
      </c>
      <c r="AS51" s="22">
        <f t="shared" ref="AS51:AV51" si="170">IF(OR(G51="",G51="TBD",G51="N/A",G51="SDK",G51="SAAS"),0,1)</f>
        <v>0</v>
      </c>
      <c r="AT51" s="22">
        <f t="shared" si="170"/>
        <v>0</v>
      </c>
      <c r="AU51" s="22">
        <f t="shared" si="170"/>
        <v>0</v>
      </c>
      <c r="AV51" s="22">
        <f t="shared" si="170"/>
        <v>0</v>
      </c>
      <c r="AX51" s="11">
        <f t="shared" si="35"/>
        <v>4</v>
      </c>
      <c r="AY51" s="22">
        <f t="shared" ref="AY51:BB51" si="171">IF(OR(G51="",G51="N/A",G51="SDK",G51="SAAS"),0,1)</f>
        <v>1</v>
      </c>
      <c r="AZ51" s="22">
        <f t="shared" si="171"/>
        <v>1</v>
      </c>
      <c r="BA51" s="22">
        <f t="shared" si="171"/>
        <v>1</v>
      </c>
      <c r="BB51" s="22">
        <f t="shared" si="171"/>
        <v>1</v>
      </c>
      <c r="BD51" s="22"/>
      <c r="BE51" s="22"/>
      <c r="BF51" s="22"/>
      <c r="BG51" s="22"/>
    </row>
    <row r="52" spans="1:59">
      <c r="A52" s="23" t="s">
        <v>231</v>
      </c>
      <c r="B52" s="24" t="s">
        <v>26</v>
      </c>
      <c r="C52" s="47" t="s">
        <v>232</v>
      </c>
      <c r="G52" s="31" t="s">
        <v>135</v>
      </c>
      <c r="H52" s="31" t="s">
        <v>135</v>
      </c>
      <c r="I52" s="31" t="s">
        <v>135</v>
      </c>
      <c r="J52" s="31" t="s">
        <v>135</v>
      </c>
      <c r="K52" s="31"/>
      <c r="L52" s="31"/>
      <c r="M52" s="34">
        <f t="shared" si="25"/>
        <v>0</v>
      </c>
      <c r="N52" s="31" t="s">
        <v>105</v>
      </c>
      <c r="O52" s="31" t="s">
        <v>106</v>
      </c>
      <c r="P52" s="37" t="s">
        <v>107</v>
      </c>
      <c r="Q52" s="31"/>
      <c r="R52" s="31"/>
      <c r="S52" s="31"/>
      <c r="T52" s="31"/>
      <c r="U52" s="31"/>
      <c r="V52" s="31"/>
      <c r="W52" s="31"/>
      <c r="X52" s="31" t="s">
        <v>108</v>
      </c>
      <c r="Y52" s="31" t="s">
        <v>109</v>
      </c>
      <c r="Z52" s="31"/>
      <c r="AA52" s="31"/>
      <c r="AB52" s="31"/>
      <c r="AD52" s="11">
        <f t="shared" si="26"/>
        <v>0</v>
      </c>
      <c r="AE52" s="11">
        <f t="shared" si="27"/>
        <v>0</v>
      </c>
      <c r="AF52" s="11">
        <f t="shared" si="108"/>
        <v>1</v>
      </c>
      <c r="AH52" s="11">
        <f t="shared" si="28"/>
        <v>0</v>
      </c>
      <c r="AI52" s="11">
        <f t="shared" si="29"/>
        <v>1</v>
      </c>
      <c r="AJ52" s="11">
        <f t="shared" si="30"/>
        <v>0</v>
      </c>
      <c r="AK52" s="22">
        <v>1</v>
      </c>
      <c r="AM52" s="11">
        <f t="shared" ref="AM52:AN52" si="172">SUMIFS(AO$3:AO$251,$A$3:$A$251,$A52)</f>
        <v>0</v>
      </c>
      <c r="AN52" s="11">
        <f t="shared" si="172"/>
        <v>1</v>
      </c>
      <c r="AO52" s="11">
        <f t="shared" si="32"/>
        <v>0</v>
      </c>
      <c r="AP52" s="22">
        <v>1</v>
      </c>
      <c r="AQ52" s="22"/>
      <c r="AR52" s="22">
        <f t="shared" si="33"/>
        <v>0</v>
      </c>
      <c r="AS52" s="22">
        <f t="shared" ref="AS52:AV52" si="173">IF(OR(G52="",G52="TBD",G52="N/A",G52="SDK",G52="SAAS"),0,1)</f>
        <v>0</v>
      </c>
      <c r="AT52" s="22">
        <f t="shared" si="173"/>
        <v>0</v>
      </c>
      <c r="AU52" s="22">
        <f t="shared" si="173"/>
        <v>0</v>
      </c>
      <c r="AV52" s="22">
        <f t="shared" si="173"/>
        <v>0</v>
      </c>
      <c r="AX52" s="11">
        <f t="shared" si="35"/>
        <v>4</v>
      </c>
      <c r="AY52" s="22">
        <f t="shared" ref="AY52:BB52" si="174">IF(OR(G52="",G52="N/A",G52="SDK",G52="SAAS"),0,1)</f>
        <v>1</v>
      </c>
      <c r="AZ52" s="22">
        <f t="shared" si="174"/>
        <v>1</v>
      </c>
      <c r="BA52" s="22">
        <f t="shared" si="174"/>
        <v>1</v>
      </c>
      <c r="BB52" s="22">
        <f t="shared" si="174"/>
        <v>1</v>
      </c>
      <c r="BD52" s="22"/>
      <c r="BE52" s="22"/>
      <c r="BF52" s="22"/>
      <c r="BG52" s="22"/>
    </row>
    <row r="53" spans="1:59">
      <c r="A53" s="23" t="s">
        <v>233</v>
      </c>
      <c r="B53" s="24" t="s">
        <v>26</v>
      </c>
      <c r="C53" s="47" t="s">
        <v>234</v>
      </c>
      <c r="D53" s="88"/>
      <c r="E53" s="88"/>
      <c r="F53" s="88" t="s">
        <v>135</v>
      </c>
      <c r="G53" s="31" t="s">
        <v>135</v>
      </c>
      <c r="H53" s="31" t="s">
        <v>135</v>
      </c>
      <c r="I53" s="31" t="s">
        <v>135</v>
      </c>
      <c r="J53" s="31" t="s">
        <v>135</v>
      </c>
      <c r="K53" s="31"/>
      <c r="L53" s="31"/>
      <c r="M53" s="34">
        <f t="shared" si="25"/>
        <v>0</v>
      </c>
      <c r="N53" s="31" t="s">
        <v>105</v>
      </c>
      <c r="O53" s="31" t="s">
        <v>106</v>
      </c>
      <c r="P53" s="37" t="s">
        <v>107</v>
      </c>
      <c r="Q53" s="31"/>
      <c r="R53" s="31"/>
      <c r="S53" s="31"/>
      <c r="T53" s="31"/>
      <c r="U53" s="31"/>
      <c r="V53" s="31"/>
      <c r="W53" s="31"/>
      <c r="X53" s="31" t="s">
        <v>108</v>
      </c>
      <c r="Y53" s="31" t="s">
        <v>109</v>
      </c>
      <c r="Z53" s="31"/>
      <c r="AA53" s="31"/>
      <c r="AB53" s="31"/>
      <c r="AD53" s="11">
        <f t="shared" si="26"/>
        <v>0</v>
      </c>
      <c r="AE53" s="11">
        <f t="shared" si="27"/>
        <v>0</v>
      </c>
      <c r="AF53" s="11">
        <f t="shared" si="108"/>
        <v>1</v>
      </c>
      <c r="AH53" s="11">
        <f t="shared" si="28"/>
        <v>0</v>
      </c>
      <c r="AI53" s="11">
        <f t="shared" si="29"/>
        <v>1</v>
      </c>
      <c r="AJ53" s="11">
        <f t="shared" si="30"/>
        <v>0</v>
      </c>
      <c r="AK53" s="22">
        <v>1</v>
      </c>
      <c r="AM53" s="11">
        <f t="shared" ref="AM53:AN53" si="175">SUMIFS(AO$3:AO$251,$A$3:$A$251,$A53)</f>
        <v>0</v>
      </c>
      <c r="AN53" s="11">
        <f t="shared" si="175"/>
        <v>1</v>
      </c>
      <c r="AO53" s="11">
        <f t="shared" si="32"/>
        <v>0</v>
      </c>
      <c r="AP53" s="22">
        <v>1</v>
      </c>
      <c r="AQ53" s="22"/>
      <c r="AR53" s="22">
        <f t="shared" si="33"/>
        <v>0</v>
      </c>
      <c r="AS53" s="22">
        <f t="shared" ref="AS53:AV53" si="176">IF(OR(G53="",G53="TBD",G53="N/A",G53="SDK",G53="SAAS"),0,1)</f>
        <v>0</v>
      </c>
      <c r="AT53" s="22">
        <f t="shared" si="176"/>
        <v>0</v>
      </c>
      <c r="AU53" s="22">
        <f t="shared" si="176"/>
        <v>0</v>
      </c>
      <c r="AV53" s="22">
        <f t="shared" si="176"/>
        <v>0</v>
      </c>
      <c r="AX53" s="11">
        <f t="shared" si="35"/>
        <v>4</v>
      </c>
      <c r="AY53" s="22">
        <f t="shared" ref="AY53:BB53" si="177">IF(OR(G53="",G53="N/A",G53="SDK",G53="SAAS"),0,1)</f>
        <v>1</v>
      </c>
      <c r="AZ53" s="22">
        <f t="shared" si="177"/>
        <v>1</v>
      </c>
      <c r="BA53" s="22">
        <f t="shared" si="177"/>
        <v>1</v>
      </c>
      <c r="BB53" s="22">
        <f t="shared" si="177"/>
        <v>1</v>
      </c>
      <c r="BD53" s="22"/>
      <c r="BE53" s="22"/>
      <c r="BF53" s="22"/>
      <c r="BG53" s="22"/>
    </row>
    <row r="54" spans="1:59">
      <c r="A54" s="23" t="s">
        <v>235</v>
      </c>
      <c r="B54" s="24" t="s">
        <v>26</v>
      </c>
      <c r="C54" s="47" t="s">
        <v>236</v>
      </c>
      <c r="D54" s="88"/>
      <c r="E54" s="88"/>
      <c r="F54" s="88" t="s">
        <v>135</v>
      </c>
      <c r="G54" s="31" t="s">
        <v>135</v>
      </c>
      <c r="H54" s="31" t="s">
        <v>135</v>
      </c>
      <c r="I54" s="31" t="s">
        <v>135</v>
      </c>
      <c r="J54" s="31" t="s">
        <v>135</v>
      </c>
      <c r="K54" s="31"/>
      <c r="L54" s="31"/>
      <c r="M54" s="34">
        <f t="shared" si="25"/>
        <v>0</v>
      </c>
      <c r="N54" s="31" t="s">
        <v>105</v>
      </c>
      <c r="O54" s="31" t="s">
        <v>106</v>
      </c>
      <c r="P54" s="37" t="s">
        <v>107</v>
      </c>
      <c r="Q54" s="31"/>
      <c r="R54" s="31"/>
      <c r="S54" s="31"/>
      <c r="T54" s="31"/>
      <c r="U54" s="31"/>
      <c r="V54" s="31"/>
      <c r="W54" s="31"/>
      <c r="X54" s="31" t="s">
        <v>108</v>
      </c>
      <c r="Y54" s="31" t="s">
        <v>109</v>
      </c>
      <c r="Z54" s="31"/>
      <c r="AA54" s="31"/>
      <c r="AB54" s="31"/>
      <c r="AD54" s="11">
        <f t="shared" si="26"/>
        <v>0</v>
      </c>
      <c r="AE54" s="11">
        <f t="shared" si="27"/>
        <v>0</v>
      </c>
      <c r="AF54" s="11">
        <f t="shared" si="108"/>
        <v>1</v>
      </c>
      <c r="AH54" s="11">
        <f t="shared" si="28"/>
        <v>0</v>
      </c>
      <c r="AI54" s="11">
        <f t="shared" si="29"/>
        <v>1</v>
      </c>
      <c r="AJ54" s="11">
        <f t="shared" si="30"/>
        <v>0</v>
      </c>
      <c r="AK54" s="22">
        <v>1</v>
      </c>
      <c r="AM54" s="11">
        <f t="shared" ref="AM54:AN54" si="178">SUMIFS(AO$3:AO$251,$A$3:$A$251,$A54)</f>
        <v>0</v>
      </c>
      <c r="AN54" s="11">
        <f t="shared" si="178"/>
        <v>1</v>
      </c>
      <c r="AO54" s="11">
        <f t="shared" si="32"/>
        <v>0</v>
      </c>
      <c r="AP54" s="22">
        <v>1</v>
      </c>
      <c r="AQ54" s="22"/>
      <c r="AR54" s="22">
        <f t="shared" si="33"/>
        <v>0</v>
      </c>
      <c r="AS54" s="22">
        <f t="shared" ref="AS54:AV54" si="179">IF(OR(G54="",G54="TBD",G54="N/A",G54="SDK",G54="SAAS"),0,1)</f>
        <v>0</v>
      </c>
      <c r="AT54" s="22">
        <f t="shared" si="179"/>
        <v>0</v>
      </c>
      <c r="AU54" s="22">
        <f t="shared" si="179"/>
        <v>0</v>
      </c>
      <c r="AV54" s="22">
        <f t="shared" si="179"/>
        <v>0</v>
      </c>
      <c r="AX54" s="11">
        <f t="shared" si="35"/>
        <v>4</v>
      </c>
      <c r="AY54" s="22">
        <f t="shared" ref="AY54:BB54" si="180">IF(OR(G54="",G54="N/A",G54="SDK",G54="SAAS"),0,1)</f>
        <v>1</v>
      </c>
      <c r="AZ54" s="22">
        <f t="shared" si="180"/>
        <v>1</v>
      </c>
      <c r="BA54" s="22">
        <f t="shared" si="180"/>
        <v>1</v>
      </c>
      <c r="BB54" s="22">
        <f t="shared" si="180"/>
        <v>1</v>
      </c>
      <c r="BD54" s="22"/>
      <c r="BE54" s="22"/>
      <c r="BF54" s="22"/>
      <c r="BG54" s="22"/>
    </row>
    <row r="55" spans="1:59">
      <c r="A55" s="23" t="s">
        <v>237</v>
      </c>
      <c r="B55" s="24" t="s">
        <v>26</v>
      </c>
      <c r="C55" s="47" t="s">
        <v>238</v>
      </c>
      <c r="D55" s="88"/>
      <c r="E55" s="88"/>
      <c r="F55" s="88" t="s">
        <v>135</v>
      </c>
      <c r="G55" s="31" t="s">
        <v>135</v>
      </c>
      <c r="H55" s="31" t="s">
        <v>135</v>
      </c>
      <c r="I55" s="31" t="s">
        <v>135</v>
      </c>
      <c r="J55" s="31" t="s">
        <v>135</v>
      </c>
      <c r="K55" s="31"/>
      <c r="L55" s="31"/>
      <c r="M55" s="34">
        <f t="shared" si="25"/>
        <v>0</v>
      </c>
      <c r="N55" s="31" t="s">
        <v>105</v>
      </c>
      <c r="O55" s="31" t="s">
        <v>106</v>
      </c>
      <c r="P55" s="37" t="s">
        <v>107</v>
      </c>
      <c r="Q55" s="31"/>
      <c r="R55" s="31"/>
      <c r="S55" s="31"/>
      <c r="T55" s="31"/>
      <c r="U55" s="31"/>
      <c r="V55" s="31"/>
      <c r="W55" s="31"/>
      <c r="X55" s="31" t="s">
        <v>108</v>
      </c>
      <c r="Y55" s="31" t="s">
        <v>109</v>
      </c>
      <c r="Z55" s="31"/>
      <c r="AA55" s="31"/>
      <c r="AB55" s="31"/>
      <c r="AD55" s="11">
        <f t="shared" si="26"/>
        <v>0</v>
      </c>
      <c r="AE55" s="11">
        <f t="shared" si="27"/>
        <v>0</v>
      </c>
      <c r="AF55" s="11">
        <f t="shared" si="108"/>
        <v>1</v>
      </c>
      <c r="AH55" s="11">
        <f t="shared" si="28"/>
        <v>0</v>
      </c>
      <c r="AI55" s="11">
        <f t="shared" si="29"/>
        <v>1</v>
      </c>
      <c r="AJ55" s="11">
        <f t="shared" si="30"/>
        <v>0</v>
      </c>
      <c r="AK55" s="22">
        <v>1</v>
      </c>
      <c r="AM55" s="11">
        <f t="shared" ref="AM55:AN55" si="181">SUMIFS(AO$3:AO$251,$A$3:$A$251,$A55)</f>
        <v>0</v>
      </c>
      <c r="AN55" s="11">
        <f t="shared" si="181"/>
        <v>1</v>
      </c>
      <c r="AO55" s="11">
        <f t="shared" si="32"/>
        <v>0</v>
      </c>
      <c r="AP55" s="22">
        <v>1</v>
      </c>
      <c r="AQ55" s="22"/>
      <c r="AR55" s="22">
        <f t="shared" si="33"/>
        <v>0</v>
      </c>
      <c r="AS55" s="22">
        <f t="shared" ref="AS55:AV55" si="182">IF(OR(G55="",G55="TBD",G55="N/A",G55="SDK",G55="SAAS"),0,1)</f>
        <v>0</v>
      </c>
      <c r="AT55" s="22">
        <f t="shared" si="182"/>
        <v>0</v>
      </c>
      <c r="AU55" s="22">
        <f t="shared" si="182"/>
        <v>0</v>
      </c>
      <c r="AV55" s="22">
        <f t="shared" si="182"/>
        <v>0</v>
      </c>
      <c r="AX55" s="11">
        <f t="shared" si="35"/>
        <v>4</v>
      </c>
      <c r="AY55" s="22">
        <f t="shared" ref="AY55:BB55" si="183">IF(OR(G55="",G55="N/A",G55="SDK",G55="SAAS"),0,1)</f>
        <v>1</v>
      </c>
      <c r="AZ55" s="22">
        <f t="shared" si="183"/>
        <v>1</v>
      </c>
      <c r="BA55" s="22">
        <f t="shared" si="183"/>
        <v>1</v>
      </c>
      <c r="BB55" s="22">
        <f t="shared" si="183"/>
        <v>1</v>
      </c>
      <c r="BD55" s="22"/>
      <c r="BE55" s="22"/>
      <c r="BF55" s="22"/>
      <c r="BG55" s="22"/>
    </row>
    <row r="56" spans="1:59">
      <c r="A56" s="23" t="s">
        <v>239</v>
      </c>
      <c r="B56" s="24" t="s">
        <v>26</v>
      </c>
      <c r="C56" s="47" t="s">
        <v>240</v>
      </c>
      <c r="D56" s="88"/>
      <c r="E56" s="88"/>
      <c r="F56" s="88" t="s">
        <v>135</v>
      </c>
      <c r="G56" s="31" t="s">
        <v>135</v>
      </c>
      <c r="H56" s="31" t="s">
        <v>135</v>
      </c>
      <c r="I56" s="31" t="s">
        <v>135</v>
      </c>
      <c r="J56" s="31" t="s">
        <v>135</v>
      </c>
      <c r="K56" s="31"/>
      <c r="L56" s="31"/>
      <c r="M56" s="34">
        <f t="shared" si="25"/>
        <v>0</v>
      </c>
      <c r="N56" s="31" t="s">
        <v>105</v>
      </c>
      <c r="O56" s="31" t="s">
        <v>106</v>
      </c>
      <c r="P56" s="37" t="s">
        <v>107</v>
      </c>
      <c r="Q56" s="31"/>
      <c r="R56" s="31"/>
      <c r="S56" s="31"/>
      <c r="T56" s="31"/>
      <c r="U56" s="31"/>
      <c r="V56" s="31"/>
      <c r="W56" s="31"/>
      <c r="X56" s="31" t="s">
        <v>108</v>
      </c>
      <c r="Y56" s="31" t="s">
        <v>109</v>
      </c>
      <c r="Z56" s="31"/>
      <c r="AA56" s="31"/>
      <c r="AB56" s="31"/>
      <c r="AD56" s="11">
        <f t="shared" si="26"/>
        <v>0</v>
      </c>
      <c r="AE56" s="11">
        <f t="shared" si="27"/>
        <v>0</v>
      </c>
      <c r="AF56" s="11">
        <f t="shared" si="108"/>
        <v>1</v>
      </c>
      <c r="AH56" s="11">
        <f t="shared" si="28"/>
        <v>0</v>
      </c>
      <c r="AI56" s="11">
        <f t="shared" si="29"/>
        <v>1</v>
      </c>
      <c r="AJ56" s="11">
        <f t="shared" si="30"/>
        <v>0</v>
      </c>
      <c r="AK56" s="22">
        <v>1</v>
      </c>
      <c r="AM56" s="11">
        <f t="shared" ref="AM56:AN56" si="184">SUMIFS(AO$3:AO$251,$A$3:$A$251,$A56)</f>
        <v>0</v>
      </c>
      <c r="AN56" s="11">
        <f t="shared" si="184"/>
        <v>1</v>
      </c>
      <c r="AO56" s="11">
        <f t="shared" si="32"/>
        <v>0</v>
      </c>
      <c r="AP56" s="22">
        <v>1</v>
      </c>
      <c r="AQ56" s="22"/>
      <c r="AR56" s="22">
        <f t="shared" si="33"/>
        <v>0</v>
      </c>
      <c r="AS56" s="22">
        <f t="shared" ref="AS56:AV56" si="185">IF(OR(G56="",G56="TBD",G56="N/A",G56="SDK",G56="SAAS"),0,1)</f>
        <v>0</v>
      </c>
      <c r="AT56" s="22">
        <f t="shared" si="185"/>
        <v>0</v>
      </c>
      <c r="AU56" s="22">
        <f t="shared" si="185"/>
        <v>0</v>
      </c>
      <c r="AV56" s="22">
        <f t="shared" si="185"/>
        <v>0</v>
      </c>
      <c r="AX56" s="11">
        <f t="shared" si="35"/>
        <v>4</v>
      </c>
      <c r="AY56" s="22">
        <f t="shared" ref="AY56:BB56" si="186">IF(OR(G56="",G56="N/A",G56="SDK",G56="SAAS"),0,1)</f>
        <v>1</v>
      </c>
      <c r="AZ56" s="22">
        <f t="shared" si="186"/>
        <v>1</v>
      </c>
      <c r="BA56" s="22">
        <f t="shared" si="186"/>
        <v>1</v>
      </c>
      <c r="BB56" s="22">
        <f t="shared" si="186"/>
        <v>1</v>
      </c>
      <c r="BD56" s="22"/>
      <c r="BE56" s="22"/>
      <c r="BF56" s="22"/>
      <c r="BG56" s="22"/>
    </row>
    <row r="57" spans="1:59">
      <c r="A57" s="23" t="s">
        <v>241</v>
      </c>
      <c r="B57" s="24" t="s">
        <v>26</v>
      </c>
      <c r="C57" s="47" t="s">
        <v>242</v>
      </c>
      <c r="D57" s="88"/>
      <c r="E57" s="88"/>
      <c r="F57" s="88" t="s">
        <v>135</v>
      </c>
      <c r="G57" s="31" t="s">
        <v>135</v>
      </c>
      <c r="H57" s="31" t="s">
        <v>135</v>
      </c>
      <c r="I57" s="31" t="s">
        <v>135</v>
      </c>
      <c r="J57" s="31" t="s">
        <v>135</v>
      </c>
      <c r="K57" s="31"/>
      <c r="L57" s="31">
        <v>47</v>
      </c>
      <c r="M57" s="34">
        <f t="shared" si="25"/>
        <v>164.5</v>
      </c>
      <c r="N57" s="31" t="s">
        <v>105</v>
      </c>
      <c r="O57" s="31" t="s">
        <v>106</v>
      </c>
      <c r="P57" s="37" t="s">
        <v>107</v>
      </c>
      <c r="Q57" s="31"/>
      <c r="R57" s="31"/>
      <c r="S57" s="31"/>
      <c r="T57" s="31"/>
      <c r="U57" s="31"/>
      <c r="V57" s="31"/>
      <c r="W57" s="31"/>
      <c r="X57" s="31" t="s">
        <v>108</v>
      </c>
      <c r="Y57" s="31" t="s">
        <v>109</v>
      </c>
      <c r="Z57" s="31"/>
      <c r="AA57" s="31"/>
      <c r="AB57" s="31"/>
      <c r="AD57" s="11">
        <f t="shared" si="26"/>
        <v>0</v>
      </c>
      <c r="AE57" s="11">
        <f t="shared" si="27"/>
        <v>0</v>
      </c>
      <c r="AF57" s="11">
        <f t="shared" si="108"/>
        <v>1</v>
      </c>
      <c r="AH57" s="11">
        <f t="shared" si="28"/>
        <v>0</v>
      </c>
      <c r="AI57" s="11">
        <f t="shared" si="29"/>
        <v>1</v>
      </c>
      <c r="AJ57" s="11">
        <f t="shared" si="30"/>
        <v>0</v>
      </c>
      <c r="AK57" s="22">
        <v>1</v>
      </c>
      <c r="AM57" s="11">
        <f t="shared" ref="AM57:AN57" si="187">SUMIFS(AO$3:AO$251,$A$3:$A$251,$A57)</f>
        <v>0</v>
      </c>
      <c r="AN57" s="11">
        <f t="shared" si="187"/>
        <v>1</v>
      </c>
      <c r="AO57" s="11">
        <f t="shared" si="32"/>
        <v>0</v>
      </c>
      <c r="AP57" s="22">
        <v>1</v>
      </c>
      <c r="AQ57" s="22"/>
      <c r="AR57" s="22">
        <f t="shared" si="33"/>
        <v>0</v>
      </c>
      <c r="AS57" s="22">
        <f t="shared" ref="AS57:AV57" si="188">IF(OR(G57="",G57="TBD",G57="N/A",G57="SDK",G57="SAAS"),0,1)</f>
        <v>0</v>
      </c>
      <c r="AT57" s="22">
        <f t="shared" si="188"/>
        <v>0</v>
      </c>
      <c r="AU57" s="22">
        <f t="shared" si="188"/>
        <v>0</v>
      </c>
      <c r="AV57" s="22">
        <f t="shared" si="188"/>
        <v>0</v>
      </c>
      <c r="AX57" s="11">
        <f t="shared" si="35"/>
        <v>4</v>
      </c>
      <c r="AY57" s="22">
        <f t="shared" ref="AY57:BB57" si="189">IF(OR(G57="",G57="N/A",G57="SDK",G57="SAAS"),0,1)</f>
        <v>1</v>
      </c>
      <c r="AZ57" s="22">
        <f t="shared" si="189"/>
        <v>1</v>
      </c>
      <c r="BA57" s="22">
        <f t="shared" si="189"/>
        <v>1</v>
      </c>
      <c r="BB57" s="22">
        <f t="shared" si="189"/>
        <v>1</v>
      </c>
      <c r="BD57" s="22"/>
      <c r="BE57" s="22"/>
      <c r="BF57" s="22"/>
      <c r="BG57" s="22"/>
    </row>
    <row r="58" spans="1:59">
      <c r="A58" s="23" t="s">
        <v>243</v>
      </c>
      <c r="B58" s="24" t="s">
        <v>26</v>
      </c>
      <c r="C58" s="47" t="s">
        <v>244</v>
      </c>
      <c r="D58" s="88"/>
      <c r="E58" s="88"/>
      <c r="F58" s="88" t="s">
        <v>135</v>
      </c>
      <c r="G58" s="31" t="s">
        <v>135</v>
      </c>
      <c r="H58" s="31" t="s">
        <v>135</v>
      </c>
      <c r="I58" s="31" t="s">
        <v>135</v>
      </c>
      <c r="J58" s="31" t="s">
        <v>135</v>
      </c>
      <c r="K58" s="31"/>
      <c r="L58" s="31">
        <v>12</v>
      </c>
      <c r="M58" s="34">
        <f t="shared" si="25"/>
        <v>42</v>
      </c>
      <c r="N58" s="31" t="s">
        <v>105</v>
      </c>
      <c r="O58" s="31" t="s">
        <v>106</v>
      </c>
      <c r="P58" s="37" t="s">
        <v>107</v>
      </c>
      <c r="Q58" s="31"/>
      <c r="R58" s="31"/>
      <c r="S58" s="31"/>
      <c r="T58" s="31"/>
      <c r="U58" s="31"/>
      <c r="V58" s="31"/>
      <c r="W58" s="31"/>
      <c r="X58" s="31" t="s">
        <v>108</v>
      </c>
      <c r="Y58" s="31" t="s">
        <v>109</v>
      </c>
      <c r="Z58" s="31"/>
      <c r="AA58" s="31"/>
      <c r="AB58" s="31"/>
      <c r="AD58" s="11">
        <f t="shared" si="26"/>
        <v>0</v>
      </c>
      <c r="AE58" s="11">
        <f t="shared" si="27"/>
        <v>0</v>
      </c>
      <c r="AF58" s="11">
        <f t="shared" si="108"/>
        <v>1</v>
      </c>
      <c r="AH58" s="11">
        <f t="shared" si="28"/>
        <v>0</v>
      </c>
      <c r="AI58" s="11">
        <f t="shared" si="29"/>
        <v>1</v>
      </c>
      <c r="AJ58" s="11">
        <f t="shared" si="30"/>
        <v>0</v>
      </c>
      <c r="AK58" s="22">
        <v>1</v>
      </c>
      <c r="AM58" s="11">
        <f t="shared" ref="AM58:AN58" si="190">SUMIFS(AO$3:AO$251,$A$3:$A$251,$A58)</f>
        <v>0</v>
      </c>
      <c r="AN58" s="11">
        <f t="shared" si="190"/>
        <v>1</v>
      </c>
      <c r="AO58" s="11">
        <f t="shared" si="32"/>
        <v>0</v>
      </c>
      <c r="AP58" s="22">
        <v>1</v>
      </c>
      <c r="AQ58" s="22"/>
      <c r="AR58" s="22">
        <f t="shared" si="33"/>
        <v>0</v>
      </c>
      <c r="AS58" s="22">
        <f t="shared" ref="AS58:AV58" si="191">IF(OR(G58="",G58="TBD",G58="N/A",G58="SDK",G58="SAAS"),0,1)</f>
        <v>0</v>
      </c>
      <c r="AT58" s="22">
        <f t="shared" si="191"/>
        <v>0</v>
      </c>
      <c r="AU58" s="22">
        <f t="shared" si="191"/>
        <v>0</v>
      </c>
      <c r="AV58" s="22">
        <f t="shared" si="191"/>
        <v>0</v>
      </c>
      <c r="AX58" s="11">
        <f t="shared" si="35"/>
        <v>4</v>
      </c>
      <c r="AY58" s="22">
        <f t="shared" ref="AY58:BB58" si="192">IF(OR(G58="",G58="N/A",G58="SDK",G58="SAAS"),0,1)</f>
        <v>1</v>
      </c>
      <c r="AZ58" s="22">
        <f t="shared" si="192"/>
        <v>1</v>
      </c>
      <c r="BA58" s="22">
        <f t="shared" si="192"/>
        <v>1</v>
      </c>
      <c r="BB58" s="22">
        <f t="shared" si="192"/>
        <v>1</v>
      </c>
      <c r="BD58" s="22"/>
      <c r="BE58" s="22"/>
      <c r="BF58" s="22"/>
      <c r="BG58" s="22"/>
    </row>
    <row r="59" spans="1:59">
      <c r="A59" s="84" t="s">
        <v>245</v>
      </c>
      <c r="B59" s="84" t="s">
        <v>26</v>
      </c>
      <c r="C59" s="85" t="s">
        <v>246</v>
      </c>
      <c r="D59" s="99"/>
      <c r="E59" s="99"/>
      <c r="F59" s="88" t="s">
        <v>135</v>
      </c>
      <c r="G59" s="31" t="s">
        <v>135</v>
      </c>
      <c r="H59" s="31" t="s">
        <v>135</v>
      </c>
      <c r="I59" s="31" t="s">
        <v>135</v>
      </c>
      <c r="J59" s="31" t="s">
        <v>135</v>
      </c>
      <c r="K59" s="31"/>
      <c r="L59" s="31"/>
      <c r="M59" s="34">
        <f t="shared" si="25"/>
        <v>0</v>
      </c>
      <c r="N59" s="31" t="s">
        <v>105</v>
      </c>
      <c r="O59" s="31" t="s">
        <v>106</v>
      </c>
      <c r="P59" s="37" t="s">
        <v>107</v>
      </c>
      <c r="Q59" s="31"/>
      <c r="R59" s="31"/>
      <c r="S59" s="31"/>
      <c r="T59" s="31"/>
      <c r="U59" s="31"/>
      <c r="V59" s="31"/>
      <c r="W59" s="31"/>
      <c r="X59" s="31" t="s">
        <v>108</v>
      </c>
      <c r="Y59" s="31" t="s">
        <v>109</v>
      </c>
      <c r="Z59" s="31"/>
      <c r="AA59" s="31"/>
      <c r="AB59" s="31"/>
      <c r="AD59" s="11">
        <f t="shared" si="26"/>
        <v>0</v>
      </c>
      <c r="AE59" s="11">
        <f t="shared" si="27"/>
        <v>0</v>
      </c>
      <c r="AF59" s="11">
        <f t="shared" si="108"/>
        <v>1</v>
      </c>
      <c r="AH59" s="11">
        <f t="shared" si="28"/>
        <v>0</v>
      </c>
      <c r="AI59" s="11">
        <f t="shared" si="29"/>
        <v>1</v>
      </c>
      <c r="AJ59" s="11">
        <f t="shared" si="30"/>
        <v>0</v>
      </c>
      <c r="AK59" s="22">
        <v>1</v>
      </c>
      <c r="AM59" s="11">
        <f t="shared" ref="AM59:AN59" si="193">SUMIFS(AO$3:AO$251,$A$3:$A$251,$A59)</f>
        <v>0</v>
      </c>
      <c r="AN59" s="11">
        <f t="shared" si="193"/>
        <v>1</v>
      </c>
      <c r="AO59" s="11">
        <f t="shared" si="32"/>
        <v>0</v>
      </c>
      <c r="AP59" s="22">
        <v>1</v>
      </c>
      <c r="AQ59" s="22"/>
      <c r="AR59" s="22">
        <f t="shared" si="33"/>
        <v>0</v>
      </c>
      <c r="AS59" s="22">
        <f t="shared" ref="AS59:AV59" si="194">IF(OR(G59="",G59="TBD",G59="N/A",G59="SDK",G59="SAAS"),0,1)</f>
        <v>0</v>
      </c>
      <c r="AT59" s="22">
        <f t="shared" si="194"/>
        <v>0</v>
      </c>
      <c r="AU59" s="22">
        <f t="shared" si="194"/>
        <v>0</v>
      </c>
      <c r="AV59" s="22">
        <f t="shared" si="194"/>
        <v>0</v>
      </c>
      <c r="AX59" s="11">
        <f t="shared" si="35"/>
        <v>4</v>
      </c>
      <c r="AY59" s="22">
        <f t="shared" ref="AY59:BB59" si="195">IF(OR(G59="",G59="N/A",G59="SDK",G59="SAAS"),0,1)</f>
        <v>1</v>
      </c>
      <c r="AZ59" s="22">
        <f t="shared" si="195"/>
        <v>1</v>
      </c>
      <c r="BA59" s="22">
        <f t="shared" si="195"/>
        <v>1</v>
      </c>
      <c r="BB59" s="22">
        <f t="shared" si="195"/>
        <v>1</v>
      </c>
      <c r="BD59" s="22"/>
      <c r="BE59" s="22"/>
      <c r="BF59" s="22"/>
      <c r="BG59" s="22"/>
    </row>
    <row r="60" spans="1:59">
      <c r="A60" s="84" t="s">
        <v>247</v>
      </c>
      <c r="B60" s="84" t="s">
        <v>26</v>
      </c>
      <c r="C60" s="85" t="s">
        <v>248</v>
      </c>
      <c r="D60" s="99"/>
      <c r="E60" s="99"/>
      <c r="F60" s="88" t="s">
        <v>135</v>
      </c>
      <c r="G60" s="31" t="s">
        <v>135</v>
      </c>
      <c r="H60" s="31" t="s">
        <v>135</v>
      </c>
      <c r="I60" s="31" t="s">
        <v>135</v>
      </c>
      <c r="J60" s="31" t="s">
        <v>135</v>
      </c>
      <c r="K60" s="31"/>
      <c r="L60" s="31"/>
      <c r="M60" s="34">
        <f t="shared" si="25"/>
        <v>0</v>
      </c>
      <c r="N60" s="31" t="s">
        <v>105</v>
      </c>
      <c r="O60" s="31" t="s">
        <v>106</v>
      </c>
      <c r="P60" s="37" t="s">
        <v>107</v>
      </c>
      <c r="Q60" s="31"/>
      <c r="R60" s="31"/>
      <c r="S60" s="31"/>
      <c r="T60" s="31"/>
      <c r="U60" s="31"/>
      <c r="V60" s="31"/>
      <c r="W60" s="31"/>
      <c r="X60" s="31" t="s">
        <v>108</v>
      </c>
      <c r="Y60" s="31" t="s">
        <v>109</v>
      </c>
      <c r="Z60" s="31"/>
      <c r="AA60" s="31"/>
      <c r="AB60" s="31"/>
      <c r="AD60" s="11">
        <f t="shared" si="26"/>
        <v>0</v>
      </c>
      <c r="AE60" s="11">
        <f t="shared" si="27"/>
        <v>0</v>
      </c>
      <c r="AF60" s="11">
        <f t="shared" si="108"/>
        <v>1</v>
      </c>
      <c r="AH60" s="11">
        <f t="shared" si="28"/>
        <v>0</v>
      </c>
      <c r="AI60" s="11">
        <f t="shared" si="29"/>
        <v>1</v>
      </c>
      <c r="AJ60" s="11">
        <f t="shared" si="30"/>
        <v>0</v>
      </c>
      <c r="AK60" s="22">
        <v>1</v>
      </c>
      <c r="AM60" s="11">
        <f t="shared" ref="AM60:AN60" si="196">SUMIFS(AO$3:AO$251,$A$3:$A$251,$A60)</f>
        <v>0</v>
      </c>
      <c r="AN60" s="11">
        <f t="shared" si="196"/>
        <v>1</v>
      </c>
      <c r="AO60" s="11">
        <f t="shared" si="32"/>
        <v>0</v>
      </c>
      <c r="AP60" s="22">
        <v>1</v>
      </c>
      <c r="AQ60" s="22"/>
      <c r="AR60" s="22">
        <f t="shared" si="33"/>
        <v>0</v>
      </c>
      <c r="AS60" s="22">
        <f t="shared" ref="AS60:AV60" si="197">IF(OR(G60="",G60="TBD",G60="N/A",G60="SDK",G60="SAAS"),0,1)</f>
        <v>0</v>
      </c>
      <c r="AT60" s="22">
        <f t="shared" si="197"/>
        <v>0</v>
      </c>
      <c r="AU60" s="22">
        <f t="shared" si="197"/>
        <v>0</v>
      </c>
      <c r="AV60" s="22">
        <f t="shared" si="197"/>
        <v>0</v>
      </c>
      <c r="AX60" s="11">
        <f t="shared" si="35"/>
        <v>4</v>
      </c>
      <c r="AY60" s="22">
        <f t="shared" ref="AY60:BB60" si="198">IF(OR(G60="",G60="N/A",G60="SDK",G60="SAAS"),0,1)</f>
        <v>1</v>
      </c>
      <c r="AZ60" s="22">
        <f t="shared" si="198"/>
        <v>1</v>
      </c>
      <c r="BA60" s="22">
        <f t="shared" si="198"/>
        <v>1</v>
      </c>
      <c r="BB60" s="22">
        <f t="shared" si="198"/>
        <v>1</v>
      </c>
      <c r="BD60" s="22"/>
      <c r="BE60" s="22"/>
      <c r="BF60" s="22"/>
      <c r="BG60" s="22"/>
    </row>
    <row r="61" spans="1:59" hidden="1">
      <c r="A61" s="91" t="s">
        <v>249</v>
      </c>
      <c r="B61" s="91" t="s">
        <v>26</v>
      </c>
      <c r="C61" s="92" t="s">
        <v>250</v>
      </c>
      <c r="D61" s="102"/>
      <c r="E61" s="102"/>
      <c r="F61" s="88" t="s">
        <v>135</v>
      </c>
      <c r="G61" s="31" t="s">
        <v>135</v>
      </c>
      <c r="H61" s="31" t="s">
        <v>135</v>
      </c>
      <c r="I61" s="31" t="s">
        <v>135</v>
      </c>
      <c r="J61" s="31" t="s">
        <v>135</v>
      </c>
      <c r="K61" s="31"/>
      <c r="L61" s="31"/>
      <c r="M61" s="34">
        <f t="shared" si="25"/>
        <v>0</v>
      </c>
      <c r="N61" s="31" t="s">
        <v>105</v>
      </c>
      <c r="O61" s="31" t="s">
        <v>106</v>
      </c>
      <c r="P61" s="37" t="s">
        <v>107</v>
      </c>
      <c r="Q61" s="31"/>
      <c r="R61" s="31"/>
      <c r="S61" s="31"/>
      <c r="T61" s="31"/>
      <c r="U61" s="31"/>
      <c r="V61" s="31"/>
      <c r="W61" s="31"/>
      <c r="X61" s="31" t="s">
        <v>108</v>
      </c>
      <c r="Y61" s="31" t="s">
        <v>109</v>
      </c>
      <c r="Z61" s="31"/>
      <c r="AA61" s="31"/>
      <c r="AB61" s="31"/>
      <c r="AD61" s="11">
        <f t="shared" si="26"/>
        <v>0</v>
      </c>
      <c r="AE61" s="11">
        <f t="shared" si="27"/>
        <v>0</v>
      </c>
      <c r="AF61" s="11">
        <f t="shared" si="108"/>
        <v>1</v>
      </c>
      <c r="AH61" s="11">
        <f t="shared" si="28"/>
        <v>0</v>
      </c>
      <c r="AI61" s="11">
        <f t="shared" si="29"/>
        <v>1</v>
      </c>
      <c r="AJ61" s="11">
        <f t="shared" si="30"/>
        <v>0</v>
      </c>
      <c r="AK61" s="22">
        <v>1</v>
      </c>
      <c r="AM61" s="11">
        <f t="shared" ref="AM61:AN61" si="199">SUMIFS(AO$3:AO$251,$A$3:$A$251,$A61)</f>
        <v>0</v>
      </c>
      <c r="AN61" s="11">
        <f t="shared" si="199"/>
        <v>1</v>
      </c>
      <c r="AO61" s="11">
        <f t="shared" si="32"/>
        <v>0</v>
      </c>
      <c r="AP61" s="22">
        <v>1</v>
      </c>
      <c r="AQ61" s="22"/>
      <c r="AR61" s="22">
        <f t="shared" si="33"/>
        <v>0</v>
      </c>
      <c r="AS61" s="22">
        <f t="shared" ref="AS61:AV61" si="200">IF(OR(G61="",G61="TBD",G61="N/A",G61="SDK",G61="SAAS"),0,1)</f>
        <v>0</v>
      </c>
      <c r="AT61" s="22">
        <f t="shared" si="200"/>
        <v>0</v>
      </c>
      <c r="AU61" s="22">
        <f t="shared" si="200"/>
        <v>0</v>
      </c>
      <c r="AV61" s="22">
        <f t="shared" si="200"/>
        <v>0</v>
      </c>
      <c r="AX61" s="11">
        <f t="shared" si="35"/>
        <v>4</v>
      </c>
      <c r="AY61" s="22">
        <f t="shared" ref="AY61:BB61" si="201">IF(OR(G61="",G61="N/A",G61="SDK",G61="SAAS"),0,1)</f>
        <v>1</v>
      </c>
      <c r="AZ61" s="22">
        <f t="shared" si="201"/>
        <v>1</v>
      </c>
      <c r="BA61" s="22">
        <f t="shared" si="201"/>
        <v>1</v>
      </c>
      <c r="BB61" s="22">
        <f t="shared" si="201"/>
        <v>1</v>
      </c>
      <c r="BD61" s="22"/>
      <c r="BE61" s="22"/>
      <c r="BF61" s="22"/>
      <c r="BG61" s="22"/>
    </row>
    <row r="62" spans="1:59" hidden="1">
      <c r="A62" s="93" t="s">
        <v>251</v>
      </c>
      <c r="B62" s="93" t="s">
        <v>26</v>
      </c>
      <c r="C62" s="94" t="s">
        <v>252</v>
      </c>
      <c r="D62" s="88"/>
      <c r="E62" s="88"/>
      <c r="F62" s="88" t="s">
        <v>135</v>
      </c>
      <c r="G62" s="31" t="s">
        <v>135</v>
      </c>
      <c r="H62" s="31" t="s">
        <v>135</v>
      </c>
      <c r="I62" s="31" t="s">
        <v>135</v>
      </c>
      <c r="J62" s="31" t="s">
        <v>135</v>
      </c>
      <c r="K62" s="31"/>
      <c r="L62" s="31"/>
      <c r="M62" s="34">
        <f t="shared" si="25"/>
        <v>0</v>
      </c>
      <c r="N62" s="31" t="s">
        <v>105</v>
      </c>
      <c r="O62" s="31" t="s">
        <v>106</v>
      </c>
      <c r="P62" s="37" t="s">
        <v>107</v>
      </c>
      <c r="Q62" s="31"/>
      <c r="R62" s="31"/>
      <c r="S62" s="31"/>
      <c r="T62" s="31"/>
      <c r="U62" s="31"/>
      <c r="V62" s="31"/>
      <c r="W62" s="31"/>
      <c r="X62" s="31" t="s">
        <v>108</v>
      </c>
      <c r="Y62" s="31" t="s">
        <v>109</v>
      </c>
      <c r="Z62" s="31"/>
      <c r="AA62" s="31"/>
      <c r="AB62" s="31"/>
      <c r="AD62" s="11">
        <f t="shared" si="26"/>
        <v>0</v>
      </c>
      <c r="AE62" s="11">
        <f t="shared" si="27"/>
        <v>0</v>
      </c>
      <c r="AF62" s="11">
        <f t="shared" si="108"/>
        <v>1</v>
      </c>
      <c r="AH62" s="11">
        <f t="shared" si="28"/>
        <v>0</v>
      </c>
      <c r="AI62" s="11">
        <f t="shared" si="29"/>
        <v>1</v>
      </c>
      <c r="AJ62" s="11">
        <f t="shared" si="30"/>
        <v>0</v>
      </c>
      <c r="AK62" s="22">
        <v>1</v>
      </c>
      <c r="AM62" s="11">
        <f t="shared" ref="AM62:AN62" si="202">SUMIFS(AO$3:AO$251,$A$3:$A$251,$A62)</f>
        <v>0</v>
      </c>
      <c r="AN62" s="11">
        <f t="shared" si="202"/>
        <v>1</v>
      </c>
      <c r="AO62" s="11">
        <f t="shared" si="32"/>
        <v>0</v>
      </c>
      <c r="AP62" s="22">
        <v>1</v>
      </c>
      <c r="AQ62" s="22"/>
      <c r="AR62" s="22">
        <f t="shared" si="33"/>
        <v>0</v>
      </c>
      <c r="AS62" s="22">
        <f t="shared" ref="AS62:AV62" si="203">IF(OR(G62="",G62="TBD",G62="N/A",G62="SDK",G62="SAAS"),0,1)</f>
        <v>0</v>
      </c>
      <c r="AT62" s="22">
        <f t="shared" si="203"/>
        <v>0</v>
      </c>
      <c r="AU62" s="22">
        <f t="shared" si="203"/>
        <v>0</v>
      </c>
      <c r="AV62" s="22">
        <f t="shared" si="203"/>
        <v>0</v>
      </c>
      <c r="AX62" s="11">
        <f t="shared" si="35"/>
        <v>4</v>
      </c>
      <c r="AY62" s="22">
        <f t="shared" ref="AY62:BB62" si="204">IF(OR(G62="",G62="N/A",G62="SDK",G62="SAAS"),0,1)</f>
        <v>1</v>
      </c>
      <c r="AZ62" s="22">
        <f t="shared" si="204"/>
        <v>1</v>
      </c>
      <c r="BA62" s="22">
        <f t="shared" si="204"/>
        <v>1</v>
      </c>
      <c r="BB62" s="22">
        <f t="shared" si="204"/>
        <v>1</v>
      </c>
      <c r="BD62" s="22"/>
      <c r="BE62" s="22"/>
      <c r="BF62" s="22"/>
      <c r="BG62" s="22"/>
    </row>
    <row r="63" spans="1:59" hidden="1">
      <c r="A63" s="93" t="s">
        <v>253</v>
      </c>
      <c r="B63" s="93" t="s">
        <v>26</v>
      </c>
      <c r="C63" s="94" t="s">
        <v>254</v>
      </c>
      <c r="D63" s="88"/>
      <c r="E63" s="88"/>
      <c r="F63" s="88" t="s">
        <v>135</v>
      </c>
      <c r="G63" s="31" t="s">
        <v>135</v>
      </c>
      <c r="H63" s="31" t="s">
        <v>135</v>
      </c>
      <c r="I63" s="31" t="s">
        <v>135</v>
      </c>
      <c r="J63" s="31" t="s">
        <v>135</v>
      </c>
      <c r="K63" s="31"/>
      <c r="L63" s="31"/>
      <c r="M63" s="34">
        <f t="shared" si="25"/>
        <v>0</v>
      </c>
      <c r="N63" s="31" t="s">
        <v>105</v>
      </c>
      <c r="O63" s="31" t="s">
        <v>106</v>
      </c>
      <c r="P63" s="37" t="s">
        <v>107</v>
      </c>
      <c r="Q63" s="31"/>
      <c r="R63" s="31"/>
      <c r="S63" s="31"/>
      <c r="T63" s="31"/>
      <c r="U63" s="31"/>
      <c r="V63" s="31"/>
      <c r="W63" s="31"/>
      <c r="X63" s="31" t="s">
        <v>108</v>
      </c>
      <c r="Y63" s="31" t="s">
        <v>109</v>
      </c>
      <c r="Z63" s="31"/>
      <c r="AA63" s="31"/>
      <c r="AB63" s="31"/>
      <c r="AD63" s="11">
        <f t="shared" si="26"/>
        <v>0</v>
      </c>
      <c r="AE63" s="11">
        <f t="shared" si="27"/>
        <v>0</v>
      </c>
      <c r="AF63" s="11">
        <f t="shared" si="108"/>
        <v>1</v>
      </c>
      <c r="AH63" s="11">
        <f t="shared" si="28"/>
        <v>0</v>
      </c>
      <c r="AI63" s="11">
        <f t="shared" si="29"/>
        <v>1</v>
      </c>
      <c r="AJ63" s="11">
        <f t="shared" si="30"/>
        <v>0</v>
      </c>
      <c r="AK63" s="22">
        <v>1</v>
      </c>
      <c r="AM63" s="11">
        <f t="shared" ref="AM63:AN63" si="205">SUMIFS(AO$3:AO$251,$A$3:$A$251,$A63)</f>
        <v>0</v>
      </c>
      <c r="AN63" s="11">
        <f t="shared" si="205"/>
        <v>1</v>
      </c>
      <c r="AO63" s="11">
        <f t="shared" si="32"/>
        <v>0</v>
      </c>
      <c r="AP63" s="22">
        <v>1</v>
      </c>
      <c r="AQ63" s="22"/>
      <c r="AR63" s="22">
        <f t="shared" si="33"/>
        <v>0</v>
      </c>
      <c r="AS63" s="22">
        <f t="shared" ref="AS63:AV63" si="206">IF(OR(G63="",G63="TBD",G63="N/A",G63="SDK",G63="SAAS"),0,1)</f>
        <v>0</v>
      </c>
      <c r="AT63" s="22">
        <f t="shared" si="206"/>
        <v>0</v>
      </c>
      <c r="AU63" s="22">
        <f t="shared" si="206"/>
        <v>0</v>
      </c>
      <c r="AV63" s="22">
        <f t="shared" si="206"/>
        <v>0</v>
      </c>
      <c r="AX63" s="11">
        <f t="shared" si="35"/>
        <v>4</v>
      </c>
      <c r="AY63" s="22">
        <f t="shared" ref="AY63:BB63" si="207">IF(OR(G63="",G63="N/A",G63="SDK",G63="SAAS"),0,1)</f>
        <v>1</v>
      </c>
      <c r="AZ63" s="22">
        <f t="shared" si="207"/>
        <v>1</v>
      </c>
      <c r="BA63" s="22">
        <f t="shared" si="207"/>
        <v>1</v>
      </c>
      <c r="BB63" s="22">
        <f t="shared" si="207"/>
        <v>1</v>
      </c>
      <c r="BD63" s="22"/>
      <c r="BE63" s="22"/>
      <c r="BF63" s="22"/>
      <c r="BG63" s="22"/>
    </row>
    <row r="64" spans="1:59" hidden="1">
      <c r="A64" s="93" t="s">
        <v>255</v>
      </c>
      <c r="B64" s="93" t="s">
        <v>26</v>
      </c>
      <c r="C64" s="94" t="s">
        <v>256</v>
      </c>
      <c r="D64" s="88"/>
      <c r="E64" s="88"/>
      <c r="F64" s="88" t="s">
        <v>135</v>
      </c>
      <c r="G64" s="31" t="s">
        <v>135</v>
      </c>
      <c r="H64" s="31" t="s">
        <v>135</v>
      </c>
      <c r="I64" s="31" t="s">
        <v>135</v>
      </c>
      <c r="J64" s="31" t="s">
        <v>135</v>
      </c>
      <c r="K64" s="31"/>
      <c r="L64" s="31">
        <v>5</v>
      </c>
      <c r="M64" s="34">
        <f t="shared" si="25"/>
        <v>17.5</v>
      </c>
      <c r="N64" s="31" t="s">
        <v>105</v>
      </c>
      <c r="O64" s="31" t="s">
        <v>106</v>
      </c>
      <c r="P64" s="37" t="s">
        <v>107</v>
      </c>
      <c r="Q64" s="31"/>
      <c r="R64" s="31"/>
      <c r="S64" s="31"/>
      <c r="T64" s="31"/>
      <c r="U64" s="31"/>
      <c r="V64" s="31"/>
      <c r="W64" s="31"/>
      <c r="X64" s="31" t="s">
        <v>108</v>
      </c>
      <c r="Y64" s="31" t="s">
        <v>109</v>
      </c>
      <c r="Z64" s="31"/>
      <c r="AA64" s="31"/>
      <c r="AB64" s="31"/>
      <c r="AD64" s="11">
        <f t="shared" si="26"/>
        <v>0</v>
      </c>
      <c r="AE64" s="11">
        <f t="shared" si="27"/>
        <v>0</v>
      </c>
      <c r="AF64" s="11">
        <f t="shared" si="108"/>
        <v>1</v>
      </c>
      <c r="AH64" s="11">
        <f t="shared" si="28"/>
        <v>0</v>
      </c>
      <c r="AI64" s="11">
        <f t="shared" si="29"/>
        <v>1</v>
      </c>
      <c r="AJ64" s="11">
        <f t="shared" si="30"/>
        <v>0</v>
      </c>
      <c r="AK64" s="22">
        <v>1</v>
      </c>
      <c r="AM64" s="11">
        <f t="shared" ref="AM64:AN64" si="208">SUMIFS(AO$3:AO$251,$A$3:$A$251,$A64)</f>
        <v>0</v>
      </c>
      <c r="AN64" s="11">
        <f t="shared" si="208"/>
        <v>1</v>
      </c>
      <c r="AO64" s="11">
        <f t="shared" si="32"/>
        <v>0</v>
      </c>
      <c r="AP64" s="22">
        <v>1</v>
      </c>
      <c r="AQ64" s="22"/>
      <c r="AR64" s="22">
        <f t="shared" si="33"/>
        <v>0</v>
      </c>
      <c r="AS64" s="22">
        <f t="shared" ref="AS64:AV64" si="209">IF(OR(G64="",G64="TBD",G64="N/A",G64="SDK",G64="SAAS"),0,1)</f>
        <v>0</v>
      </c>
      <c r="AT64" s="22">
        <f t="shared" si="209"/>
        <v>0</v>
      </c>
      <c r="AU64" s="22">
        <f t="shared" si="209"/>
        <v>0</v>
      </c>
      <c r="AV64" s="22">
        <f t="shared" si="209"/>
        <v>0</v>
      </c>
      <c r="AX64" s="11">
        <f t="shared" si="35"/>
        <v>4</v>
      </c>
      <c r="AY64" s="22">
        <f t="shared" ref="AY64:BB64" si="210">IF(OR(G64="",G64="N/A",G64="SDK",G64="SAAS"),0,1)</f>
        <v>1</v>
      </c>
      <c r="AZ64" s="22">
        <f t="shared" si="210"/>
        <v>1</v>
      </c>
      <c r="BA64" s="22">
        <f t="shared" si="210"/>
        <v>1</v>
      </c>
      <c r="BB64" s="22">
        <f t="shared" si="210"/>
        <v>1</v>
      </c>
      <c r="BD64" s="22"/>
      <c r="BE64" s="22"/>
      <c r="BF64" s="22"/>
      <c r="BG64" s="22"/>
    </row>
    <row r="65" spans="1:59" hidden="1">
      <c r="A65" s="95" t="s">
        <v>257</v>
      </c>
      <c r="B65" s="95" t="s">
        <v>26</v>
      </c>
      <c r="C65" s="96" t="s">
        <v>258</v>
      </c>
      <c r="D65" s="99"/>
      <c r="E65" s="99"/>
      <c r="F65" s="88" t="s">
        <v>135</v>
      </c>
      <c r="G65" s="31" t="s">
        <v>135</v>
      </c>
      <c r="H65" s="31" t="s">
        <v>135</v>
      </c>
      <c r="I65" s="31" t="s">
        <v>135</v>
      </c>
      <c r="J65" s="31" t="s">
        <v>135</v>
      </c>
      <c r="K65" s="31"/>
      <c r="L65" s="31"/>
      <c r="M65" s="34">
        <f t="shared" si="25"/>
        <v>0</v>
      </c>
      <c r="N65" s="31" t="s">
        <v>105</v>
      </c>
      <c r="O65" s="31" t="s">
        <v>106</v>
      </c>
      <c r="P65" s="37" t="s">
        <v>107</v>
      </c>
      <c r="Q65" s="31"/>
      <c r="R65" s="31"/>
      <c r="S65" s="31"/>
      <c r="T65" s="31"/>
      <c r="U65" s="31"/>
      <c r="V65" s="31"/>
      <c r="W65" s="31"/>
      <c r="X65" s="31" t="s">
        <v>108</v>
      </c>
      <c r="Y65" s="31" t="s">
        <v>109</v>
      </c>
      <c r="Z65" s="31"/>
      <c r="AA65" s="31"/>
      <c r="AB65" s="31"/>
      <c r="AD65" s="11">
        <f t="shared" si="26"/>
        <v>0</v>
      </c>
      <c r="AE65" s="11">
        <f t="shared" si="27"/>
        <v>0</v>
      </c>
      <c r="AF65" s="11">
        <f t="shared" si="108"/>
        <v>1</v>
      </c>
      <c r="AH65" s="11">
        <f t="shared" si="28"/>
        <v>0</v>
      </c>
      <c r="AI65" s="11">
        <f t="shared" si="29"/>
        <v>1</v>
      </c>
      <c r="AJ65" s="11">
        <f t="shared" si="30"/>
        <v>0</v>
      </c>
      <c r="AK65" s="22">
        <v>1</v>
      </c>
      <c r="AM65" s="11">
        <f t="shared" ref="AM65:AN65" si="211">SUMIFS(AO$3:AO$251,$A$3:$A$251,$A65)</f>
        <v>0</v>
      </c>
      <c r="AN65" s="11">
        <f t="shared" si="211"/>
        <v>1</v>
      </c>
      <c r="AO65" s="11">
        <f t="shared" si="32"/>
        <v>0</v>
      </c>
      <c r="AP65" s="22">
        <v>1</v>
      </c>
      <c r="AQ65" s="22"/>
      <c r="AR65" s="22">
        <f t="shared" si="33"/>
        <v>0</v>
      </c>
      <c r="AS65" s="22">
        <f t="shared" ref="AS65:AV65" si="212">IF(OR(G65="",G65="TBD",G65="N/A",G65="SDK",G65="SAAS"),0,1)</f>
        <v>0</v>
      </c>
      <c r="AT65" s="22">
        <f t="shared" si="212"/>
        <v>0</v>
      </c>
      <c r="AU65" s="22">
        <f t="shared" si="212"/>
        <v>0</v>
      </c>
      <c r="AV65" s="22">
        <f t="shared" si="212"/>
        <v>0</v>
      </c>
      <c r="AX65" s="11">
        <f t="shared" si="35"/>
        <v>4</v>
      </c>
      <c r="AY65" s="22">
        <f t="shared" ref="AY65:BB65" si="213">IF(OR(G65="",G65="N/A",G65="SDK",G65="SAAS"),0,1)</f>
        <v>1</v>
      </c>
      <c r="AZ65" s="22">
        <f t="shared" si="213"/>
        <v>1</v>
      </c>
      <c r="BA65" s="22">
        <f t="shared" si="213"/>
        <v>1</v>
      </c>
      <c r="BB65" s="22">
        <f t="shared" si="213"/>
        <v>1</v>
      </c>
      <c r="BD65" s="22"/>
      <c r="BE65" s="22"/>
      <c r="BF65" s="22"/>
      <c r="BG65" s="22"/>
    </row>
    <row r="66" spans="1:59">
      <c r="A66" s="91" t="s">
        <v>259</v>
      </c>
      <c r="B66" s="91" t="s">
        <v>26</v>
      </c>
      <c r="C66" s="92" t="s">
        <v>260</v>
      </c>
      <c r="D66" s="102"/>
      <c r="E66" s="102"/>
      <c r="F66" s="88" t="s">
        <v>135</v>
      </c>
      <c r="G66" s="31" t="s">
        <v>135</v>
      </c>
      <c r="H66" s="31" t="s">
        <v>135</v>
      </c>
      <c r="I66" s="31" t="s">
        <v>135</v>
      </c>
      <c r="J66" s="31" t="s">
        <v>135</v>
      </c>
      <c r="K66" s="31"/>
      <c r="L66" s="31"/>
      <c r="M66" s="34">
        <f t="shared" si="25"/>
        <v>0</v>
      </c>
      <c r="N66" s="31" t="s">
        <v>105</v>
      </c>
      <c r="O66" s="31" t="s">
        <v>106</v>
      </c>
      <c r="P66" s="37" t="s">
        <v>107</v>
      </c>
      <c r="Q66" s="31"/>
      <c r="R66" s="31"/>
      <c r="S66" s="31"/>
      <c r="T66" s="31"/>
      <c r="U66" s="31"/>
      <c r="V66" s="31"/>
      <c r="W66" s="31"/>
      <c r="X66" s="31" t="s">
        <v>108</v>
      </c>
      <c r="Y66" s="31" t="s">
        <v>109</v>
      </c>
      <c r="Z66" s="31"/>
      <c r="AA66" s="31"/>
      <c r="AB66" s="31"/>
      <c r="AD66" s="11">
        <f t="shared" si="26"/>
        <v>0</v>
      </c>
      <c r="AE66" s="11">
        <f t="shared" si="27"/>
        <v>0</v>
      </c>
      <c r="AF66" s="11">
        <f t="shared" si="108"/>
        <v>1</v>
      </c>
      <c r="AH66" s="11">
        <f t="shared" si="28"/>
        <v>0</v>
      </c>
      <c r="AI66" s="11">
        <f t="shared" si="29"/>
        <v>1</v>
      </c>
      <c r="AJ66" s="11">
        <f t="shared" si="30"/>
        <v>0</v>
      </c>
      <c r="AK66" s="22">
        <v>1</v>
      </c>
      <c r="AM66" s="11">
        <f t="shared" ref="AM66:AN66" si="214">SUMIFS(AO$3:AO$251,$A$3:$A$251,$A66)</f>
        <v>0</v>
      </c>
      <c r="AN66" s="11">
        <f t="shared" si="214"/>
        <v>1</v>
      </c>
      <c r="AO66" s="11">
        <f t="shared" si="32"/>
        <v>0</v>
      </c>
      <c r="AP66" s="22">
        <v>1</v>
      </c>
      <c r="AQ66" s="22"/>
      <c r="AR66" s="22">
        <f t="shared" si="33"/>
        <v>0</v>
      </c>
      <c r="AS66" s="22">
        <f t="shared" ref="AS66:AV66" si="215">IF(OR(G66="",G66="TBD",G66="N/A",G66="SDK",G66="SAAS"),0,1)</f>
        <v>0</v>
      </c>
      <c r="AT66" s="22">
        <f t="shared" si="215"/>
        <v>0</v>
      </c>
      <c r="AU66" s="22">
        <f t="shared" si="215"/>
        <v>0</v>
      </c>
      <c r="AV66" s="22">
        <f t="shared" si="215"/>
        <v>0</v>
      </c>
      <c r="AX66" s="11">
        <f t="shared" si="35"/>
        <v>4</v>
      </c>
      <c r="AY66" s="22">
        <f t="shared" ref="AY66:BB66" si="216">IF(OR(G66="",G66="N/A",G66="SDK",G66="SAAS"),0,1)</f>
        <v>1</v>
      </c>
      <c r="AZ66" s="22">
        <f t="shared" si="216"/>
        <v>1</v>
      </c>
      <c r="BA66" s="22">
        <f t="shared" si="216"/>
        <v>1</v>
      </c>
      <c r="BB66" s="22">
        <f t="shared" si="216"/>
        <v>1</v>
      </c>
      <c r="BD66" s="22"/>
      <c r="BE66" s="22"/>
      <c r="BF66" s="22"/>
      <c r="BG66" s="22"/>
    </row>
    <row r="67" spans="1:59">
      <c r="A67" s="95" t="s">
        <v>261</v>
      </c>
      <c r="B67" s="95" t="s">
        <v>26</v>
      </c>
      <c r="C67" s="96" t="s">
        <v>262</v>
      </c>
      <c r="D67" s="99"/>
      <c r="E67" s="99"/>
      <c r="F67" s="88" t="s">
        <v>135</v>
      </c>
      <c r="G67" s="31" t="s">
        <v>135</v>
      </c>
      <c r="H67" s="31" t="s">
        <v>135</v>
      </c>
      <c r="I67" s="31" t="s">
        <v>135</v>
      </c>
      <c r="J67" s="31" t="s">
        <v>135</v>
      </c>
      <c r="K67" s="31"/>
      <c r="L67" s="31"/>
      <c r="M67" s="34">
        <f t="shared" si="25"/>
        <v>0</v>
      </c>
      <c r="N67" s="31" t="s">
        <v>105</v>
      </c>
      <c r="O67" s="31" t="s">
        <v>106</v>
      </c>
      <c r="P67" s="37" t="s">
        <v>107</v>
      </c>
      <c r="Q67" s="31"/>
      <c r="R67" s="31"/>
      <c r="S67" s="31"/>
      <c r="T67" s="31"/>
      <c r="U67" s="31"/>
      <c r="V67" s="31"/>
      <c r="W67" s="31"/>
      <c r="X67" s="31" t="s">
        <v>108</v>
      </c>
      <c r="Y67" s="31" t="s">
        <v>109</v>
      </c>
      <c r="Z67" s="31"/>
      <c r="AA67" s="31"/>
      <c r="AB67" s="31"/>
      <c r="AD67" s="11">
        <f t="shared" si="26"/>
        <v>0</v>
      </c>
      <c r="AE67" s="11">
        <f t="shared" si="27"/>
        <v>0</v>
      </c>
      <c r="AF67" s="11">
        <f t="shared" si="108"/>
        <v>1</v>
      </c>
      <c r="AH67" s="11">
        <f t="shared" si="28"/>
        <v>0</v>
      </c>
      <c r="AI67" s="11">
        <f t="shared" si="29"/>
        <v>1</v>
      </c>
      <c r="AJ67" s="11">
        <f t="shared" si="30"/>
        <v>0</v>
      </c>
      <c r="AK67" s="22">
        <v>1</v>
      </c>
      <c r="AM67" s="11">
        <f t="shared" ref="AM67:AN67" si="217">SUMIFS(AO$3:AO$251,$A$3:$A$251,$A67)</f>
        <v>0</v>
      </c>
      <c r="AN67" s="11">
        <f t="shared" si="217"/>
        <v>1</v>
      </c>
      <c r="AO67" s="11">
        <f t="shared" si="32"/>
        <v>0</v>
      </c>
      <c r="AP67" s="22">
        <v>1</v>
      </c>
      <c r="AQ67" s="22"/>
      <c r="AR67" s="22">
        <f t="shared" si="33"/>
        <v>0</v>
      </c>
      <c r="AS67" s="22">
        <f t="shared" ref="AS67:AV67" si="218">IF(OR(G67="",G67="TBD",G67="N/A",G67="SDK",G67="SAAS"),0,1)</f>
        <v>0</v>
      </c>
      <c r="AT67" s="22">
        <f t="shared" si="218"/>
        <v>0</v>
      </c>
      <c r="AU67" s="22">
        <f t="shared" si="218"/>
        <v>0</v>
      </c>
      <c r="AV67" s="22">
        <f t="shared" si="218"/>
        <v>0</v>
      </c>
      <c r="AX67" s="11">
        <f t="shared" si="35"/>
        <v>4</v>
      </c>
      <c r="AY67" s="22">
        <f t="shared" ref="AY67:BB67" si="219">IF(OR(G67="",G67="N/A",G67="SDK",G67="SAAS"),0,1)</f>
        <v>1</v>
      </c>
      <c r="AZ67" s="22">
        <f t="shared" si="219"/>
        <v>1</v>
      </c>
      <c r="BA67" s="22">
        <f t="shared" si="219"/>
        <v>1</v>
      </c>
      <c r="BB67" s="22">
        <f t="shared" si="219"/>
        <v>1</v>
      </c>
      <c r="BD67" s="22"/>
      <c r="BE67" s="22"/>
      <c r="BF67" s="22"/>
      <c r="BG67" s="22"/>
    </row>
    <row r="68" spans="1:59">
      <c r="A68" s="97" t="s">
        <v>263</v>
      </c>
      <c r="B68" s="97" t="s">
        <v>26</v>
      </c>
      <c r="C68" s="98" t="s">
        <v>264</v>
      </c>
      <c r="D68" s="103"/>
      <c r="E68" s="103"/>
      <c r="F68" s="88" t="s">
        <v>135</v>
      </c>
      <c r="G68" s="31" t="s">
        <v>135</v>
      </c>
      <c r="H68" s="31" t="s">
        <v>135</v>
      </c>
      <c r="I68" s="31" t="s">
        <v>135</v>
      </c>
      <c r="J68" s="31" t="s">
        <v>135</v>
      </c>
      <c r="K68" s="31"/>
      <c r="L68" s="31"/>
      <c r="M68" s="34">
        <f t="shared" si="25"/>
        <v>0</v>
      </c>
      <c r="N68" s="31" t="s">
        <v>105</v>
      </c>
      <c r="O68" s="31" t="s">
        <v>106</v>
      </c>
      <c r="P68" s="37" t="s">
        <v>107</v>
      </c>
      <c r="Q68" s="31"/>
      <c r="R68" s="31"/>
      <c r="S68" s="31"/>
      <c r="T68" s="31"/>
      <c r="U68" s="31"/>
      <c r="V68" s="31"/>
      <c r="W68" s="31"/>
      <c r="X68" s="31" t="s">
        <v>108</v>
      </c>
      <c r="Y68" s="31" t="s">
        <v>109</v>
      </c>
      <c r="Z68" s="31"/>
      <c r="AA68" s="31"/>
      <c r="AB68" s="31"/>
      <c r="AD68" s="11">
        <f t="shared" si="26"/>
        <v>0</v>
      </c>
      <c r="AE68" s="11">
        <f t="shared" si="27"/>
        <v>0</v>
      </c>
      <c r="AF68" s="11">
        <f t="shared" si="108"/>
        <v>1</v>
      </c>
      <c r="AH68" s="11">
        <f t="shared" si="28"/>
        <v>0</v>
      </c>
      <c r="AI68" s="11">
        <f t="shared" si="29"/>
        <v>1</v>
      </c>
      <c r="AJ68" s="11">
        <f t="shared" si="30"/>
        <v>0</v>
      </c>
      <c r="AK68" s="22">
        <v>1</v>
      </c>
      <c r="AM68" s="11">
        <f t="shared" ref="AM68:AN68" si="220">SUMIFS(AO$3:AO$251,$A$3:$A$251,$A68)</f>
        <v>0</v>
      </c>
      <c r="AN68" s="11">
        <f t="shared" si="220"/>
        <v>1</v>
      </c>
      <c r="AO68" s="11">
        <f t="shared" si="32"/>
        <v>0</v>
      </c>
      <c r="AP68" s="22">
        <v>1</v>
      </c>
      <c r="AQ68" s="22"/>
      <c r="AR68" s="22">
        <f t="shared" si="33"/>
        <v>0</v>
      </c>
      <c r="AS68" s="22">
        <f t="shared" ref="AS68:AV68" si="221">IF(OR(G68="",G68="TBD",G68="N/A",G68="SDK",G68="SAAS"),0,1)</f>
        <v>0</v>
      </c>
      <c r="AT68" s="22">
        <f t="shared" si="221"/>
        <v>0</v>
      </c>
      <c r="AU68" s="22">
        <f t="shared" si="221"/>
        <v>0</v>
      </c>
      <c r="AV68" s="22">
        <f t="shared" si="221"/>
        <v>0</v>
      </c>
      <c r="AX68" s="11">
        <f t="shared" si="35"/>
        <v>4</v>
      </c>
      <c r="AY68" s="22">
        <f t="shared" ref="AY68:BB68" si="222">IF(OR(G68="",G68="N/A",G68="SDK",G68="SAAS"),0,1)</f>
        <v>1</v>
      </c>
      <c r="AZ68" s="22">
        <f t="shared" si="222"/>
        <v>1</v>
      </c>
      <c r="BA68" s="22">
        <f t="shared" si="222"/>
        <v>1</v>
      </c>
      <c r="BB68" s="22">
        <f t="shared" si="222"/>
        <v>1</v>
      </c>
      <c r="BD68" s="22"/>
      <c r="BE68" s="22"/>
      <c r="BF68" s="22"/>
      <c r="BG68" s="22"/>
    </row>
    <row r="69" spans="1:59">
      <c r="A69" s="91" t="s">
        <v>265</v>
      </c>
      <c r="B69" s="91" t="s">
        <v>26</v>
      </c>
      <c r="C69" s="92" t="s">
        <v>266</v>
      </c>
      <c r="D69" s="102"/>
      <c r="E69" s="102"/>
      <c r="F69" s="88" t="s">
        <v>135</v>
      </c>
      <c r="G69" s="31" t="s">
        <v>135</v>
      </c>
      <c r="H69" s="31" t="s">
        <v>135</v>
      </c>
      <c r="I69" s="31" t="s">
        <v>135</v>
      </c>
      <c r="J69" s="31" t="s">
        <v>135</v>
      </c>
      <c r="K69" s="31"/>
      <c r="L69" s="31"/>
      <c r="M69" s="34">
        <f t="shared" si="25"/>
        <v>0</v>
      </c>
      <c r="N69" s="31" t="s">
        <v>105</v>
      </c>
      <c r="O69" s="31" t="s">
        <v>106</v>
      </c>
      <c r="P69" s="37" t="s">
        <v>107</v>
      </c>
      <c r="Q69" s="31"/>
      <c r="R69" s="31"/>
      <c r="S69" s="31"/>
      <c r="T69" s="31"/>
      <c r="U69" s="31"/>
      <c r="V69" s="31"/>
      <c r="W69" s="31"/>
      <c r="X69" s="31" t="s">
        <v>108</v>
      </c>
      <c r="Y69" s="31" t="s">
        <v>109</v>
      </c>
      <c r="Z69" s="31"/>
      <c r="AA69" s="31"/>
      <c r="AB69" s="31"/>
      <c r="AD69" s="11">
        <f t="shared" si="26"/>
        <v>0</v>
      </c>
      <c r="AE69" s="11">
        <f t="shared" si="27"/>
        <v>0</v>
      </c>
      <c r="AF69" s="11">
        <f t="shared" si="108"/>
        <v>1</v>
      </c>
      <c r="AH69" s="11">
        <f t="shared" si="28"/>
        <v>0</v>
      </c>
      <c r="AI69" s="11">
        <f t="shared" si="29"/>
        <v>1</v>
      </c>
      <c r="AJ69" s="11">
        <f t="shared" si="30"/>
        <v>0</v>
      </c>
      <c r="AK69" s="22">
        <v>1</v>
      </c>
      <c r="AM69" s="11">
        <f t="shared" ref="AM69:AN69" si="223">SUMIFS(AO$3:AO$251,$A$3:$A$251,$A69)</f>
        <v>0</v>
      </c>
      <c r="AN69" s="11">
        <f t="shared" si="223"/>
        <v>1</v>
      </c>
      <c r="AO69" s="11">
        <f t="shared" si="32"/>
        <v>0</v>
      </c>
      <c r="AP69" s="22">
        <v>1</v>
      </c>
      <c r="AQ69" s="22"/>
      <c r="AR69" s="22">
        <f t="shared" si="33"/>
        <v>0</v>
      </c>
      <c r="AS69" s="22">
        <f t="shared" ref="AS69:AV69" si="224">IF(OR(G69="",G69="TBD",G69="N/A",G69="SDK",G69="SAAS"),0,1)</f>
        <v>0</v>
      </c>
      <c r="AT69" s="22">
        <f t="shared" si="224"/>
        <v>0</v>
      </c>
      <c r="AU69" s="22">
        <f t="shared" si="224"/>
        <v>0</v>
      </c>
      <c r="AV69" s="22">
        <f t="shared" si="224"/>
        <v>0</v>
      </c>
      <c r="AX69" s="11">
        <f t="shared" si="35"/>
        <v>4</v>
      </c>
      <c r="AY69" s="22">
        <f t="shared" ref="AY69:BB69" si="225">IF(OR(G69="",G69="N/A",G69="SDK",G69="SAAS"),0,1)</f>
        <v>1</v>
      </c>
      <c r="AZ69" s="22">
        <f t="shared" si="225"/>
        <v>1</v>
      </c>
      <c r="BA69" s="22">
        <f t="shared" si="225"/>
        <v>1</v>
      </c>
      <c r="BB69" s="22">
        <f t="shared" si="225"/>
        <v>1</v>
      </c>
      <c r="BD69" s="22"/>
      <c r="BE69" s="22"/>
      <c r="BF69" s="22"/>
      <c r="BG69" s="22"/>
    </row>
    <row r="70" spans="1:59">
      <c r="A70" s="93" t="s">
        <v>267</v>
      </c>
      <c r="B70" s="93" t="s">
        <v>26</v>
      </c>
      <c r="C70" s="94" t="s">
        <v>268</v>
      </c>
      <c r="D70" s="88"/>
      <c r="E70" s="88"/>
      <c r="F70" s="88" t="s">
        <v>135</v>
      </c>
      <c r="G70" s="31" t="s">
        <v>135</v>
      </c>
      <c r="H70" s="31" t="s">
        <v>135</v>
      </c>
      <c r="I70" s="31" t="s">
        <v>135</v>
      </c>
      <c r="J70" s="31" t="s">
        <v>135</v>
      </c>
      <c r="K70" s="31"/>
      <c r="L70" s="31"/>
      <c r="M70" s="34">
        <f t="shared" si="25"/>
        <v>0</v>
      </c>
      <c r="N70" s="31" t="s">
        <v>105</v>
      </c>
      <c r="O70" s="31" t="s">
        <v>106</v>
      </c>
      <c r="P70" s="37" t="s">
        <v>107</v>
      </c>
      <c r="Q70" s="31"/>
      <c r="R70" s="31"/>
      <c r="S70" s="31"/>
      <c r="T70" s="31"/>
      <c r="U70" s="31"/>
      <c r="V70" s="31"/>
      <c r="W70" s="31"/>
      <c r="X70" s="31" t="s">
        <v>108</v>
      </c>
      <c r="Y70" s="31" t="s">
        <v>109</v>
      </c>
      <c r="Z70" s="31"/>
      <c r="AA70" s="31"/>
      <c r="AB70" s="31"/>
      <c r="AD70" s="11">
        <f t="shared" si="26"/>
        <v>0</v>
      </c>
      <c r="AE70" s="11">
        <f t="shared" si="27"/>
        <v>0</v>
      </c>
      <c r="AF70" s="11">
        <f t="shared" si="108"/>
        <v>1</v>
      </c>
      <c r="AH70" s="11">
        <f t="shared" si="28"/>
        <v>0</v>
      </c>
      <c r="AI70" s="11">
        <f t="shared" si="29"/>
        <v>1</v>
      </c>
      <c r="AJ70" s="11">
        <f t="shared" si="30"/>
        <v>0</v>
      </c>
      <c r="AK70" s="22">
        <v>1</v>
      </c>
      <c r="AM70" s="11">
        <f t="shared" ref="AM70:AN70" si="226">SUMIFS(AO$3:AO$251,$A$3:$A$251,$A70)</f>
        <v>0</v>
      </c>
      <c r="AN70" s="11">
        <f t="shared" si="226"/>
        <v>1</v>
      </c>
      <c r="AO70" s="11">
        <f t="shared" si="32"/>
        <v>0</v>
      </c>
      <c r="AP70" s="22">
        <v>1</v>
      </c>
      <c r="AQ70" s="22"/>
      <c r="AR70" s="22">
        <f t="shared" si="33"/>
        <v>0</v>
      </c>
      <c r="AS70" s="22">
        <f t="shared" ref="AS70:AV70" si="227">IF(OR(G70="",G70="TBD",G70="N/A",G70="SDK",G70="SAAS"),0,1)</f>
        <v>0</v>
      </c>
      <c r="AT70" s="22">
        <f t="shared" si="227"/>
        <v>0</v>
      </c>
      <c r="AU70" s="22">
        <f t="shared" si="227"/>
        <v>0</v>
      </c>
      <c r="AV70" s="22">
        <f t="shared" si="227"/>
        <v>0</v>
      </c>
      <c r="AX70" s="11">
        <f t="shared" si="35"/>
        <v>4</v>
      </c>
      <c r="AY70" s="22">
        <f t="shared" ref="AY70:BB70" si="228">IF(OR(G70="",G70="N/A",G70="SDK",G70="SAAS"),0,1)</f>
        <v>1</v>
      </c>
      <c r="AZ70" s="22">
        <f t="shared" si="228"/>
        <v>1</v>
      </c>
      <c r="BA70" s="22">
        <f t="shared" si="228"/>
        <v>1</v>
      </c>
      <c r="BB70" s="22">
        <f t="shared" si="228"/>
        <v>1</v>
      </c>
      <c r="BD70" s="22"/>
      <c r="BE70" s="22"/>
      <c r="BF70" s="22"/>
      <c r="BG70" s="22"/>
    </row>
    <row r="71" spans="1:59">
      <c r="A71" s="95" t="s">
        <v>269</v>
      </c>
      <c r="B71" s="95" t="s">
        <v>26</v>
      </c>
      <c r="C71" s="96" t="s">
        <v>270</v>
      </c>
      <c r="D71" s="99"/>
      <c r="E71" s="99"/>
      <c r="F71" s="88" t="s">
        <v>135</v>
      </c>
      <c r="G71" s="31" t="s">
        <v>135</v>
      </c>
      <c r="H71" s="31" t="s">
        <v>135</v>
      </c>
      <c r="I71" s="31" t="s">
        <v>135</v>
      </c>
      <c r="J71" s="31" t="s">
        <v>135</v>
      </c>
      <c r="K71" s="31"/>
      <c r="L71" s="31"/>
      <c r="M71" s="34">
        <f t="shared" si="25"/>
        <v>0</v>
      </c>
      <c r="N71" s="31" t="s">
        <v>105</v>
      </c>
      <c r="O71" s="31" t="s">
        <v>106</v>
      </c>
      <c r="P71" s="37" t="s">
        <v>107</v>
      </c>
      <c r="Q71" s="31"/>
      <c r="R71" s="31"/>
      <c r="S71" s="31"/>
      <c r="T71" s="31"/>
      <c r="U71" s="31"/>
      <c r="V71" s="31"/>
      <c r="W71" s="31"/>
      <c r="X71" s="31" t="s">
        <v>108</v>
      </c>
      <c r="Y71" s="31" t="s">
        <v>271</v>
      </c>
      <c r="Z71" s="31"/>
      <c r="AA71" s="31"/>
      <c r="AB71" s="31"/>
      <c r="AD71" s="11">
        <f t="shared" si="26"/>
        <v>0</v>
      </c>
      <c r="AE71" s="11">
        <f t="shared" si="27"/>
        <v>0</v>
      </c>
      <c r="AF71" s="11">
        <f t="shared" si="108"/>
        <v>1</v>
      </c>
      <c r="AH71" s="11">
        <f t="shared" si="28"/>
        <v>0</v>
      </c>
      <c r="AI71" s="11">
        <f t="shared" si="29"/>
        <v>1</v>
      </c>
      <c r="AJ71" s="11">
        <f t="shared" si="30"/>
        <v>0</v>
      </c>
      <c r="AK71" s="22">
        <v>1</v>
      </c>
      <c r="AM71" s="11">
        <f t="shared" ref="AM71:AN71" si="229">SUMIFS(AO$3:AO$251,$A$3:$A$251,$A71)</f>
        <v>0</v>
      </c>
      <c r="AN71" s="11">
        <f t="shared" si="229"/>
        <v>1</v>
      </c>
      <c r="AO71" s="11">
        <f t="shared" si="32"/>
        <v>0</v>
      </c>
      <c r="AP71" s="22">
        <v>1</v>
      </c>
      <c r="AQ71" s="22"/>
      <c r="AR71" s="22">
        <f t="shared" si="33"/>
        <v>0</v>
      </c>
      <c r="AS71" s="22">
        <f t="shared" ref="AS71:AV71" si="230">IF(OR(G71="",G71="TBD",G71="N/A",G71="SDK",G71="SAAS"),0,1)</f>
        <v>0</v>
      </c>
      <c r="AT71" s="22">
        <f t="shared" si="230"/>
        <v>0</v>
      </c>
      <c r="AU71" s="22">
        <f t="shared" si="230"/>
        <v>0</v>
      </c>
      <c r="AV71" s="22">
        <f t="shared" si="230"/>
        <v>0</v>
      </c>
      <c r="AX71" s="11">
        <f t="shared" si="35"/>
        <v>4</v>
      </c>
      <c r="AY71" s="22">
        <f t="shared" ref="AY71:BB71" si="231">IF(OR(G71="",G71="N/A",G71="SDK",G71="SAAS"),0,1)</f>
        <v>1</v>
      </c>
      <c r="AZ71" s="22">
        <f t="shared" si="231"/>
        <v>1</v>
      </c>
      <c r="BA71" s="22">
        <f t="shared" si="231"/>
        <v>1</v>
      </c>
      <c r="BB71" s="22">
        <f t="shared" si="231"/>
        <v>1</v>
      </c>
      <c r="BD71" s="22"/>
      <c r="BE71" s="22"/>
      <c r="BF71" s="22"/>
      <c r="BG71" s="22"/>
    </row>
    <row r="72" spans="1:59">
      <c r="A72" s="91" t="s">
        <v>272</v>
      </c>
      <c r="B72" s="91" t="s">
        <v>26</v>
      </c>
      <c r="C72" s="92" t="s">
        <v>273</v>
      </c>
      <c r="D72" s="102"/>
      <c r="E72" s="102"/>
      <c r="F72" s="88" t="s">
        <v>194</v>
      </c>
      <c r="G72" s="31" t="s">
        <v>194</v>
      </c>
      <c r="H72" s="31" t="s">
        <v>194</v>
      </c>
      <c r="I72" s="31" t="s">
        <v>194</v>
      </c>
      <c r="J72" s="31" t="s">
        <v>194</v>
      </c>
      <c r="K72" s="31"/>
      <c r="L72" s="31"/>
      <c r="M72" s="34">
        <f t="shared" si="25"/>
        <v>0</v>
      </c>
      <c r="N72" s="31" t="s">
        <v>105</v>
      </c>
      <c r="O72" s="31" t="s">
        <v>106</v>
      </c>
      <c r="P72" s="37" t="s">
        <v>107</v>
      </c>
      <c r="Q72" s="31"/>
      <c r="R72" s="31"/>
      <c r="S72" s="31"/>
      <c r="T72" s="31"/>
      <c r="U72" s="31"/>
      <c r="V72" s="31"/>
      <c r="W72" s="31"/>
      <c r="X72" s="31" t="s">
        <v>108</v>
      </c>
      <c r="Y72" s="31" t="s">
        <v>109</v>
      </c>
      <c r="Z72" s="31"/>
      <c r="AA72" s="31"/>
      <c r="AB72" s="31"/>
      <c r="AD72" s="11">
        <f t="shared" si="26"/>
        <v>0</v>
      </c>
      <c r="AE72" s="11">
        <f t="shared" si="27"/>
        <v>1</v>
      </c>
      <c r="AF72" s="11">
        <f t="shared" si="108"/>
        <v>1</v>
      </c>
      <c r="AH72" s="11">
        <f t="shared" si="28"/>
        <v>0</v>
      </c>
      <c r="AI72" s="11">
        <f t="shared" si="29"/>
        <v>1</v>
      </c>
      <c r="AJ72" s="11">
        <f t="shared" si="30"/>
        <v>0</v>
      </c>
      <c r="AK72" s="22">
        <v>1</v>
      </c>
      <c r="AM72" s="11">
        <f t="shared" ref="AM72:AN72" si="232">SUMIFS(AO$3:AO$251,$A$3:$A$251,$A72)</f>
        <v>1</v>
      </c>
      <c r="AN72" s="11">
        <f t="shared" si="232"/>
        <v>1</v>
      </c>
      <c r="AO72" s="11">
        <f t="shared" si="32"/>
        <v>1</v>
      </c>
      <c r="AP72" s="22">
        <v>1</v>
      </c>
      <c r="AQ72" s="22"/>
      <c r="AR72" s="22">
        <f t="shared" si="33"/>
        <v>0</v>
      </c>
      <c r="AS72" s="22">
        <f t="shared" ref="AS72:AV72" si="233">IF(OR(G72="",G72="TBD",G72="N/A",G72="SDK",G72="SAAS"),0,1)</f>
        <v>0</v>
      </c>
      <c r="AT72" s="22">
        <f t="shared" si="233"/>
        <v>0</v>
      </c>
      <c r="AU72" s="22">
        <f t="shared" si="233"/>
        <v>0</v>
      </c>
      <c r="AV72" s="22">
        <f t="shared" si="233"/>
        <v>0</v>
      </c>
      <c r="AX72" s="11">
        <f t="shared" si="35"/>
        <v>0</v>
      </c>
      <c r="AY72" s="22">
        <f t="shared" ref="AY72:BB72" si="234">IF(OR(G72="",G72="N/A",G72="SDK",G72="SAAS"),0,1)</f>
        <v>0</v>
      </c>
      <c r="AZ72" s="22">
        <f t="shared" si="234"/>
        <v>0</v>
      </c>
      <c r="BA72" s="22">
        <f t="shared" si="234"/>
        <v>0</v>
      </c>
      <c r="BB72" s="22">
        <f t="shared" si="234"/>
        <v>0</v>
      </c>
      <c r="BD72" s="22"/>
      <c r="BE72" s="22"/>
      <c r="BF72" s="22"/>
      <c r="BG72" s="22"/>
    </row>
    <row r="73" spans="1:59">
      <c r="A73" s="93" t="s">
        <v>274</v>
      </c>
      <c r="B73" s="93" t="s">
        <v>26</v>
      </c>
      <c r="C73" s="94" t="s">
        <v>275</v>
      </c>
      <c r="D73" s="88"/>
      <c r="E73" s="88"/>
      <c r="F73" s="88" t="s">
        <v>194</v>
      </c>
      <c r="G73" s="31" t="s">
        <v>194</v>
      </c>
      <c r="H73" s="31" t="s">
        <v>194</v>
      </c>
      <c r="I73" s="31" t="s">
        <v>194</v>
      </c>
      <c r="J73" s="31" t="s">
        <v>194</v>
      </c>
      <c r="K73" s="31"/>
      <c r="L73" s="31"/>
      <c r="M73" s="34">
        <f t="shared" si="25"/>
        <v>0</v>
      </c>
      <c r="N73" s="31" t="s">
        <v>105</v>
      </c>
      <c r="O73" s="31" t="s">
        <v>106</v>
      </c>
      <c r="P73" s="37" t="s">
        <v>107</v>
      </c>
      <c r="Q73" s="31"/>
      <c r="R73" s="31"/>
      <c r="S73" s="31"/>
      <c r="T73" s="31"/>
      <c r="U73" s="31"/>
      <c r="V73" s="31"/>
      <c r="W73" s="31"/>
      <c r="X73" s="31" t="s">
        <v>108</v>
      </c>
      <c r="Y73" s="31" t="s">
        <v>109</v>
      </c>
      <c r="Z73" s="31"/>
      <c r="AA73" s="31"/>
      <c r="AB73" s="31"/>
      <c r="AD73" s="11">
        <f t="shared" si="26"/>
        <v>0</v>
      </c>
      <c r="AE73" s="11">
        <f t="shared" si="27"/>
        <v>1</v>
      </c>
      <c r="AF73" s="11">
        <f t="shared" si="108"/>
        <v>1</v>
      </c>
      <c r="AH73" s="11">
        <f t="shared" si="28"/>
        <v>0</v>
      </c>
      <c r="AI73" s="11">
        <f t="shared" si="29"/>
        <v>1</v>
      </c>
      <c r="AJ73" s="11">
        <f t="shared" si="30"/>
        <v>0</v>
      </c>
      <c r="AK73" s="22">
        <v>1</v>
      </c>
      <c r="AM73" s="11">
        <f t="shared" ref="AM73:AN73" si="235">SUMIFS(AO$3:AO$251,$A$3:$A$251,$A73)</f>
        <v>1</v>
      </c>
      <c r="AN73" s="11">
        <f t="shared" si="235"/>
        <v>1</v>
      </c>
      <c r="AO73" s="11">
        <f t="shared" si="32"/>
        <v>1</v>
      </c>
      <c r="AP73" s="22">
        <v>1</v>
      </c>
      <c r="AQ73" s="22"/>
      <c r="AR73" s="22">
        <f t="shared" si="33"/>
        <v>0</v>
      </c>
      <c r="AS73" s="22">
        <f t="shared" ref="AS73:AV73" si="236">IF(OR(G73="",G73="TBD",G73="N/A",G73="SDK",G73="SAAS"),0,1)</f>
        <v>0</v>
      </c>
      <c r="AT73" s="22">
        <f t="shared" si="236"/>
        <v>0</v>
      </c>
      <c r="AU73" s="22">
        <f t="shared" si="236"/>
        <v>0</v>
      </c>
      <c r="AV73" s="22">
        <f t="shared" si="236"/>
        <v>0</v>
      </c>
      <c r="AX73" s="11">
        <f t="shared" si="35"/>
        <v>0</v>
      </c>
      <c r="AY73" s="22">
        <f t="shared" ref="AY73:BB73" si="237">IF(OR(G73="",G73="N/A",G73="SDK",G73="SAAS"),0,1)</f>
        <v>0</v>
      </c>
      <c r="AZ73" s="22">
        <f t="shared" si="237"/>
        <v>0</v>
      </c>
      <c r="BA73" s="22">
        <f t="shared" si="237"/>
        <v>0</v>
      </c>
      <c r="BB73" s="22">
        <f t="shared" si="237"/>
        <v>0</v>
      </c>
      <c r="BD73" s="22"/>
      <c r="BE73" s="22"/>
      <c r="BF73" s="22"/>
      <c r="BG73" s="22"/>
    </row>
    <row r="74" spans="1:59">
      <c r="A74" s="95" t="s">
        <v>276</v>
      </c>
      <c r="B74" s="95" t="s">
        <v>26</v>
      </c>
      <c r="C74" s="96" t="s">
        <v>277</v>
      </c>
      <c r="D74" s="99"/>
      <c r="E74" s="99"/>
      <c r="F74" s="88" t="s">
        <v>194</v>
      </c>
      <c r="G74" s="31" t="s">
        <v>194</v>
      </c>
      <c r="H74" s="31" t="s">
        <v>194</v>
      </c>
      <c r="I74" s="31" t="s">
        <v>194</v>
      </c>
      <c r="J74" s="31" t="s">
        <v>194</v>
      </c>
      <c r="K74" s="31"/>
      <c r="L74" s="31"/>
      <c r="M74" s="34">
        <f t="shared" si="25"/>
        <v>0</v>
      </c>
      <c r="N74" s="31" t="s">
        <v>105</v>
      </c>
      <c r="O74" s="31" t="s">
        <v>106</v>
      </c>
      <c r="P74" s="37" t="s">
        <v>107</v>
      </c>
      <c r="Q74" s="31"/>
      <c r="R74" s="31"/>
      <c r="S74" s="31"/>
      <c r="T74" s="31"/>
      <c r="U74" s="31"/>
      <c r="V74" s="31"/>
      <c r="W74" s="31"/>
      <c r="X74" s="31" t="s">
        <v>108</v>
      </c>
      <c r="Y74" s="31" t="s">
        <v>109</v>
      </c>
      <c r="Z74" s="31"/>
      <c r="AA74" s="31"/>
      <c r="AB74" s="31"/>
      <c r="AD74" s="11">
        <f t="shared" si="26"/>
        <v>0</v>
      </c>
      <c r="AE74" s="11">
        <f t="shared" si="27"/>
        <v>1</v>
      </c>
      <c r="AF74" s="11">
        <f t="shared" si="108"/>
        <v>1</v>
      </c>
      <c r="AH74" s="11">
        <f t="shared" si="28"/>
        <v>0</v>
      </c>
      <c r="AI74" s="11">
        <f t="shared" si="29"/>
        <v>1</v>
      </c>
      <c r="AJ74" s="11">
        <f t="shared" si="30"/>
        <v>0</v>
      </c>
      <c r="AK74" s="22">
        <v>1</v>
      </c>
      <c r="AM74" s="11">
        <f t="shared" ref="AM74:AN74" si="238">SUMIFS(AO$3:AO$251,$A$3:$A$251,$A74)</f>
        <v>1</v>
      </c>
      <c r="AN74" s="11">
        <f t="shared" si="238"/>
        <v>1</v>
      </c>
      <c r="AO74" s="11">
        <f t="shared" si="32"/>
        <v>1</v>
      </c>
      <c r="AP74" s="22">
        <v>1</v>
      </c>
      <c r="AQ74" s="22"/>
      <c r="AR74" s="22">
        <f t="shared" si="33"/>
        <v>0</v>
      </c>
      <c r="AS74" s="22">
        <f t="shared" ref="AS74:AV74" si="239">IF(OR(G74="",G74="TBD",G74="N/A",G74="SDK",G74="SAAS"),0,1)</f>
        <v>0</v>
      </c>
      <c r="AT74" s="22">
        <f t="shared" si="239"/>
        <v>0</v>
      </c>
      <c r="AU74" s="22">
        <f t="shared" si="239"/>
        <v>0</v>
      </c>
      <c r="AV74" s="22">
        <f t="shared" si="239"/>
        <v>0</v>
      </c>
      <c r="AX74" s="11">
        <f t="shared" si="35"/>
        <v>0</v>
      </c>
      <c r="AY74" s="22">
        <f t="shared" ref="AY74:BB74" si="240">IF(OR(G74="",G74="N/A",G74="SDK",G74="SAAS"),0,1)</f>
        <v>0</v>
      </c>
      <c r="AZ74" s="22">
        <f t="shared" si="240"/>
        <v>0</v>
      </c>
      <c r="BA74" s="22">
        <f t="shared" si="240"/>
        <v>0</v>
      </c>
      <c r="BB74" s="22">
        <f t="shared" si="240"/>
        <v>0</v>
      </c>
      <c r="BD74" s="22"/>
      <c r="BE74" s="22"/>
      <c r="BF74" s="22"/>
      <c r="BG74" s="22"/>
    </row>
    <row r="75" spans="1:59">
      <c r="A75" s="91" t="s">
        <v>278</v>
      </c>
      <c r="B75" s="91" t="s">
        <v>26</v>
      </c>
      <c r="C75" s="92" t="s">
        <v>275</v>
      </c>
      <c r="D75" s="102"/>
      <c r="E75" s="102"/>
      <c r="F75" s="88" t="s">
        <v>194</v>
      </c>
      <c r="G75" s="31" t="s">
        <v>194</v>
      </c>
      <c r="H75" s="31" t="s">
        <v>194</v>
      </c>
      <c r="I75" s="31" t="s">
        <v>194</v>
      </c>
      <c r="J75" s="31" t="s">
        <v>194</v>
      </c>
      <c r="K75" s="31"/>
      <c r="L75" s="31"/>
      <c r="M75" s="34">
        <f t="shared" si="25"/>
        <v>0</v>
      </c>
      <c r="N75" s="31" t="s">
        <v>105</v>
      </c>
      <c r="O75" s="31" t="s">
        <v>106</v>
      </c>
      <c r="P75" s="37" t="s">
        <v>107</v>
      </c>
      <c r="Q75" s="31"/>
      <c r="R75" s="31"/>
      <c r="S75" s="31"/>
      <c r="T75" s="31"/>
      <c r="U75" s="31"/>
      <c r="V75" s="31"/>
      <c r="W75" s="31"/>
      <c r="X75" s="31" t="s">
        <v>108</v>
      </c>
      <c r="Y75" s="31" t="s">
        <v>109</v>
      </c>
      <c r="Z75" s="31"/>
      <c r="AA75" s="31"/>
      <c r="AB75" s="31"/>
      <c r="AD75" s="11">
        <f t="shared" si="26"/>
        <v>0</v>
      </c>
      <c r="AE75" s="11">
        <f t="shared" si="27"/>
        <v>1</v>
      </c>
      <c r="AF75" s="11">
        <f t="shared" si="108"/>
        <v>1</v>
      </c>
      <c r="AH75" s="11">
        <f t="shared" si="28"/>
        <v>0</v>
      </c>
      <c r="AI75" s="11">
        <f t="shared" si="29"/>
        <v>1</v>
      </c>
      <c r="AJ75" s="11">
        <f t="shared" si="30"/>
        <v>0</v>
      </c>
      <c r="AK75" s="22">
        <v>1</v>
      </c>
      <c r="AM75" s="11">
        <f t="shared" ref="AM75:AN75" si="241">SUMIFS(AO$3:AO$251,$A$3:$A$251,$A75)</f>
        <v>1</v>
      </c>
      <c r="AN75" s="11">
        <f t="shared" si="241"/>
        <v>1</v>
      </c>
      <c r="AO75" s="11">
        <f t="shared" si="32"/>
        <v>1</v>
      </c>
      <c r="AP75" s="22">
        <v>1</v>
      </c>
      <c r="AQ75" s="22"/>
      <c r="AR75" s="22">
        <f t="shared" si="33"/>
        <v>0</v>
      </c>
      <c r="AS75" s="22">
        <f t="shared" ref="AS75:AV75" si="242">IF(OR(G75="",G75="TBD",G75="N/A",G75="SDK",G75="SAAS"),0,1)</f>
        <v>0</v>
      </c>
      <c r="AT75" s="22">
        <f t="shared" si="242"/>
        <v>0</v>
      </c>
      <c r="AU75" s="22">
        <f t="shared" si="242"/>
        <v>0</v>
      </c>
      <c r="AV75" s="22">
        <f t="shared" si="242"/>
        <v>0</v>
      </c>
      <c r="AX75" s="11">
        <f t="shared" si="35"/>
        <v>0</v>
      </c>
      <c r="AY75" s="22">
        <f t="shared" ref="AY75:BB75" si="243">IF(OR(G75="",G75="N/A",G75="SDK",G75="SAAS"),0,1)</f>
        <v>0</v>
      </c>
      <c r="AZ75" s="22">
        <f t="shared" si="243"/>
        <v>0</v>
      </c>
      <c r="BA75" s="22">
        <f t="shared" si="243"/>
        <v>0</v>
      </c>
      <c r="BB75" s="22">
        <f t="shared" si="243"/>
        <v>0</v>
      </c>
      <c r="BD75" s="22"/>
      <c r="BE75" s="22"/>
      <c r="BF75" s="22"/>
      <c r="BG75" s="22"/>
    </row>
    <row r="76" spans="1:59">
      <c r="A76" s="93" t="s">
        <v>279</v>
      </c>
      <c r="B76" s="93" t="s">
        <v>26</v>
      </c>
      <c r="C76" s="94" t="s">
        <v>280</v>
      </c>
      <c r="D76" s="88"/>
      <c r="E76" s="88"/>
      <c r="F76" s="88" t="s">
        <v>194</v>
      </c>
      <c r="G76" s="31" t="s">
        <v>194</v>
      </c>
      <c r="H76" s="31" t="s">
        <v>194</v>
      </c>
      <c r="I76" s="31" t="s">
        <v>194</v>
      </c>
      <c r="J76" s="31" t="s">
        <v>194</v>
      </c>
      <c r="K76" s="31"/>
      <c r="L76" s="31"/>
      <c r="M76" s="34">
        <f t="shared" si="25"/>
        <v>0</v>
      </c>
      <c r="N76" s="31" t="s">
        <v>105</v>
      </c>
      <c r="O76" s="31" t="s">
        <v>106</v>
      </c>
      <c r="P76" s="37" t="s">
        <v>107</v>
      </c>
      <c r="Q76" s="31"/>
      <c r="R76" s="31"/>
      <c r="S76" s="31"/>
      <c r="T76" s="31"/>
      <c r="U76" s="31"/>
      <c r="V76" s="31"/>
      <c r="W76" s="31"/>
      <c r="X76" s="31" t="s">
        <v>108</v>
      </c>
      <c r="Y76" s="31" t="s">
        <v>109</v>
      </c>
      <c r="Z76" s="31"/>
      <c r="AA76" s="31"/>
      <c r="AB76" s="31"/>
      <c r="AD76" s="11">
        <f t="shared" si="26"/>
        <v>0</v>
      </c>
      <c r="AE76" s="11">
        <f t="shared" si="27"/>
        <v>1</v>
      </c>
      <c r="AF76" s="11">
        <f t="shared" si="108"/>
        <v>1</v>
      </c>
      <c r="AH76" s="11">
        <f t="shared" si="28"/>
        <v>0</v>
      </c>
      <c r="AI76" s="11">
        <f t="shared" si="29"/>
        <v>1</v>
      </c>
      <c r="AJ76" s="11">
        <f t="shared" si="30"/>
        <v>0</v>
      </c>
      <c r="AK76" s="22">
        <v>1</v>
      </c>
      <c r="AM76" s="11">
        <f t="shared" ref="AM76:AN76" si="244">SUMIFS(AO$3:AO$251,$A$3:$A$251,$A76)</f>
        <v>1</v>
      </c>
      <c r="AN76" s="11">
        <f t="shared" si="244"/>
        <v>1</v>
      </c>
      <c r="AO76" s="11">
        <f t="shared" si="32"/>
        <v>1</v>
      </c>
      <c r="AP76" s="22">
        <v>1</v>
      </c>
      <c r="AQ76" s="22"/>
      <c r="AR76" s="22">
        <f t="shared" si="33"/>
        <v>0</v>
      </c>
      <c r="AS76" s="22">
        <f t="shared" ref="AS76:AV76" si="245">IF(OR(G76="",G76="TBD",G76="N/A",G76="SDK",G76="SAAS"),0,1)</f>
        <v>0</v>
      </c>
      <c r="AT76" s="22">
        <f t="shared" si="245"/>
        <v>0</v>
      </c>
      <c r="AU76" s="22">
        <f t="shared" si="245"/>
        <v>0</v>
      </c>
      <c r="AV76" s="22">
        <f t="shared" si="245"/>
        <v>0</v>
      </c>
      <c r="AX76" s="11">
        <f t="shared" si="35"/>
        <v>0</v>
      </c>
      <c r="AY76" s="22">
        <f t="shared" ref="AY76:BB76" si="246">IF(OR(G76="",G76="N/A",G76="SDK",G76="SAAS"),0,1)</f>
        <v>0</v>
      </c>
      <c r="AZ76" s="22">
        <f t="shared" si="246"/>
        <v>0</v>
      </c>
      <c r="BA76" s="22">
        <f t="shared" si="246"/>
        <v>0</v>
      </c>
      <c r="BB76" s="22">
        <f t="shared" si="246"/>
        <v>0</v>
      </c>
      <c r="BD76" s="22"/>
      <c r="BE76" s="22"/>
      <c r="BF76" s="22"/>
      <c r="BG76" s="22"/>
    </row>
    <row r="77" spans="1:59">
      <c r="A77" s="93" t="s">
        <v>281</v>
      </c>
      <c r="B77" s="93" t="s">
        <v>26</v>
      </c>
      <c r="C77" s="94" t="s">
        <v>282</v>
      </c>
      <c r="D77" s="88"/>
      <c r="E77" s="88"/>
      <c r="F77" s="88" t="s">
        <v>194</v>
      </c>
      <c r="G77" s="31" t="s">
        <v>194</v>
      </c>
      <c r="H77" s="31" t="s">
        <v>194</v>
      </c>
      <c r="I77" s="31" t="s">
        <v>194</v>
      </c>
      <c r="J77" s="31" t="s">
        <v>194</v>
      </c>
      <c r="K77" s="31"/>
      <c r="L77" s="31"/>
      <c r="M77" s="34">
        <f t="shared" si="25"/>
        <v>0</v>
      </c>
      <c r="N77" s="31" t="s">
        <v>105</v>
      </c>
      <c r="O77" s="31" t="s">
        <v>106</v>
      </c>
      <c r="P77" s="37" t="s">
        <v>107</v>
      </c>
      <c r="Q77" s="31"/>
      <c r="R77" s="31"/>
      <c r="S77" s="31"/>
      <c r="T77" s="31"/>
      <c r="U77" s="31"/>
      <c r="V77" s="31"/>
      <c r="W77" s="31"/>
      <c r="X77" s="31" t="s">
        <v>108</v>
      </c>
      <c r="Y77" s="31" t="s">
        <v>109</v>
      </c>
      <c r="Z77" s="31"/>
      <c r="AA77" s="31"/>
      <c r="AB77" s="31"/>
      <c r="AD77" s="11">
        <f t="shared" si="26"/>
        <v>0</v>
      </c>
      <c r="AE77" s="11">
        <f t="shared" si="27"/>
        <v>1</v>
      </c>
      <c r="AF77" s="11">
        <f t="shared" si="108"/>
        <v>1</v>
      </c>
      <c r="AH77" s="11">
        <f t="shared" si="28"/>
        <v>0</v>
      </c>
      <c r="AI77" s="11">
        <f t="shared" si="29"/>
        <v>1</v>
      </c>
      <c r="AJ77" s="11">
        <f t="shared" si="30"/>
        <v>0</v>
      </c>
      <c r="AK77" s="22">
        <v>1</v>
      </c>
      <c r="AM77" s="11">
        <f t="shared" ref="AM77:AN77" si="247">SUMIFS(AO$3:AO$251,$A$3:$A$251,$A77)</f>
        <v>1</v>
      </c>
      <c r="AN77" s="11">
        <f t="shared" si="247"/>
        <v>1</v>
      </c>
      <c r="AO77" s="11">
        <f t="shared" si="32"/>
        <v>1</v>
      </c>
      <c r="AP77" s="22">
        <v>1</v>
      </c>
      <c r="AQ77" s="22"/>
      <c r="AR77" s="22">
        <f t="shared" si="33"/>
        <v>0</v>
      </c>
      <c r="AS77" s="22">
        <f t="shared" ref="AS77:AV77" si="248">IF(OR(G77="",G77="TBD",G77="N/A",G77="SDK",G77="SAAS"),0,1)</f>
        <v>0</v>
      </c>
      <c r="AT77" s="22">
        <f t="shared" si="248"/>
        <v>0</v>
      </c>
      <c r="AU77" s="22">
        <f t="shared" si="248"/>
        <v>0</v>
      </c>
      <c r="AV77" s="22">
        <f t="shared" si="248"/>
        <v>0</v>
      </c>
      <c r="AX77" s="11">
        <f t="shared" si="35"/>
        <v>0</v>
      </c>
      <c r="AY77" s="22">
        <f t="shared" ref="AY77:BB77" si="249">IF(OR(G77="",G77="N/A",G77="SDK",G77="SAAS"),0,1)</f>
        <v>0</v>
      </c>
      <c r="AZ77" s="22">
        <f t="shared" si="249"/>
        <v>0</v>
      </c>
      <c r="BA77" s="22">
        <f t="shared" si="249"/>
        <v>0</v>
      </c>
      <c r="BB77" s="22">
        <f t="shared" si="249"/>
        <v>0</v>
      </c>
      <c r="BD77" s="22"/>
      <c r="BE77" s="22"/>
      <c r="BF77" s="22"/>
      <c r="BG77" s="22"/>
    </row>
    <row r="78" spans="1:59">
      <c r="A78" s="93" t="s">
        <v>283</v>
      </c>
      <c r="B78" s="93" t="s">
        <v>26</v>
      </c>
      <c r="C78" s="94" t="s">
        <v>284</v>
      </c>
      <c r="D78" s="88"/>
      <c r="E78" s="88"/>
      <c r="F78" s="88" t="s">
        <v>135</v>
      </c>
      <c r="G78" s="31" t="s">
        <v>135</v>
      </c>
      <c r="H78" s="31" t="s">
        <v>135</v>
      </c>
      <c r="I78" s="31" t="s">
        <v>135</v>
      </c>
      <c r="J78" s="31" t="s">
        <v>135</v>
      </c>
      <c r="K78" s="31"/>
      <c r="L78" s="31"/>
      <c r="M78" s="34">
        <f t="shared" si="25"/>
        <v>0</v>
      </c>
      <c r="N78" s="31" t="s">
        <v>105</v>
      </c>
      <c r="O78" s="31" t="s">
        <v>106</v>
      </c>
      <c r="P78" s="37" t="s">
        <v>107</v>
      </c>
      <c r="Q78" s="31"/>
      <c r="R78" s="31"/>
      <c r="S78" s="31"/>
      <c r="T78" s="31"/>
      <c r="U78" s="31"/>
      <c r="V78" s="31"/>
      <c r="W78" s="31"/>
      <c r="X78" s="31" t="s">
        <v>108</v>
      </c>
      <c r="Y78" s="31" t="s">
        <v>109</v>
      </c>
      <c r="Z78" s="31"/>
      <c r="AA78" s="31"/>
      <c r="AB78" s="31"/>
      <c r="AD78" s="11">
        <f t="shared" si="26"/>
        <v>0</v>
      </c>
      <c r="AE78" s="11">
        <f t="shared" si="27"/>
        <v>0</v>
      </c>
      <c r="AF78" s="11">
        <f t="shared" si="108"/>
        <v>1</v>
      </c>
      <c r="AH78" s="11">
        <f t="shared" si="28"/>
        <v>0</v>
      </c>
      <c r="AI78" s="11">
        <f t="shared" si="29"/>
        <v>0</v>
      </c>
      <c r="AJ78" s="11">
        <f t="shared" si="30"/>
        <v>0</v>
      </c>
      <c r="AK78" s="22">
        <v>1</v>
      </c>
      <c r="AM78" s="11">
        <f t="shared" ref="AM78:AN78" si="250">SUMIFS(AO$3:AO$251,$A$3:$A$251,$A78)</f>
        <v>0</v>
      </c>
      <c r="AN78" s="11">
        <f t="shared" si="250"/>
        <v>1</v>
      </c>
      <c r="AO78" s="11">
        <f t="shared" si="32"/>
        <v>0</v>
      </c>
      <c r="AP78" s="22">
        <v>1</v>
      </c>
      <c r="AQ78" s="22"/>
      <c r="AR78" s="22">
        <f t="shared" si="33"/>
        <v>0</v>
      </c>
      <c r="AS78" s="22">
        <f t="shared" ref="AS78:AV78" si="251">IF(OR(G78="",G78="TBD",G78="N/A",G78="SDK",G78="SAAS"),0,1)</f>
        <v>0</v>
      </c>
      <c r="AT78" s="22">
        <f t="shared" si="251"/>
        <v>0</v>
      </c>
      <c r="AU78" s="22">
        <f t="shared" si="251"/>
        <v>0</v>
      </c>
      <c r="AV78" s="22">
        <f t="shared" si="251"/>
        <v>0</v>
      </c>
      <c r="AX78" s="11">
        <f t="shared" si="35"/>
        <v>4</v>
      </c>
      <c r="AY78" s="22">
        <f t="shared" ref="AY78:BB78" si="252">IF(OR(G78="",G78="N/A",G78="SDK",G78="SAAS"),0,1)</f>
        <v>1</v>
      </c>
      <c r="AZ78" s="22">
        <f t="shared" si="252"/>
        <v>1</v>
      </c>
      <c r="BA78" s="22">
        <f t="shared" si="252"/>
        <v>1</v>
      </c>
      <c r="BB78" s="22">
        <f t="shared" si="252"/>
        <v>1</v>
      </c>
    </row>
    <row r="79" spans="1:59">
      <c r="A79" s="93" t="s">
        <v>285</v>
      </c>
      <c r="B79" s="93" t="s">
        <v>26</v>
      </c>
      <c r="C79" s="94" t="s">
        <v>286</v>
      </c>
      <c r="D79" s="88"/>
      <c r="E79" s="88"/>
      <c r="F79" s="88" t="s">
        <v>135</v>
      </c>
      <c r="G79" s="31" t="s">
        <v>135</v>
      </c>
      <c r="H79" s="31" t="s">
        <v>135</v>
      </c>
      <c r="I79" s="31" t="s">
        <v>135</v>
      </c>
      <c r="J79" s="31" t="s">
        <v>135</v>
      </c>
      <c r="K79" s="31"/>
      <c r="L79" s="31"/>
      <c r="M79" s="34">
        <f t="shared" si="25"/>
        <v>0</v>
      </c>
      <c r="N79" s="31" t="s">
        <v>105</v>
      </c>
      <c r="O79" s="31" t="s">
        <v>106</v>
      </c>
      <c r="P79" s="37" t="s">
        <v>107</v>
      </c>
      <c r="Q79" s="31"/>
      <c r="R79" s="31"/>
      <c r="S79" s="31"/>
      <c r="T79" s="31"/>
      <c r="U79" s="31"/>
      <c r="V79" s="31"/>
      <c r="W79" s="31"/>
      <c r="X79" s="31" t="s">
        <v>108</v>
      </c>
      <c r="Y79" s="31" t="s">
        <v>109</v>
      </c>
      <c r="Z79" s="31"/>
      <c r="AA79" s="31"/>
      <c r="AB79" s="31"/>
      <c r="AD79" s="11">
        <f t="shared" si="26"/>
        <v>0</v>
      </c>
      <c r="AE79" s="11">
        <f t="shared" si="27"/>
        <v>0</v>
      </c>
      <c r="AF79" s="11">
        <f t="shared" si="108"/>
        <v>1</v>
      </c>
      <c r="AH79" s="11">
        <f t="shared" si="28"/>
        <v>0</v>
      </c>
      <c r="AI79" s="11">
        <f t="shared" si="29"/>
        <v>0</v>
      </c>
      <c r="AJ79" s="11">
        <f t="shared" si="30"/>
        <v>0</v>
      </c>
      <c r="AK79" s="22">
        <v>1</v>
      </c>
      <c r="AM79" s="11">
        <f t="shared" ref="AM79:AN79" si="253">SUMIFS(AO$3:AO$251,$A$3:$A$251,$A79)</f>
        <v>0</v>
      </c>
      <c r="AN79" s="11">
        <f t="shared" si="253"/>
        <v>1</v>
      </c>
      <c r="AO79" s="11">
        <f t="shared" si="32"/>
        <v>0</v>
      </c>
      <c r="AP79" s="22">
        <v>1</v>
      </c>
      <c r="AQ79" s="22"/>
      <c r="AR79" s="22">
        <f t="shared" si="33"/>
        <v>0</v>
      </c>
      <c r="AS79" s="22">
        <f t="shared" ref="AS79:AV79" si="254">IF(OR(G79="",G79="TBD",G79="N/A",G79="SDK",G79="SAAS"),0,1)</f>
        <v>0</v>
      </c>
      <c r="AT79" s="22">
        <f t="shared" si="254"/>
        <v>0</v>
      </c>
      <c r="AU79" s="22">
        <f t="shared" si="254"/>
        <v>0</v>
      </c>
      <c r="AV79" s="22">
        <f t="shared" si="254"/>
        <v>0</v>
      </c>
      <c r="AX79" s="11">
        <f t="shared" si="35"/>
        <v>4</v>
      </c>
      <c r="AY79" s="22">
        <f t="shared" ref="AY79:BB79" si="255">IF(OR(G79="",G79="N/A",G79="SDK",G79="SAAS"),0,1)</f>
        <v>1</v>
      </c>
      <c r="AZ79" s="22">
        <f t="shared" si="255"/>
        <v>1</v>
      </c>
      <c r="BA79" s="22">
        <f t="shared" si="255"/>
        <v>1</v>
      </c>
      <c r="BB79" s="22">
        <f t="shared" si="255"/>
        <v>1</v>
      </c>
    </row>
    <row r="80" spans="1:59">
      <c r="A80" s="93" t="s">
        <v>287</v>
      </c>
      <c r="B80" s="93" t="s">
        <v>26</v>
      </c>
      <c r="C80" s="94" t="s">
        <v>288</v>
      </c>
      <c r="D80" s="88"/>
      <c r="E80" s="88"/>
      <c r="F80" s="88" t="s">
        <v>135</v>
      </c>
      <c r="G80" s="31" t="s">
        <v>135</v>
      </c>
      <c r="H80" s="31" t="s">
        <v>135</v>
      </c>
      <c r="I80" s="31" t="s">
        <v>135</v>
      </c>
      <c r="J80" s="31" t="s">
        <v>135</v>
      </c>
      <c r="K80" s="31"/>
      <c r="L80" s="31"/>
      <c r="M80" s="34">
        <f t="shared" si="25"/>
        <v>0</v>
      </c>
      <c r="N80" s="31" t="s">
        <v>105</v>
      </c>
      <c r="O80" s="31" t="s">
        <v>106</v>
      </c>
      <c r="P80" s="37" t="s">
        <v>107</v>
      </c>
      <c r="Q80" s="31"/>
      <c r="R80" s="31"/>
      <c r="S80" s="31"/>
      <c r="T80" s="31"/>
      <c r="U80" s="31"/>
      <c r="V80" s="31"/>
      <c r="W80" s="31"/>
      <c r="X80" s="31" t="s">
        <v>108</v>
      </c>
      <c r="Y80" s="31" t="s">
        <v>109</v>
      </c>
      <c r="Z80" s="31"/>
      <c r="AA80" s="31"/>
      <c r="AB80" s="31"/>
      <c r="AD80" s="11">
        <f t="shared" si="26"/>
        <v>0</v>
      </c>
      <c r="AE80" s="11">
        <f t="shared" si="27"/>
        <v>0</v>
      </c>
      <c r="AF80" s="11">
        <f t="shared" si="108"/>
        <v>1</v>
      </c>
      <c r="AH80" s="11">
        <f t="shared" si="28"/>
        <v>0</v>
      </c>
      <c r="AI80" s="11">
        <f t="shared" si="29"/>
        <v>0</v>
      </c>
      <c r="AJ80" s="11">
        <f t="shared" si="30"/>
        <v>0</v>
      </c>
      <c r="AK80" s="22">
        <v>1</v>
      </c>
      <c r="AM80" s="11">
        <f t="shared" ref="AM80:AN80" si="256">SUMIFS(AO$3:AO$251,$A$3:$A$251,$A80)</f>
        <v>0</v>
      </c>
      <c r="AN80" s="11">
        <f t="shared" si="256"/>
        <v>1</v>
      </c>
      <c r="AO80" s="11">
        <f t="shared" si="32"/>
        <v>0</v>
      </c>
      <c r="AP80" s="22">
        <v>1</v>
      </c>
      <c r="AQ80" s="22"/>
      <c r="AR80" s="22">
        <f t="shared" si="33"/>
        <v>0</v>
      </c>
      <c r="AS80" s="22">
        <f t="shared" ref="AS80:AV80" si="257">IF(OR(G80="",G80="TBD",G80="N/A",G80="SDK",G80="SAAS"),0,1)</f>
        <v>0</v>
      </c>
      <c r="AT80" s="22">
        <f t="shared" si="257"/>
        <v>0</v>
      </c>
      <c r="AU80" s="22">
        <f t="shared" si="257"/>
        <v>0</v>
      </c>
      <c r="AV80" s="22">
        <f t="shared" si="257"/>
        <v>0</v>
      </c>
      <c r="AX80" s="11">
        <f t="shared" si="35"/>
        <v>4</v>
      </c>
      <c r="AY80" s="22">
        <f t="shared" ref="AY80:BB80" si="258">IF(OR(G80="",G80="N/A",G80="SDK",G80="SAAS"),0,1)</f>
        <v>1</v>
      </c>
      <c r="AZ80" s="22">
        <f t="shared" si="258"/>
        <v>1</v>
      </c>
      <c r="BA80" s="22">
        <f t="shared" si="258"/>
        <v>1</v>
      </c>
      <c r="BB80" s="22">
        <f t="shared" si="258"/>
        <v>1</v>
      </c>
    </row>
    <row r="81" spans="1:54">
      <c r="A81" s="93" t="s">
        <v>289</v>
      </c>
      <c r="B81" s="93" t="s">
        <v>26</v>
      </c>
      <c r="C81" s="94" t="s">
        <v>290</v>
      </c>
      <c r="D81" s="88"/>
      <c r="E81" s="88"/>
      <c r="F81" s="88" t="s">
        <v>135</v>
      </c>
      <c r="G81" s="31" t="s">
        <v>135</v>
      </c>
      <c r="H81" s="31" t="s">
        <v>135</v>
      </c>
      <c r="I81" s="31" t="s">
        <v>135</v>
      </c>
      <c r="J81" s="31" t="s">
        <v>135</v>
      </c>
      <c r="K81" s="31"/>
      <c r="L81" s="31"/>
      <c r="M81" s="34">
        <f t="shared" si="25"/>
        <v>0</v>
      </c>
      <c r="N81" s="31" t="s">
        <v>105</v>
      </c>
      <c r="O81" s="31" t="s">
        <v>106</v>
      </c>
      <c r="P81" s="37" t="s">
        <v>107</v>
      </c>
      <c r="Q81" s="31"/>
      <c r="R81" s="31"/>
      <c r="S81" s="31"/>
      <c r="T81" s="31"/>
      <c r="U81" s="31"/>
      <c r="V81" s="31"/>
      <c r="W81" s="31"/>
      <c r="X81" s="31" t="s">
        <v>108</v>
      </c>
      <c r="Y81" s="31" t="s">
        <v>109</v>
      </c>
      <c r="Z81" s="31"/>
      <c r="AA81" s="31"/>
      <c r="AB81" s="31"/>
      <c r="AD81" s="11">
        <f t="shared" si="26"/>
        <v>0</v>
      </c>
      <c r="AE81" s="11">
        <f t="shared" si="27"/>
        <v>0</v>
      </c>
      <c r="AF81" s="11">
        <f t="shared" si="108"/>
        <v>1</v>
      </c>
      <c r="AH81" s="11">
        <f t="shared" si="28"/>
        <v>0</v>
      </c>
      <c r="AI81" s="11">
        <f t="shared" si="29"/>
        <v>0</v>
      </c>
      <c r="AJ81" s="11">
        <f t="shared" si="30"/>
        <v>0</v>
      </c>
      <c r="AK81" s="22">
        <v>1</v>
      </c>
      <c r="AM81" s="11">
        <f t="shared" ref="AM81:AN81" si="259">SUMIFS(AO$3:AO$251,$A$3:$A$251,$A81)</f>
        <v>0</v>
      </c>
      <c r="AN81" s="11">
        <f t="shared" si="259"/>
        <v>1</v>
      </c>
      <c r="AO81" s="11">
        <f t="shared" si="32"/>
        <v>0</v>
      </c>
      <c r="AP81" s="22">
        <v>1</v>
      </c>
      <c r="AQ81" s="22"/>
      <c r="AR81" s="22">
        <f t="shared" si="33"/>
        <v>0</v>
      </c>
      <c r="AS81" s="22">
        <f t="shared" ref="AS81:AV81" si="260">IF(OR(G81="",G81="TBD",G81="N/A",G81="SDK",G81="SAAS"),0,1)</f>
        <v>0</v>
      </c>
      <c r="AT81" s="22">
        <f t="shared" si="260"/>
        <v>0</v>
      </c>
      <c r="AU81" s="22">
        <f t="shared" si="260"/>
        <v>0</v>
      </c>
      <c r="AV81" s="22">
        <f t="shared" si="260"/>
        <v>0</v>
      </c>
      <c r="AX81" s="11">
        <f t="shared" si="35"/>
        <v>4</v>
      </c>
      <c r="AY81" s="22">
        <f t="shared" ref="AY81:BB81" si="261">IF(OR(G81="",G81="N/A",G81="SDK",G81="SAAS"),0,1)</f>
        <v>1</v>
      </c>
      <c r="AZ81" s="22">
        <f t="shared" si="261"/>
        <v>1</v>
      </c>
      <c r="BA81" s="22">
        <f t="shared" si="261"/>
        <v>1</v>
      </c>
      <c r="BB81" s="22">
        <f t="shared" si="261"/>
        <v>1</v>
      </c>
    </row>
    <row r="82" spans="1:54">
      <c r="D82" s="4"/>
      <c r="E82" s="4"/>
      <c r="F82" s="4"/>
    </row>
    <row r="83" spans="1:54">
      <c r="D83" s="4"/>
      <c r="E83" s="4"/>
      <c r="F83" s="4"/>
    </row>
    <row r="84" spans="1:54">
      <c r="D84" s="4"/>
      <c r="E84" s="4"/>
      <c r="F84" s="4"/>
    </row>
    <row r="85" spans="1:54">
      <c r="D85" s="4"/>
      <c r="E85" s="4"/>
      <c r="F85" s="4"/>
    </row>
    <row r="86" spans="1:54">
      <c r="D86" s="4"/>
      <c r="E86" s="4"/>
      <c r="F86" s="4"/>
    </row>
    <row r="87" spans="1:54">
      <c r="D87" s="4"/>
      <c r="E87" s="4"/>
      <c r="F87" s="4"/>
    </row>
    <row r="88" spans="1:54">
      <c r="D88" s="4"/>
      <c r="E88" s="4"/>
      <c r="F88" s="4"/>
    </row>
    <row r="89" spans="1:54">
      <c r="D89" s="4"/>
      <c r="E89" s="4"/>
      <c r="F89" s="4"/>
    </row>
    <row r="90" spans="1:54">
      <c r="D90" s="4"/>
      <c r="E90" s="4"/>
      <c r="F90" s="4"/>
    </row>
    <row r="91" spans="1:54">
      <c r="D91" s="4"/>
      <c r="E91" s="4"/>
      <c r="F91" s="4"/>
    </row>
    <row r="92" spans="1:54">
      <c r="D92" s="4"/>
      <c r="E92" s="4"/>
      <c r="F92" s="4"/>
    </row>
    <row r="93" spans="1:54">
      <c r="D93" s="4"/>
      <c r="E93" s="4"/>
      <c r="F93" s="4"/>
    </row>
    <row r="94" spans="1:54">
      <c r="D94" s="4"/>
      <c r="E94" s="4"/>
      <c r="F94" s="4"/>
    </row>
    <row r="95" spans="1:54">
      <c r="D95" s="4"/>
      <c r="E95" s="4"/>
      <c r="F95" s="4"/>
    </row>
    <row r="96" spans="1:54">
      <c r="D96" s="4"/>
      <c r="E96" s="4"/>
      <c r="F96" s="4"/>
    </row>
    <row r="97" spans="4:6">
      <c r="D97" s="4"/>
      <c r="E97" s="4"/>
      <c r="F97" s="4"/>
    </row>
    <row r="98" spans="4:6">
      <c r="D98" s="4"/>
      <c r="E98" s="4"/>
      <c r="F98" s="4"/>
    </row>
    <row r="99" spans="4:6">
      <c r="D99" s="4"/>
      <c r="E99" s="4"/>
      <c r="F99" s="4"/>
    </row>
    <row r="100" spans="4:6">
      <c r="D100" s="4"/>
      <c r="E100" s="4"/>
      <c r="F100" s="4"/>
    </row>
    <row r="101" spans="4:6">
      <c r="D101" s="4"/>
      <c r="E101" s="4"/>
      <c r="F101" s="4"/>
    </row>
    <row r="102" spans="4:6">
      <c r="D102" s="4"/>
      <c r="E102" s="4"/>
      <c r="F102" s="4"/>
    </row>
    <row r="103" spans="4:6">
      <c r="D103" s="4"/>
      <c r="E103" s="4"/>
      <c r="F103" s="4"/>
    </row>
    <row r="104" spans="4:6">
      <c r="D104" s="4"/>
      <c r="E104" s="4"/>
      <c r="F104" s="4"/>
    </row>
    <row r="105" spans="4:6">
      <c r="D105" s="4"/>
      <c r="E105" s="4"/>
      <c r="F105" s="4"/>
    </row>
    <row r="106" spans="4:6">
      <c r="D106" s="4"/>
      <c r="E106" s="4"/>
      <c r="F106" s="4"/>
    </row>
    <row r="107" spans="4:6">
      <c r="D107" s="4"/>
      <c r="E107" s="4"/>
      <c r="F107" s="4"/>
    </row>
    <row r="108" spans="4:6">
      <c r="D108" s="4"/>
      <c r="E108" s="4"/>
      <c r="F108" s="4"/>
    </row>
    <row r="109" spans="4:6">
      <c r="D109" s="4"/>
      <c r="E109" s="4"/>
      <c r="F109" s="4"/>
    </row>
    <row r="110" spans="4:6">
      <c r="D110" s="4"/>
      <c r="E110" s="4"/>
      <c r="F110" s="4"/>
    </row>
    <row r="111" spans="4:6">
      <c r="D111" s="4"/>
      <c r="E111" s="4"/>
      <c r="F111" s="4"/>
    </row>
    <row r="112" spans="4:6">
      <c r="D112" s="4"/>
      <c r="E112" s="4"/>
      <c r="F112" s="4"/>
    </row>
    <row r="113" spans="4:6">
      <c r="D113" s="4"/>
      <c r="E113" s="4"/>
      <c r="F113" s="4"/>
    </row>
    <row r="114" spans="4:6">
      <c r="D114" s="4"/>
      <c r="E114" s="4"/>
      <c r="F114" s="4"/>
    </row>
    <row r="115" spans="4:6">
      <c r="D115" s="4"/>
      <c r="E115" s="4"/>
      <c r="F115" s="4"/>
    </row>
    <row r="116" spans="4:6">
      <c r="D116" s="4"/>
      <c r="E116" s="4"/>
      <c r="F116" s="4"/>
    </row>
    <row r="117" spans="4:6">
      <c r="D117" s="4"/>
      <c r="E117" s="4"/>
      <c r="F117" s="4"/>
    </row>
    <row r="118" spans="4:6">
      <c r="D118" s="4"/>
      <c r="E118" s="4"/>
      <c r="F118" s="4"/>
    </row>
    <row r="119" spans="4:6">
      <c r="D119" s="4"/>
      <c r="E119" s="4"/>
      <c r="F119" s="4"/>
    </row>
    <row r="120" spans="4:6">
      <c r="D120" s="4"/>
      <c r="E120" s="4"/>
      <c r="F120" s="4"/>
    </row>
    <row r="121" spans="4:6">
      <c r="D121" s="4"/>
      <c r="E121" s="4"/>
      <c r="F121" s="4"/>
    </row>
    <row r="122" spans="4:6">
      <c r="D122" s="4"/>
      <c r="E122" s="4"/>
      <c r="F122" s="4"/>
    </row>
    <row r="123" spans="4:6">
      <c r="D123" s="4"/>
      <c r="E123" s="4"/>
      <c r="F123" s="4"/>
    </row>
    <row r="124" spans="4:6">
      <c r="D124" s="4"/>
      <c r="E124" s="4"/>
      <c r="F124" s="4"/>
    </row>
    <row r="125" spans="4:6">
      <c r="D125" s="4"/>
      <c r="E125" s="4"/>
      <c r="F125" s="4"/>
    </row>
    <row r="126" spans="4:6">
      <c r="D126" s="4"/>
      <c r="E126" s="4"/>
      <c r="F126" s="4"/>
    </row>
    <row r="127" spans="4:6">
      <c r="D127" s="4"/>
      <c r="E127" s="4"/>
      <c r="F127" s="4"/>
    </row>
    <row r="128" spans="4:6">
      <c r="D128" s="4"/>
      <c r="E128" s="4"/>
      <c r="F128" s="4"/>
    </row>
    <row r="129" spans="4:6">
      <c r="D129" s="4"/>
      <c r="E129" s="4"/>
      <c r="F129" s="4"/>
    </row>
    <row r="130" spans="4:6">
      <c r="D130" s="4"/>
      <c r="E130" s="4"/>
      <c r="F130" s="4"/>
    </row>
    <row r="131" spans="4:6">
      <c r="D131" s="4"/>
      <c r="E131" s="4"/>
      <c r="F131" s="4"/>
    </row>
    <row r="132" spans="4:6">
      <c r="D132" s="4"/>
      <c r="E132" s="4"/>
      <c r="F132" s="4"/>
    </row>
    <row r="133" spans="4:6">
      <c r="D133" s="4"/>
      <c r="E133" s="4"/>
      <c r="F133" s="4"/>
    </row>
    <row r="134" spans="4:6">
      <c r="D134" s="4"/>
      <c r="E134" s="4"/>
      <c r="F134" s="4"/>
    </row>
    <row r="135" spans="4:6">
      <c r="D135" s="4"/>
      <c r="E135" s="4"/>
      <c r="F135" s="4"/>
    </row>
    <row r="136" spans="4:6">
      <c r="D136" s="4"/>
      <c r="E136" s="4"/>
      <c r="F136" s="4"/>
    </row>
    <row r="137" spans="4:6">
      <c r="D137" s="4"/>
      <c r="E137" s="4"/>
      <c r="F137" s="4"/>
    </row>
    <row r="138" spans="4:6">
      <c r="D138" s="4"/>
      <c r="E138" s="4"/>
      <c r="F138" s="4"/>
    </row>
    <row r="139" spans="4:6">
      <c r="D139" s="4"/>
      <c r="E139" s="4"/>
      <c r="F139" s="4"/>
    </row>
    <row r="140" spans="4:6">
      <c r="D140" s="4"/>
      <c r="E140" s="4"/>
      <c r="F140" s="4"/>
    </row>
    <row r="141" spans="4:6">
      <c r="D141" s="4"/>
      <c r="E141" s="4"/>
      <c r="F141" s="4"/>
    </row>
    <row r="142" spans="4:6">
      <c r="D142" s="4"/>
      <c r="E142" s="4"/>
      <c r="F142" s="4"/>
    </row>
    <row r="143" spans="4:6">
      <c r="D143" s="4"/>
      <c r="E143" s="4"/>
      <c r="F143" s="4"/>
    </row>
    <row r="144" spans="4:6">
      <c r="D144" s="4"/>
      <c r="E144" s="4"/>
      <c r="F144" s="4"/>
    </row>
    <row r="145" spans="4:12">
      <c r="D145" s="4"/>
      <c r="E145" s="4"/>
      <c r="F145" s="4"/>
    </row>
    <row r="146" spans="4:12">
      <c r="D146" s="4"/>
      <c r="E146" s="4"/>
      <c r="F146" s="4"/>
      <c r="K146" s="11" t="s">
        <v>291</v>
      </c>
      <c r="L146" s="11">
        <f>SUM(L3:L81)</f>
        <v>84</v>
      </c>
    </row>
    <row r="147" spans="4:12">
      <c r="D147" s="4"/>
      <c r="E147" s="4"/>
      <c r="F147" s="4"/>
      <c r="K147" s="11" t="s">
        <v>292</v>
      </c>
      <c r="L147" s="11">
        <v>3.5</v>
      </c>
    </row>
    <row r="148" spans="4:12">
      <c r="D148" s="4"/>
      <c r="E148" s="4"/>
      <c r="F148" s="4"/>
      <c r="K148" s="11" t="s">
        <v>293</v>
      </c>
      <c r="L148" s="101">
        <f>L146*3.5</f>
        <v>294</v>
      </c>
    </row>
    <row r="149" spans="4:12">
      <c r="D149" s="4"/>
      <c r="E149" s="4"/>
      <c r="F149" s="4"/>
    </row>
    <row r="150" spans="4:12">
      <c r="D150" s="4"/>
      <c r="E150" s="4"/>
      <c r="F150" s="4"/>
    </row>
    <row r="151" spans="4:12">
      <c r="D151" s="4"/>
      <c r="E151" s="4"/>
      <c r="F151" s="4"/>
    </row>
    <row r="152" spans="4:12">
      <c r="D152" s="4"/>
      <c r="E152" s="4"/>
      <c r="F152" s="4"/>
    </row>
    <row r="153" spans="4:12">
      <c r="D153" s="4"/>
      <c r="E153" s="4"/>
      <c r="F153" s="4"/>
    </row>
    <row r="154" spans="4:12">
      <c r="D154" s="4"/>
      <c r="E154" s="4"/>
      <c r="F154" s="4"/>
    </row>
    <row r="155" spans="4:12">
      <c r="D155" s="4"/>
      <c r="E155" s="4"/>
      <c r="F155" s="4"/>
    </row>
    <row r="156" spans="4:12">
      <c r="D156" s="4"/>
      <c r="E156" s="4"/>
      <c r="F156" s="4"/>
    </row>
    <row r="157" spans="4:12">
      <c r="D157" s="4"/>
      <c r="E157" s="4"/>
      <c r="F157" s="4"/>
    </row>
    <row r="158" spans="4:12">
      <c r="D158" s="4"/>
      <c r="E158" s="4"/>
      <c r="F158" s="4"/>
    </row>
    <row r="159" spans="4:12">
      <c r="D159" s="4"/>
      <c r="E159" s="4"/>
      <c r="F159" s="4"/>
    </row>
    <row r="160" spans="4:12">
      <c r="D160" s="4"/>
      <c r="E160" s="4"/>
      <c r="F160" s="4"/>
    </row>
    <row r="161" spans="4:6">
      <c r="D161" s="4"/>
      <c r="E161" s="4"/>
      <c r="F161" s="4"/>
    </row>
    <row r="162" spans="4:6">
      <c r="D162" s="4"/>
      <c r="E162" s="4"/>
      <c r="F162" s="4"/>
    </row>
    <row r="163" spans="4:6">
      <c r="D163" s="4"/>
      <c r="E163" s="4"/>
      <c r="F163" s="4"/>
    </row>
    <row r="164" spans="4:6">
      <c r="D164" s="4"/>
      <c r="E164" s="4"/>
      <c r="F164" s="4"/>
    </row>
    <row r="165" spans="4:6">
      <c r="D165" s="4"/>
      <c r="E165" s="4"/>
      <c r="F165" s="4"/>
    </row>
    <row r="166" spans="4:6">
      <c r="D166" s="4"/>
      <c r="E166" s="4"/>
      <c r="F166" s="4"/>
    </row>
    <row r="167" spans="4:6">
      <c r="D167" s="4"/>
      <c r="E167" s="4"/>
      <c r="F167" s="4"/>
    </row>
    <row r="168" spans="4:6">
      <c r="D168" s="4"/>
      <c r="E168" s="4"/>
      <c r="F168" s="4"/>
    </row>
    <row r="169" spans="4:6">
      <c r="D169" s="4"/>
      <c r="E169" s="4"/>
      <c r="F169" s="4"/>
    </row>
    <row r="170" spans="4:6">
      <c r="D170" s="4"/>
      <c r="E170" s="4"/>
      <c r="F170" s="4"/>
    </row>
    <row r="171" spans="4:6">
      <c r="D171" s="4"/>
      <c r="E171" s="4"/>
      <c r="F171" s="4"/>
    </row>
    <row r="172" spans="4:6">
      <c r="D172" s="4"/>
      <c r="E172" s="4"/>
      <c r="F172" s="4"/>
    </row>
    <row r="173" spans="4:6">
      <c r="D173" s="4"/>
      <c r="E173" s="4"/>
      <c r="F173" s="4"/>
    </row>
    <row r="174" spans="4:6">
      <c r="D174" s="4"/>
      <c r="E174" s="4"/>
      <c r="F174" s="4"/>
    </row>
    <row r="175" spans="4:6">
      <c r="D175" s="4"/>
      <c r="E175" s="4"/>
      <c r="F175" s="4"/>
    </row>
    <row r="176" spans="4:6">
      <c r="D176" s="4"/>
      <c r="E176" s="4"/>
      <c r="F176" s="4"/>
    </row>
    <row r="177" spans="4:6">
      <c r="D177" s="4"/>
      <c r="E177" s="4"/>
      <c r="F177" s="4"/>
    </row>
    <row r="178" spans="4:6">
      <c r="D178" s="4"/>
      <c r="E178" s="4"/>
      <c r="F178" s="4"/>
    </row>
    <row r="179" spans="4:6">
      <c r="D179" s="4"/>
      <c r="E179" s="4"/>
      <c r="F179" s="4"/>
    </row>
    <row r="180" spans="4:6">
      <c r="D180" s="4"/>
      <c r="E180" s="4"/>
      <c r="F180" s="4"/>
    </row>
    <row r="181" spans="4:6">
      <c r="D181" s="4"/>
      <c r="E181" s="4"/>
      <c r="F181" s="4"/>
    </row>
    <row r="182" spans="4:6">
      <c r="D182" s="4"/>
      <c r="E182" s="4"/>
      <c r="F182" s="4"/>
    </row>
    <row r="183" spans="4:6">
      <c r="D183" s="4"/>
      <c r="E183" s="4"/>
      <c r="F183" s="4"/>
    </row>
    <row r="184" spans="4:6">
      <c r="D184" s="4"/>
      <c r="E184" s="4"/>
      <c r="F184" s="4"/>
    </row>
    <row r="185" spans="4:6">
      <c r="D185" s="4"/>
      <c r="E185" s="4"/>
      <c r="F185" s="4"/>
    </row>
    <row r="186" spans="4:6">
      <c r="D186" s="4"/>
      <c r="E186" s="4"/>
      <c r="F186" s="4"/>
    </row>
    <row r="187" spans="4:6">
      <c r="D187" s="4"/>
      <c r="E187" s="4"/>
      <c r="F187" s="4"/>
    </row>
    <row r="188" spans="4:6">
      <c r="D188" s="4"/>
      <c r="E188" s="4"/>
      <c r="F188" s="4"/>
    </row>
    <row r="189" spans="4:6">
      <c r="D189" s="4"/>
      <c r="E189" s="4"/>
      <c r="F189" s="4"/>
    </row>
    <row r="190" spans="4:6">
      <c r="D190" s="4"/>
      <c r="E190" s="4"/>
      <c r="F190" s="4"/>
    </row>
    <row r="191" spans="4:6">
      <c r="D191" s="4"/>
      <c r="E191" s="4"/>
      <c r="F191" s="4"/>
    </row>
    <row r="192" spans="4:6">
      <c r="D192" s="4"/>
      <c r="E192" s="4"/>
      <c r="F192" s="4"/>
    </row>
    <row r="193" spans="4:6">
      <c r="D193" s="4"/>
      <c r="E193" s="4"/>
      <c r="F193" s="4"/>
    </row>
    <row r="194" spans="4:6">
      <c r="D194" s="4"/>
      <c r="E194" s="4"/>
      <c r="F194" s="4"/>
    </row>
    <row r="195" spans="4:6">
      <c r="D195" s="4"/>
      <c r="E195" s="4"/>
      <c r="F195" s="4"/>
    </row>
    <row r="196" spans="4:6">
      <c r="D196" s="4"/>
      <c r="E196" s="4"/>
      <c r="F196" s="4"/>
    </row>
    <row r="197" spans="4:6">
      <c r="D197" s="4"/>
      <c r="E197" s="4"/>
      <c r="F197" s="4"/>
    </row>
    <row r="198" spans="4:6">
      <c r="D198" s="4"/>
      <c r="E198" s="4"/>
      <c r="F198" s="4"/>
    </row>
    <row r="199" spans="4:6">
      <c r="D199" s="4"/>
      <c r="E199" s="4"/>
      <c r="F199" s="4"/>
    </row>
    <row r="200" spans="4:6">
      <c r="D200" s="4"/>
      <c r="E200" s="4"/>
      <c r="F200" s="4"/>
    </row>
    <row r="201" spans="4:6">
      <c r="D201" s="4"/>
      <c r="E201" s="4"/>
      <c r="F201" s="4"/>
    </row>
    <row r="202" spans="4:6">
      <c r="D202" s="4"/>
      <c r="E202" s="4"/>
      <c r="F202" s="4"/>
    </row>
    <row r="203" spans="4:6">
      <c r="D203" s="4"/>
      <c r="E203" s="4"/>
      <c r="F203" s="4"/>
    </row>
    <row r="204" spans="4:6">
      <c r="D204" s="4"/>
      <c r="E204" s="4"/>
      <c r="F204" s="4"/>
    </row>
    <row r="205" spans="4:6">
      <c r="D205" s="4"/>
      <c r="E205" s="4"/>
      <c r="F205" s="4"/>
    </row>
    <row r="206" spans="4:6">
      <c r="D206" s="4"/>
      <c r="E206" s="4"/>
      <c r="F206" s="4"/>
    </row>
    <row r="207" spans="4:6">
      <c r="D207" s="4"/>
      <c r="E207" s="4"/>
      <c r="F207" s="4"/>
    </row>
    <row r="208" spans="4:6">
      <c r="D208" s="4"/>
      <c r="E208" s="4"/>
      <c r="F208" s="4"/>
    </row>
    <row r="209" spans="4:6">
      <c r="D209" s="4"/>
      <c r="E209" s="4"/>
      <c r="F209" s="4"/>
    </row>
    <row r="210" spans="4:6">
      <c r="D210" s="4"/>
      <c r="E210" s="4"/>
      <c r="F210" s="4"/>
    </row>
    <row r="211" spans="4:6">
      <c r="D211" s="4"/>
      <c r="E211" s="4"/>
      <c r="F211" s="4"/>
    </row>
    <row r="212" spans="4:6">
      <c r="D212" s="4"/>
      <c r="E212" s="4"/>
      <c r="F212" s="4"/>
    </row>
    <row r="213" spans="4:6">
      <c r="D213" s="4"/>
      <c r="E213" s="4"/>
      <c r="F213" s="4"/>
    </row>
    <row r="214" spans="4:6">
      <c r="D214" s="4"/>
      <c r="E214" s="4"/>
      <c r="F214" s="4"/>
    </row>
    <row r="215" spans="4:6">
      <c r="D215" s="4"/>
      <c r="E215" s="4"/>
      <c r="F215" s="4"/>
    </row>
    <row r="216" spans="4:6">
      <c r="D216" s="4"/>
      <c r="E216" s="4"/>
      <c r="F216" s="4"/>
    </row>
    <row r="217" spans="4:6">
      <c r="D217" s="4"/>
      <c r="E217" s="4"/>
      <c r="F217" s="4"/>
    </row>
    <row r="218" spans="4:6">
      <c r="D218" s="4"/>
      <c r="E218" s="4"/>
      <c r="F218" s="4"/>
    </row>
    <row r="219" spans="4:6">
      <c r="D219" s="4"/>
      <c r="E219" s="4"/>
      <c r="F219" s="4"/>
    </row>
    <row r="220" spans="4:6">
      <c r="D220" s="4"/>
      <c r="E220" s="4"/>
      <c r="F220" s="4"/>
    </row>
    <row r="221" spans="4:6">
      <c r="D221" s="4"/>
      <c r="E221" s="4"/>
      <c r="F221" s="4"/>
    </row>
    <row r="222" spans="4:6">
      <c r="D222" s="4"/>
      <c r="E222" s="4"/>
      <c r="F222" s="4"/>
    </row>
    <row r="223" spans="4:6">
      <c r="D223" s="4"/>
      <c r="E223" s="4"/>
      <c r="F223" s="4"/>
    </row>
    <row r="224" spans="4:6">
      <c r="D224" s="4"/>
      <c r="E224" s="4"/>
      <c r="F224" s="4"/>
    </row>
    <row r="225" spans="4:6">
      <c r="D225" s="4"/>
      <c r="E225" s="4"/>
      <c r="F225" s="4"/>
    </row>
    <row r="226" spans="4:6">
      <c r="D226" s="4"/>
      <c r="E226" s="4"/>
      <c r="F226" s="4"/>
    </row>
    <row r="227" spans="4:6">
      <c r="D227" s="4"/>
      <c r="E227" s="4"/>
      <c r="F227" s="4"/>
    </row>
    <row r="228" spans="4:6">
      <c r="D228" s="4"/>
      <c r="E228" s="4"/>
      <c r="F228" s="4"/>
    </row>
    <row r="229" spans="4:6">
      <c r="D229" s="4"/>
      <c r="E229" s="4"/>
      <c r="F229" s="4"/>
    </row>
    <row r="230" spans="4:6">
      <c r="D230" s="4"/>
      <c r="E230" s="4"/>
      <c r="F230" s="4"/>
    </row>
    <row r="231" spans="4:6">
      <c r="D231" s="4"/>
      <c r="E231" s="4"/>
      <c r="F231" s="4"/>
    </row>
    <row r="232" spans="4:6">
      <c r="D232" s="4"/>
      <c r="E232" s="4"/>
      <c r="F232" s="4"/>
    </row>
    <row r="233" spans="4:6">
      <c r="D233" s="4"/>
      <c r="E233" s="4"/>
      <c r="F233" s="4"/>
    </row>
    <row r="234" spans="4:6">
      <c r="D234" s="4"/>
      <c r="E234" s="4"/>
      <c r="F234" s="4"/>
    </row>
    <row r="235" spans="4:6">
      <c r="D235" s="4"/>
      <c r="E235" s="4"/>
      <c r="F235" s="4"/>
    </row>
    <row r="236" spans="4:6">
      <c r="D236" s="4"/>
      <c r="E236" s="4"/>
      <c r="F236" s="4"/>
    </row>
    <row r="237" spans="4:6">
      <c r="D237" s="4"/>
      <c r="E237" s="4"/>
      <c r="F237" s="4"/>
    </row>
    <row r="238" spans="4:6">
      <c r="D238" s="4"/>
      <c r="E238" s="4"/>
      <c r="F238" s="4"/>
    </row>
    <row r="239" spans="4:6">
      <c r="D239" s="4"/>
      <c r="E239" s="4"/>
      <c r="F239" s="4"/>
    </row>
    <row r="240" spans="4:6">
      <c r="D240" s="4"/>
      <c r="E240" s="4"/>
      <c r="F240" s="4"/>
    </row>
    <row r="241" spans="4:6">
      <c r="D241" s="4"/>
      <c r="E241" s="4"/>
      <c r="F241" s="4"/>
    </row>
    <row r="242" spans="4:6">
      <c r="D242" s="4"/>
      <c r="E242" s="4"/>
      <c r="F242" s="4"/>
    </row>
    <row r="243" spans="4:6">
      <c r="D243" s="4"/>
      <c r="E243" s="4"/>
      <c r="F243" s="4"/>
    </row>
    <row r="244" spans="4:6">
      <c r="D244" s="4"/>
      <c r="E244" s="4"/>
      <c r="F244" s="4"/>
    </row>
    <row r="245" spans="4:6">
      <c r="D245" s="4"/>
      <c r="E245" s="4"/>
      <c r="F245" s="4"/>
    </row>
    <row r="246" spans="4:6">
      <c r="D246" s="4"/>
      <c r="E246" s="4"/>
      <c r="F246" s="4"/>
    </row>
    <row r="247" spans="4:6">
      <c r="D247" s="4"/>
      <c r="E247" s="4"/>
      <c r="F247" s="4"/>
    </row>
    <row r="248" spans="4:6">
      <c r="D248" s="4"/>
      <c r="E248" s="4"/>
      <c r="F248" s="4"/>
    </row>
    <row r="249" spans="4:6">
      <c r="D249" s="4"/>
      <c r="E249" s="4"/>
      <c r="F249" s="4"/>
    </row>
    <row r="250" spans="4:6">
      <c r="D250" s="4"/>
      <c r="E250" s="4"/>
      <c r="F250" s="4"/>
    </row>
    <row r="251" spans="4:6">
      <c r="D251" s="4"/>
      <c r="E251" s="4"/>
      <c r="F251" s="4"/>
    </row>
    <row r="252" spans="4:6">
      <c r="D252" s="4"/>
      <c r="E252" s="4"/>
      <c r="F252" s="4"/>
    </row>
    <row r="253" spans="4:6">
      <c r="D253" s="4"/>
      <c r="E253" s="4"/>
      <c r="F253" s="4"/>
    </row>
    <row r="254" spans="4:6">
      <c r="D254" s="4"/>
      <c r="E254" s="4"/>
      <c r="F254" s="4"/>
    </row>
    <row r="255" spans="4:6">
      <c r="D255" s="4"/>
      <c r="E255" s="4"/>
      <c r="F255" s="4"/>
    </row>
    <row r="256" spans="4:6">
      <c r="D256" s="4"/>
      <c r="E256" s="4"/>
      <c r="F256" s="4"/>
    </row>
    <row r="257" spans="4:6">
      <c r="D257" s="4"/>
      <c r="E257" s="4"/>
      <c r="F257" s="4"/>
    </row>
    <row r="258" spans="4:6">
      <c r="D258" s="4"/>
      <c r="E258" s="4"/>
      <c r="F258" s="4"/>
    </row>
    <row r="259" spans="4:6">
      <c r="D259" s="4"/>
      <c r="E259" s="4"/>
      <c r="F259" s="4"/>
    </row>
    <row r="260" spans="4:6">
      <c r="D260" s="4"/>
      <c r="E260" s="4"/>
      <c r="F260" s="4"/>
    </row>
    <row r="261" spans="4:6">
      <c r="D261" s="4"/>
      <c r="E261" s="4"/>
      <c r="F261" s="4"/>
    </row>
    <row r="262" spans="4:6">
      <c r="D262" s="4"/>
      <c r="E262" s="4"/>
      <c r="F262" s="4"/>
    </row>
    <row r="263" spans="4:6">
      <c r="D263" s="4"/>
      <c r="E263" s="4"/>
      <c r="F263" s="4"/>
    </row>
    <row r="264" spans="4:6">
      <c r="D264" s="4"/>
      <c r="E264" s="4"/>
      <c r="F264" s="4"/>
    </row>
    <row r="265" spans="4:6">
      <c r="D265" s="4"/>
      <c r="E265" s="4"/>
      <c r="F265" s="4"/>
    </row>
    <row r="266" spans="4:6">
      <c r="D266" s="4"/>
      <c r="E266" s="4"/>
      <c r="F266" s="4"/>
    </row>
    <row r="267" spans="4:6">
      <c r="D267" s="4"/>
      <c r="E267" s="4"/>
      <c r="F267" s="4"/>
    </row>
    <row r="268" spans="4:6">
      <c r="D268" s="4"/>
      <c r="E268" s="4"/>
      <c r="F268" s="4"/>
    </row>
    <row r="269" spans="4:6">
      <c r="D269" s="4"/>
      <c r="E269" s="4"/>
      <c r="F269" s="4"/>
    </row>
    <row r="270" spans="4:6">
      <c r="D270" s="4"/>
      <c r="E270" s="4"/>
      <c r="F270" s="4"/>
    </row>
    <row r="271" spans="4:6">
      <c r="D271" s="4"/>
      <c r="E271" s="4"/>
      <c r="F271" s="4"/>
    </row>
    <row r="272" spans="4:6">
      <c r="D272" s="4"/>
      <c r="E272" s="4"/>
      <c r="F272" s="4"/>
    </row>
    <row r="273" spans="4:6">
      <c r="D273" s="4"/>
      <c r="E273" s="4"/>
      <c r="F273" s="4"/>
    </row>
    <row r="274" spans="4:6">
      <c r="D274" s="4"/>
      <c r="E274" s="4"/>
      <c r="F274" s="4"/>
    </row>
    <row r="275" spans="4:6">
      <c r="D275" s="4"/>
      <c r="E275" s="4"/>
      <c r="F275" s="4"/>
    </row>
    <row r="276" spans="4:6">
      <c r="D276" s="4"/>
      <c r="E276" s="4"/>
      <c r="F276" s="4"/>
    </row>
    <row r="277" spans="4:6">
      <c r="D277" s="4"/>
      <c r="E277" s="4"/>
      <c r="F277" s="4"/>
    </row>
    <row r="278" spans="4:6">
      <c r="D278" s="4"/>
      <c r="E278" s="4"/>
      <c r="F278" s="4"/>
    </row>
    <row r="279" spans="4:6">
      <c r="D279" s="4"/>
      <c r="E279" s="4"/>
      <c r="F279" s="4"/>
    </row>
    <row r="280" spans="4:6">
      <c r="D280" s="4"/>
      <c r="E280" s="4"/>
      <c r="F280" s="4"/>
    </row>
    <row r="281" spans="4:6">
      <c r="D281" s="4"/>
      <c r="E281" s="4"/>
      <c r="F281" s="4"/>
    </row>
    <row r="282" spans="4:6">
      <c r="D282" s="4"/>
      <c r="E282" s="4"/>
      <c r="F282" s="4"/>
    </row>
    <row r="283" spans="4:6">
      <c r="D283" s="4"/>
      <c r="E283" s="4"/>
      <c r="F283" s="4"/>
    </row>
    <row r="284" spans="4:6">
      <c r="D284" s="4"/>
      <c r="E284" s="4"/>
      <c r="F284" s="4"/>
    </row>
    <row r="285" spans="4:6">
      <c r="D285" s="4"/>
      <c r="E285" s="4"/>
      <c r="F285" s="4"/>
    </row>
    <row r="286" spans="4:6">
      <c r="D286" s="4"/>
      <c r="E286" s="4"/>
      <c r="F286" s="4"/>
    </row>
    <row r="287" spans="4:6">
      <c r="D287" s="4"/>
      <c r="E287" s="4"/>
      <c r="F287" s="4"/>
    </row>
    <row r="288" spans="4:6">
      <c r="D288" s="4"/>
      <c r="E288" s="4"/>
      <c r="F288" s="4"/>
    </row>
    <row r="289" spans="4:6">
      <c r="D289" s="4"/>
      <c r="E289" s="4"/>
      <c r="F289" s="4"/>
    </row>
    <row r="290" spans="4:6">
      <c r="D290" s="4"/>
      <c r="E290" s="4"/>
      <c r="F290" s="4"/>
    </row>
    <row r="291" spans="4:6">
      <c r="D291" s="4"/>
      <c r="E291" s="4"/>
      <c r="F291" s="4"/>
    </row>
    <row r="292" spans="4:6">
      <c r="D292" s="4"/>
      <c r="E292" s="4"/>
      <c r="F292" s="4"/>
    </row>
    <row r="293" spans="4:6">
      <c r="D293" s="4"/>
      <c r="E293" s="4"/>
      <c r="F293" s="4"/>
    </row>
    <row r="294" spans="4:6">
      <c r="D294" s="4"/>
      <c r="E294" s="4"/>
      <c r="F294" s="4"/>
    </row>
    <row r="295" spans="4:6">
      <c r="D295" s="4"/>
      <c r="E295" s="4"/>
      <c r="F295" s="4"/>
    </row>
    <row r="296" spans="4:6">
      <c r="D296" s="4"/>
      <c r="E296" s="4"/>
      <c r="F296" s="4"/>
    </row>
    <row r="297" spans="4:6">
      <c r="D297" s="4"/>
      <c r="E297" s="4"/>
      <c r="F297" s="4"/>
    </row>
    <row r="298" spans="4:6">
      <c r="D298" s="4"/>
      <c r="E298" s="4"/>
      <c r="F298" s="4"/>
    </row>
    <row r="299" spans="4:6">
      <c r="D299" s="4"/>
      <c r="E299" s="4"/>
      <c r="F299" s="4"/>
    </row>
    <row r="300" spans="4:6">
      <c r="D300" s="4"/>
      <c r="E300" s="4"/>
      <c r="F300" s="4"/>
    </row>
    <row r="301" spans="4:6">
      <c r="D301" s="4"/>
      <c r="E301" s="4"/>
      <c r="F301" s="4"/>
    </row>
    <row r="302" spans="4:6">
      <c r="D302" s="4"/>
      <c r="E302" s="4"/>
      <c r="F302" s="4"/>
    </row>
    <row r="303" spans="4:6">
      <c r="D303" s="4"/>
      <c r="E303" s="4"/>
      <c r="F303" s="4"/>
    </row>
    <row r="304" spans="4:6">
      <c r="D304" s="4"/>
      <c r="E304" s="4"/>
      <c r="F304" s="4"/>
    </row>
    <row r="305" spans="4:6">
      <c r="D305" s="4"/>
      <c r="E305" s="4"/>
      <c r="F305" s="4"/>
    </row>
    <row r="306" spans="4:6">
      <c r="D306" s="4"/>
      <c r="E306" s="4"/>
      <c r="F306" s="4"/>
    </row>
    <row r="307" spans="4:6">
      <c r="D307" s="4"/>
      <c r="E307" s="4"/>
      <c r="F307" s="4"/>
    </row>
    <row r="308" spans="4:6">
      <c r="D308" s="4"/>
      <c r="E308" s="4"/>
      <c r="F308" s="4"/>
    </row>
    <row r="309" spans="4:6">
      <c r="D309" s="4"/>
      <c r="E309" s="4"/>
      <c r="F309" s="4"/>
    </row>
    <row r="310" spans="4:6">
      <c r="D310" s="4"/>
      <c r="E310" s="4"/>
      <c r="F310" s="4"/>
    </row>
    <row r="311" spans="4:6">
      <c r="D311" s="4"/>
      <c r="E311" s="4"/>
      <c r="F311" s="4"/>
    </row>
    <row r="312" spans="4:6">
      <c r="D312" s="4"/>
      <c r="E312" s="4"/>
      <c r="F312" s="4"/>
    </row>
    <row r="313" spans="4:6">
      <c r="D313" s="4"/>
      <c r="E313" s="4"/>
      <c r="F313" s="4"/>
    </row>
    <row r="314" spans="4:6">
      <c r="D314" s="4"/>
      <c r="E314" s="4"/>
      <c r="F314" s="4"/>
    </row>
    <row r="315" spans="4:6">
      <c r="D315" s="4"/>
      <c r="E315" s="4"/>
      <c r="F315" s="4"/>
    </row>
    <row r="316" spans="4:6">
      <c r="D316" s="4"/>
      <c r="E316" s="4"/>
      <c r="F316" s="4"/>
    </row>
    <row r="317" spans="4:6">
      <c r="D317" s="4"/>
      <c r="E317" s="4"/>
      <c r="F317" s="4"/>
    </row>
    <row r="318" spans="4:6">
      <c r="D318" s="4"/>
      <c r="E318" s="4"/>
      <c r="F318" s="4"/>
    </row>
    <row r="319" spans="4:6">
      <c r="D319" s="4"/>
      <c r="E319" s="4"/>
      <c r="F319" s="4"/>
    </row>
    <row r="320" spans="4:6">
      <c r="D320" s="4"/>
      <c r="E320" s="4"/>
      <c r="F320" s="4"/>
    </row>
    <row r="321" spans="4:6">
      <c r="D321" s="4"/>
      <c r="E321" s="4"/>
      <c r="F321" s="4"/>
    </row>
    <row r="322" spans="4:6">
      <c r="D322" s="4"/>
      <c r="E322" s="4"/>
      <c r="F322" s="4"/>
    </row>
    <row r="323" spans="4:6">
      <c r="D323" s="4"/>
      <c r="E323" s="4"/>
      <c r="F323" s="4"/>
    </row>
    <row r="324" spans="4:6">
      <c r="D324" s="4"/>
      <c r="E324" s="4"/>
      <c r="F324" s="4"/>
    </row>
    <row r="325" spans="4:6">
      <c r="D325" s="4"/>
      <c r="E325" s="4"/>
      <c r="F325" s="4"/>
    </row>
    <row r="326" spans="4:6">
      <c r="D326" s="4"/>
      <c r="E326" s="4"/>
      <c r="F326" s="4"/>
    </row>
    <row r="327" spans="4:6">
      <c r="D327" s="4"/>
      <c r="E327" s="4"/>
      <c r="F327" s="4"/>
    </row>
    <row r="328" spans="4:6">
      <c r="D328" s="4"/>
      <c r="E328" s="4"/>
      <c r="F328" s="4"/>
    </row>
    <row r="329" spans="4:6">
      <c r="D329" s="4"/>
      <c r="E329" s="4"/>
      <c r="F329" s="4"/>
    </row>
    <row r="330" spans="4:6">
      <c r="D330" s="4"/>
      <c r="E330" s="4"/>
      <c r="F330" s="4"/>
    </row>
    <row r="331" spans="4:6">
      <c r="D331" s="4"/>
      <c r="E331" s="4"/>
      <c r="F331" s="4"/>
    </row>
    <row r="332" spans="4:6">
      <c r="D332" s="4"/>
      <c r="E332" s="4"/>
      <c r="F332" s="4"/>
    </row>
    <row r="333" spans="4:6">
      <c r="D333" s="4"/>
      <c r="E333" s="4"/>
      <c r="F333" s="4"/>
    </row>
    <row r="334" spans="4:6">
      <c r="D334" s="4"/>
      <c r="E334" s="4"/>
      <c r="F334" s="4"/>
    </row>
    <row r="335" spans="4:6">
      <c r="D335" s="4"/>
      <c r="E335" s="4"/>
      <c r="F335" s="4"/>
    </row>
    <row r="336" spans="4:6">
      <c r="D336" s="4"/>
      <c r="E336" s="4"/>
      <c r="F336" s="4"/>
    </row>
    <row r="337" spans="4:6">
      <c r="D337" s="4"/>
      <c r="E337" s="4"/>
      <c r="F337" s="4"/>
    </row>
    <row r="338" spans="4:6">
      <c r="D338" s="4"/>
      <c r="E338" s="4"/>
      <c r="F338" s="4"/>
    </row>
    <row r="339" spans="4:6">
      <c r="D339" s="4"/>
      <c r="E339" s="4"/>
      <c r="F339" s="4"/>
    </row>
    <row r="340" spans="4:6">
      <c r="D340" s="4"/>
      <c r="E340" s="4"/>
      <c r="F340" s="4"/>
    </row>
    <row r="341" spans="4:6">
      <c r="D341" s="4"/>
      <c r="E341" s="4"/>
      <c r="F341" s="4"/>
    </row>
    <row r="342" spans="4:6">
      <c r="D342" s="4"/>
      <c r="E342" s="4"/>
      <c r="F342" s="4"/>
    </row>
    <row r="343" spans="4:6">
      <c r="D343" s="4"/>
      <c r="E343" s="4"/>
      <c r="F343" s="4"/>
    </row>
    <row r="344" spans="4:6">
      <c r="D344" s="4"/>
      <c r="E344" s="4"/>
      <c r="F344" s="4"/>
    </row>
    <row r="345" spans="4:6">
      <c r="D345" s="4"/>
      <c r="E345" s="4"/>
      <c r="F345" s="4"/>
    </row>
    <row r="346" spans="4:6">
      <c r="D346" s="4"/>
      <c r="E346" s="4"/>
      <c r="F346" s="4"/>
    </row>
    <row r="347" spans="4:6">
      <c r="D347" s="4"/>
      <c r="E347" s="4"/>
      <c r="F347" s="4"/>
    </row>
    <row r="348" spans="4:6">
      <c r="D348" s="4"/>
      <c r="E348" s="4"/>
      <c r="F348" s="4"/>
    </row>
    <row r="349" spans="4:6">
      <c r="D349" s="4"/>
      <c r="E349" s="4"/>
      <c r="F349" s="4"/>
    </row>
    <row r="350" spans="4:6">
      <c r="D350" s="4"/>
      <c r="E350" s="4"/>
      <c r="F350" s="4"/>
    </row>
    <row r="351" spans="4:6">
      <c r="D351" s="4"/>
      <c r="E351" s="4"/>
      <c r="F351" s="4"/>
    </row>
    <row r="352" spans="4:6">
      <c r="D352" s="4"/>
      <c r="E352" s="4"/>
      <c r="F352" s="4"/>
    </row>
    <row r="353" spans="4:6">
      <c r="D353" s="4"/>
      <c r="E353" s="4"/>
      <c r="F353" s="4"/>
    </row>
    <row r="354" spans="4:6">
      <c r="D354" s="4"/>
      <c r="E354" s="4"/>
      <c r="F354" s="4"/>
    </row>
    <row r="355" spans="4:6">
      <c r="D355" s="4"/>
      <c r="E355" s="4"/>
      <c r="F355" s="4"/>
    </row>
    <row r="356" spans="4:6">
      <c r="D356" s="4"/>
      <c r="E356" s="4"/>
      <c r="F356" s="4"/>
    </row>
    <row r="357" spans="4:6">
      <c r="D357" s="4"/>
      <c r="E357" s="4"/>
      <c r="F357" s="4"/>
    </row>
    <row r="358" spans="4:6">
      <c r="D358" s="4"/>
      <c r="E358" s="4"/>
      <c r="F358" s="4"/>
    </row>
    <row r="359" spans="4:6">
      <c r="D359" s="4"/>
      <c r="E359" s="4"/>
      <c r="F359" s="4"/>
    </row>
    <row r="360" spans="4:6">
      <c r="D360" s="4"/>
      <c r="E360" s="4"/>
      <c r="F360" s="4"/>
    </row>
    <row r="361" spans="4:6">
      <c r="D361" s="4"/>
      <c r="E361" s="4"/>
      <c r="F361" s="4"/>
    </row>
    <row r="362" spans="4:6">
      <c r="D362" s="4"/>
      <c r="E362" s="4"/>
      <c r="F362" s="4"/>
    </row>
    <row r="363" spans="4:6">
      <c r="D363" s="4"/>
      <c r="E363" s="4"/>
      <c r="F363" s="4"/>
    </row>
    <row r="364" spans="4:6">
      <c r="D364" s="4"/>
      <c r="E364" s="4"/>
      <c r="F364" s="4"/>
    </row>
    <row r="365" spans="4:6">
      <c r="D365" s="4"/>
      <c r="E365" s="4"/>
      <c r="F365" s="4"/>
    </row>
    <row r="366" spans="4:6">
      <c r="D366" s="4"/>
      <c r="E366" s="4"/>
      <c r="F366" s="4"/>
    </row>
    <row r="367" spans="4:6">
      <c r="D367" s="4"/>
      <c r="E367" s="4"/>
      <c r="F367" s="4"/>
    </row>
    <row r="368" spans="4:6">
      <c r="D368" s="4"/>
      <c r="E368" s="4"/>
      <c r="F368" s="4"/>
    </row>
    <row r="369" spans="4:6">
      <c r="D369" s="4"/>
      <c r="E369" s="4"/>
      <c r="F369" s="4"/>
    </row>
    <row r="370" spans="4:6">
      <c r="D370" s="4"/>
      <c r="E370" s="4"/>
      <c r="F370" s="4"/>
    </row>
    <row r="371" spans="4:6">
      <c r="D371" s="4"/>
      <c r="E371" s="4"/>
      <c r="F371" s="4"/>
    </row>
    <row r="372" spans="4:6">
      <c r="D372" s="4"/>
      <c r="E372" s="4"/>
      <c r="F372" s="4"/>
    </row>
    <row r="373" spans="4:6">
      <c r="D373" s="4"/>
      <c r="E373" s="4"/>
      <c r="F373" s="4"/>
    </row>
    <row r="374" spans="4:6">
      <c r="D374" s="4"/>
      <c r="E374" s="4"/>
      <c r="F374" s="4"/>
    </row>
    <row r="375" spans="4:6">
      <c r="D375" s="4"/>
      <c r="E375" s="4"/>
      <c r="F375" s="4"/>
    </row>
    <row r="376" spans="4:6">
      <c r="D376" s="4"/>
      <c r="E376" s="4"/>
      <c r="F376" s="4"/>
    </row>
    <row r="377" spans="4:6">
      <c r="D377" s="4"/>
      <c r="E377" s="4"/>
      <c r="F377" s="4"/>
    </row>
    <row r="378" spans="4:6">
      <c r="D378" s="4"/>
      <c r="E378" s="4"/>
      <c r="F378" s="4"/>
    </row>
    <row r="379" spans="4:6">
      <c r="D379" s="4"/>
      <c r="E379" s="4"/>
      <c r="F379" s="4"/>
    </row>
    <row r="380" spans="4:6">
      <c r="D380" s="4"/>
      <c r="E380" s="4"/>
      <c r="F380" s="4"/>
    </row>
    <row r="381" spans="4:6">
      <c r="D381" s="4"/>
      <c r="E381" s="4"/>
      <c r="F381" s="4"/>
    </row>
    <row r="382" spans="4:6">
      <c r="D382" s="4"/>
      <c r="E382" s="4"/>
      <c r="F382" s="4"/>
    </row>
    <row r="383" spans="4:6">
      <c r="D383" s="4"/>
      <c r="E383" s="4"/>
      <c r="F383" s="4"/>
    </row>
    <row r="384" spans="4:6">
      <c r="D384" s="4"/>
      <c r="E384" s="4"/>
      <c r="F384" s="4"/>
    </row>
    <row r="385" spans="4:6">
      <c r="D385" s="4"/>
      <c r="E385" s="4"/>
      <c r="F385" s="4"/>
    </row>
    <row r="386" spans="4:6">
      <c r="D386" s="4"/>
      <c r="E386" s="4"/>
      <c r="F386" s="4"/>
    </row>
    <row r="387" spans="4:6">
      <c r="D387" s="4"/>
      <c r="E387" s="4"/>
      <c r="F387" s="4"/>
    </row>
    <row r="388" spans="4:6">
      <c r="D388" s="4"/>
      <c r="E388" s="4"/>
      <c r="F388" s="4"/>
    </row>
    <row r="389" spans="4:6">
      <c r="D389" s="4"/>
      <c r="E389" s="4"/>
      <c r="F389" s="4"/>
    </row>
    <row r="390" spans="4:6">
      <c r="D390" s="4"/>
      <c r="E390" s="4"/>
      <c r="F390" s="4"/>
    </row>
    <row r="391" spans="4:6">
      <c r="D391" s="4"/>
      <c r="E391" s="4"/>
      <c r="F391" s="4"/>
    </row>
    <row r="392" spans="4:6">
      <c r="D392" s="4"/>
      <c r="E392" s="4"/>
      <c r="F392" s="4"/>
    </row>
    <row r="393" spans="4:6">
      <c r="D393" s="4"/>
      <c r="E393" s="4"/>
      <c r="F393" s="4"/>
    </row>
    <row r="394" spans="4:6">
      <c r="D394" s="4"/>
      <c r="E394" s="4"/>
      <c r="F394" s="4"/>
    </row>
    <row r="395" spans="4:6">
      <c r="D395" s="4"/>
      <c r="E395" s="4"/>
      <c r="F395" s="4"/>
    </row>
    <row r="396" spans="4:6">
      <c r="D396" s="4"/>
      <c r="E396" s="4"/>
      <c r="F396" s="4"/>
    </row>
    <row r="397" spans="4:6">
      <c r="D397" s="4"/>
      <c r="E397" s="4"/>
      <c r="F397" s="4"/>
    </row>
    <row r="398" spans="4:6">
      <c r="D398" s="4"/>
      <c r="E398" s="4"/>
      <c r="F398" s="4"/>
    </row>
    <row r="399" spans="4:6">
      <c r="D399" s="4"/>
      <c r="E399" s="4"/>
      <c r="F399" s="4"/>
    </row>
    <row r="400" spans="4:6">
      <c r="D400" s="4"/>
      <c r="E400" s="4"/>
      <c r="F400" s="4"/>
    </row>
    <row r="401" spans="4:6">
      <c r="D401" s="4"/>
      <c r="E401" s="4"/>
      <c r="F401" s="4"/>
    </row>
    <row r="402" spans="4:6">
      <c r="D402" s="4"/>
      <c r="E402" s="4"/>
      <c r="F402" s="4"/>
    </row>
    <row r="403" spans="4:6">
      <c r="D403" s="4"/>
      <c r="E403" s="4"/>
      <c r="F403" s="4"/>
    </row>
    <row r="404" spans="4:6">
      <c r="D404" s="4"/>
      <c r="E404" s="4"/>
      <c r="F404" s="4"/>
    </row>
    <row r="405" spans="4:6">
      <c r="D405" s="4"/>
      <c r="E405" s="4"/>
      <c r="F405" s="4"/>
    </row>
    <row r="406" spans="4:6">
      <c r="D406" s="4"/>
      <c r="E406" s="4"/>
      <c r="F406" s="4"/>
    </row>
    <row r="407" spans="4:6">
      <c r="D407" s="4"/>
      <c r="E407" s="4"/>
      <c r="F407" s="4"/>
    </row>
    <row r="408" spans="4:6">
      <c r="D408" s="4"/>
      <c r="E408" s="4"/>
      <c r="F408" s="4"/>
    </row>
    <row r="409" spans="4:6">
      <c r="D409" s="4"/>
      <c r="E409" s="4"/>
      <c r="F409" s="4"/>
    </row>
    <row r="410" spans="4:6">
      <c r="D410" s="4"/>
      <c r="E410" s="4"/>
      <c r="F410" s="4"/>
    </row>
    <row r="411" spans="4:6">
      <c r="D411" s="4"/>
      <c r="E411" s="4"/>
      <c r="F411" s="4"/>
    </row>
    <row r="412" spans="4:6">
      <c r="D412" s="4"/>
      <c r="E412" s="4"/>
      <c r="F412" s="4"/>
    </row>
    <row r="413" spans="4:6">
      <c r="D413" s="4"/>
      <c r="E413" s="4"/>
      <c r="F413" s="4"/>
    </row>
    <row r="414" spans="4:6">
      <c r="D414" s="4"/>
      <c r="E414" s="4"/>
      <c r="F414" s="4"/>
    </row>
    <row r="415" spans="4:6">
      <c r="D415" s="4"/>
      <c r="E415" s="4"/>
      <c r="F415" s="4"/>
    </row>
    <row r="416" spans="4:6">
      <c r="D416" s="4"/>
      <c r="E416" s="4"/>
      <c r="F416" s="4"/>
    </row>
    <row r="417" spans="4:6">
      <c r="D417" s="4"/>
      <c r="E417" s="4"/>
      <c r="F417" s="4"/>
    </row>
    <row r="418" spans="4:6">
      <c r="D418" s="4"/>
      <c r="E418" s="4"/>
      <c r="F418" s="4"/>
    </row>
    <row r="419" spans="4:6">
      <c r="D419" s="4"/>
      <c r="E419" s="4"/>
      <c r="F419" s="4"/>
    </row>
    <row r="420" spans="4:6">
      <c r="D420" s="4"/>
      <c r="E420" s="4"/>
      <c r="F420" s="4"/>
    </row>
    <row r="421" spans="4:6">
      <c r="D421" s="4"/>
      <c r="E421" s="4"/>
      <c r="F421" s="4"/>
    </row>
    <row r="422" spans="4:6">
      <c r="D422" s="4"/>
      <c r="E422" s="4"/>
      <c r="F422" s="4"/>
    </row>
    <row r="423" spans="4:6">
      <c r="D423" s="4"/>
      <c r="E423" s="4"/>
      <c r="F423" s="4"/>
    </row>
    <row r="424" spans="4:6">
      <c r="D424" s="4"/>
      <c r="E424" s="4"/>
      <c r="F424" s="4"/>
    </row>
    <row r="425" spans="4:6">
      <c r="D425" s="4"/>
      <c r="E425" s="4"/>
      <c r="F425" s="4"/>
    </row>
    <row r="426" spans="4:6">
      <c r="D426" s="4"/>
      <c r="E426" s="4"/>
      <c r="F426" s="4"/>
    </row>
    <row r="427" spans="4:6">
      <c r="D427" s="4"/>
      <c r="E427" s="4"/>
      <c r="F427" s="4"/>
    </row>
    <row r="428" spans="4:6">
      <c r="D428" s="4"/>
      <c r="E428" s="4"/>
      <c r="F428" s="4"/>
    </row>
    <row r="429" spans="4:6">
      <c r="D429" s="4"/>
      <c r="E429" s="4"/>
      <c r="F429" s="4"/>
    </row>
    <row r="430" spans="4:6">
      <c r="D430" s="4"/>
      <c r="E430" s="4"/>
      <c r="F430" s="4"/>
    </row>
    <row r="431" spans="4:6">
      <c r="D431" s="4"/>
      <c r="E431" s="4"/>
      <c r="F431" s="4"/>
    </row>
    <row r="432" spans="4:6">
      <c r="D432" s="4"/>
      <c r="E432" s="4"/>
      <c r="F432" s="4"/>
    </row>
    <row r="433" spans="4:6">
      <c r="D433" s="4"/>
      <c r="E433" s="4"/>
      <c r="F433" s="4"/>
    </row>
    <row r="434" spans="4:6">
      <c r="D434" s="4"/>
      <c r="E434" s="4"/>
      <c r="F434" s="4"/>
    </row>
    <row r="435" spans="4:6">
      <c r="D435" s="4"/>
      <c r="E435" s="4"/>
      <c r="F435" s="4"/>
    </row>
    <row r="436" spans="4:6">
      <c r="D436" s="4"/>
      <c r="E436" s="4"/>
      <c r="F436" s="4"/>
    </row>
    <row r="437" spans="4:6">
      <c r="D437" s="4"/>
      <c r="E437" s="4"/>
      <c r="F437" s="4"/>
    </row>
    <row r="438" spans="4:6">
      <c r="D438" s="4"/>
      <c r="E438" s="4"/>
      <c r="F438" s="4"/>
    </row>
    <row r="439" spans="4:6">
      <c r="D439" s="4"/>
      <c r="E439" s="4"/>
      <c r="F439" s="4"/>
    </row>
    <row r="440" spans="4:6">
      <c r="D440" s="4"/>
      <c r="E440" s="4"/>
      <c r="F440" s="4"/>
    </row>
    <row r="441" spans="4:6">
      <c r="D441" s="4"/>
      <c r="E441" s="4"/>
      <c r="F441" s="4"/>
    </row>
    <row r="442" spans="4:6">
      <c r="D442" s="4"/>
      <c r="E442" s="4"/>
      <c r="F442" s="4"/>
    </row>
    <row r="443" spans="4:6">
      <c r="D443" s="4"/>
      <c r="E443" s="4"/>
      <c r="F443" s="4"/>
    </row>
    <row r="444" spans="4:6">
      <c r="D444" s="4"/>
      <c r="E444" s="4"/>
      <c r="F444" s="4"/>
    </row>
    <row r="445" spans="4:6">
      <c r="D445" s="4"/>
      <c r="E445" s="4"/>
      <c r="F445" s="4"/>
    </row>
    <row r="446" spans="4:6">
      <c r="D446" s="4"/>
      <c r="E446" s="4"/>
      <c r="F446" s="4"/>
    </row>
    <row r="447" spans="4:6">
      <c r="D447" s="4"/>
      <c r="E447" s="4"/>
      <c r="F447" s="4"/>
    </row>
    <row r="448" spans="4:6">
      <c r="D448" s="4"/>
      <c r="E448" s="4"/>
      <c r="F448" s="4"/>
    </row>
    <row r="449" spans="4:6">
      <c r="D449" s="4"/>
      <c r="E449" s="4"/>
      <c r="F449" s="4"/>
    </row>
    <row r="450" spans="4:6">
      <c r="D450" s="4"/>
      <c r="E450" s="4"/>
      <c r="F450" s="4"/>
    </row>
    <row r="451" spans="4:6">
      <c r="D451" s="4"/>
      <c r="E451" s="4"/>
      <c r="F451" s="4"/>
    </row>
    <row r="452" spans="4:6">
      <c r="D452" s="4"/>
      <c r="E452" s="4"/>
      <c r="F452" s="4"/>
    </row>
    <row r="453" spans="4:6">
      <c r="D453" s="4"/>
      <c r="E453" s="4"/>
      <c r="F453" s="4"/>
    </row>
    <row r="454" spans="4:6">
      <c r="D454" s="4"/>
      <c r="E454" s="4"/>
      <c r="F454" s="4"/>
    </row>
    <row r="455" spans="4:6">
      <c r="D455" s="4"/>
      <c r="E455" s="4"/>
      <c r="F455" s="4"/>
    </row>
    <row r="456" spans="4:6">
      <c r="D456" s="4"/>
      <c r="E456" s="4"/>
      <c r="F456" s="4"/>
    </row>
    <row r="457" spans="4:6">
      <c r="D457" s="4"/>
      <c r="E457" s="4"/>
      <c r="F457" s="4"/>
    </row>
    <row r="458" spans="4:6">
      <c r="D458" s="4"/>
      <c r="E458" s="4"/>
      <c r="F458" s="4"/>
    </row>
    <row r="459" spans="4:6">
      <c r="D459" s="4"/>
      <c r="E459" s="4"/>
      <c r="F459" s="4"/>
    </row>
    <row r="460" spans="4:6">
      <c r="D460" s="4"/>
      <c r="E460" s="4"/>
      <c r="F460" s="4"/>
    </row>
    <row r="461" spans="4:6">
      <c r="D461" s="4"/>
      <c r="E461" s="4"/>
      <c r="F461" s="4"/>
    </row>
    <row r="462" spans="4:6">
      <c r="D462" s="4"/>
      <c r="E462" s="4"/>
      <c r="F462" s="4"/>
    </row>
    <row r="463" spans="4:6">
      <c r="D463" s="4"/>
      <c r="E463" s="4"/>
      <c r="F463" s="4"/>
    </row>
    <row r="464" spans="4:6">
      <c r="D464" s="4"/>
      <c r="E464" s="4"/>
      <c r="F464" s="4"/>
    </row>
    <row r="465" spans="4:6">
      <c r="D465" s="4"/>
      <c r="E465" s="4"/>
      <c r="F465" s="4"/>
    </row>
    <row r="466" spans="4:6">
      <c r="D466" s="4"/>
      <c r="E466" s="4"/>
      <c r="F466" s="4"/>
    </row>
    <row r="467" spans="4:6">
      <c r="D467" s="4"/>
      <c r="E467" s="4"/>
      <c r="F467" s="4"/>
    </row>
    <row r="468" spans="4:6">
      <c r="D468" s="4"/>
      <c r="E468" s="4"/>
      <c r="F468" s="4"/>
    </row>
    <row r="469" spans="4:6">
      <c r="D469" s="4"/>
      <c r="E469" s="4"/>
      <c r="F469" s="4"/>
    </row>
    <row r="470" spans="4:6">
      <c r="D470" s="4"/>
      <c r="E470" s="4"/>
      <c r="F470" s="4"/>
    </row>
    <row r="471" spans="4:6">
      <c r="D471" s="4"/>
      <c r="E471" s="4"/>
      <c r="F471" s="4"/>
    </row>
    <row r="472" spans="4:6">
      <c r="D472" s="4"/>
      <c r="E472" s="4"/>
      <c r="F472" s="4"/>
    </row>
    <row r="473" spans="4:6">
      <c r="D473" s="4"/>
      <c r="E473" s="4"/>
      <c r="F473" s="4"/>
    </row>
    <row r="474" spans="4:6">
      <c r="D474" s="4"/>
      <c r="E474" s="4"/>
      <c r="F474" s="4"/>
    </row>
    <row r="475" spans="4:6">
      <c r="D475" s="4"/>
      <c r="E475" s="4"/>
      <c r="F475" s="4"/>
    </row>
    <row r="476" spans="4:6">
      <c r="D476" s="4"/>
      <c r="E476" s="4"/>
      <c r="F476" s="4"/>
    </row>
    <row r="477" spans="4:6">
      <c r="D477" s="4"/>
      <c r="E477" s="4"/>
      <c r="F477" s="4"/>
    </row>
    <row r="478" spans="4:6">
      <c r="D478" s="4"/>
      <c r="E478" s="4"/>
      <c r="F478" s="4"/>
    </row>
    <row r="479" spans="4:6">
      <c r="D479" s="4"/>
      <c r="E479" s="4"/>
      <c r="F479" s="4"/>
    </row>
    <row r="480" spans="4:6">
      <c r="D480" s="4"/>
      <c r="E480" s="4"/>
      <c r="F480" s="4"/>
    </row>
    <row r="481" spans="4:6">
      <c r="D481" s="4"/>
      <c r="E481" s="4"/>
      <c r="F481" s="4"/>
    </row>
    <row r="482" spans="4:6">
      <c r="D482" s="4"/>
      <c r="E482" s="4"/>
      <c r="F482" s="4"/>
    </row>
    <row r="483" spans="4:6">
      <c r="D483" s="4"/>
      <c r="E483" s="4"/>
      <c r="F483" s="4"/>
    </row>
    <row r="484" spans="4:6">
      <c r="D484" s="4"/>
      <c r="E484" s="4"/>
      <c r="F484" s="4"/>
    </row>
    <row r="485" spans="4:6">
      <c r="D485" s="4"/>
      <c r="E485" s="4"/>
      <c r="F485" s="4"/>
    </row>
    <row r="486" spans="4:6">
      <c r="D486" s="4"/>
      <c r="E486" s="4"/>
      <c r="F486" s="4"/>
    </row>
    <row r="487" spans="4:6">
      <c r="D487" s="4"/>
      <c r="E487" s="4"/>
      <c r="F487" s="4"/>
    </row>
    <row r="488" spans="4:6">
      <c r="D488" s="4"/>
      <c r="E488" s="4"/>
      <c r="F488" s="4"/>
    </row>
    <row r="489" spans="4:6">
      <c r="D489" s="4"/>
      <c r="E489" s="4"/>
      <c r="F489" s="4"/>
    </row>
    <row r="490" spans="4:6">
      <c r="D490" s="4"/>
      <c r="E490" s="4"/>
      <c r="F490" s="4"/>
    </row>
    <row r="491" spans="4:6">
      <c r="D491" s="4"/>
      <c r="E491" s="4"/>
      <c r="F491" s="4"/>
    </row>
    <row r="492" spans="4:6">
      <c r="D492" s="4"/>
      <c r="E492" s="4"/>
      <c r="F492" s="4"/>
    </row>
    <row r="493" spans="4:6">
      <c r="D493" s="4"/>
      <c r="E493" s="4"/>
      <c r="F493" s="4"/>
    </row>
    <row r="494" spans="4:6">
      <c r="D494" s="4"/>
      <c r="E494" s="4"/>
      <c r="F494" s="4"/>
    </row>
    <row r="495" spans="4:6">
      <c r="D495" s="4"/>
      <c r="E495" s="4"/>
      <c r="F495" s="4"/>
    </row>
    <row r="496" spans="4:6">
      <c r="D496" s="4"/>
      <c r="E496" s="4"/>
      <c r="F496" s="4"/>
    </row>
    <row r="497" spans="4:6">
      <c r="D497" s="4"/>
      <c r="E497" s="4"/>
      <c r="F497" s="4"/>
    </row>
    <row r="498" spans="4:6">
      <c r="D498" s="4"/>
      <c r="E498" s="4"/>
      <c r="F498" s="4"/>
    </row>
    <row r="499" spans="4:6">
      <c r="D499" s="4"/>
      <c r="E499" s="4"/>
      <c r="F499" s="4"/>
    </row>
    <row r="500" spans="4:6">
      <c r="D500" s="4"/>
      <c r="E500" s="4"/>
      <c r="F500" s="4"/>
    </row>
    <row r="501" spans="4:6">
      <c r="D501" s="4"/>
      <c r="E501" s="4"/>
      <c r="F501" s="4"/>
    </row>
    <row r="502" spans="4:6">
      <c r="D502" s="4"/>
      <c r="E502" s="4"/>
      <c r="F502" s="4"/>
    </row>
    <row r="503" spans="4:6">
      <c r="D503" s="4"/>
      <c r="E503" s="4"/>
      <c r="F503" s="4"/>
    </row>
    <row r="504" spans="4:6">
      <c r="D504" s="4"/>
      <c r="E504" s="4"/>
      <c r="F504" s="4"/>
    </row>
    <row r="505" spans="4:6">
      <c r="D505" s="4"/>
      <c r="E505" s="4"/>
      <c r="F505" s="4"/>
    </row>
    <row r="506" spans="4:6">
      <c r="D506" s="4"/>
      <c r="E506" s="4"/>
      <c r="F506" s="4"/>
    </row>
    <row r="507" spans="4:6">
      <c r="D507" s="4"/>
      <c r="E507" s="4"/>
      <c r="F507" s="4"/>
    </row>
    <row r="508" spans="4:6">
      <c r="D508" s="4"/>
      <c r="E508" s="4"/>
      <c r="F508" s="4"/>
    </row>
    <row r="509" spans="4:6">
      <c r="D509" s="4"/>
      <c r="E509" s="4"/>
      <c r="F509" s="4"/>
    </row>
    <row r="510" spans="4:6">
      <c r="D510" s="4"/>
      <c r="E510" s="4"/>
      <c r="F510" s="4"/>
    </row>
    <row r="511" spans="4:6">
      <c r="D511" s="4"/>
      <c r="E511" s="4"/>
      <c r="F511" s="4"/>
    </row>
    <row r="512" spans="4:6">
      <c r="D512" s="4"/>
      <c r="E512" s="4"/>
      <c r="F512" s="4"/>
    </row>
    <row r="513" spans="4:6">
      <c r="D513" s="4"/>
      <c r="E513" s="4"/>
      <c r="F513" s="4"/>
    </row>
    <row r="514" spans="4:6">
      <c r="D514" s="4"/>
      <c r="E514" s="4"/>
      <c r="F514" s="4"/>
    </row>
    <row r="515" spans="4:6">
      <c r="D515" s="4"/>
      <c r="E515" s="4"/>
      <c r="F515" s="4"/>
    </row>
    <row r="516" spans="4:6">
      <c r="D516" s="4"/>
      <c r="E516" s="4"/>
      <c r="F516" s="4"/>
    </row>
    <row r="517" spans="4:6">
      <c r="D517" s="4"/>
      <c r="E517" s="4"/>
      <c r="F517" s="4"/>
    </row>
    <row r="518" spans="4:6">
      <c r="D518" s="4"/>
      <c r="E518" s="4"/>
      <c r="F518" s="4"/>
    </row>
    <row r="519" spans="4:6">
      <c r="D519" s="4"/>
      <c r="E519" s="4"/>
      <c r="F519" s="4"/>
    </row>
    <row r="520" spans="4:6">
      <c r="D520" s="4"/>
      <c r="E520" s="4"/>
      <c r="F520" s="4"/>
    </row>
    <row r="521" spans="4:6">
      <c r="D521" s="4"/>
      <c r="E521" s="4"/>
      <c r="F521" s="4"/>
    </row>
    <row r="522" spans="4:6">
      <c r="D522" s="4"/>
      <c r="E522" s="4"/>
      <c r="F522" s="4"/>
    </row>
    <row r="523" spans="4:6">
      <c r="D523" s="4"/>
      <c r="E523" s="4"/>
      <c r="F523" s="4"/>
    </row>
    <row r="524" spans="4:6">
      <c r="D524" s="4"/>
      <c r="E524" s="4"/>
      <c r="F524" s="4"/>
    </row>
    <row r="525" spans="4:6">
      <c r="D525" s="4"/>
      <c r="E525" s="4"/>
      <c r="F525" s="4"/>
    </row>
    <row r="526" spans="4:6">
      <c r="D526" s="4"/>
      <c r="E526" s="4"/>
      <c r="F526" s="4"/>
    </row>
    <row r="527" spans="4:6">
      <c r="D527" s="4"/>
      <c r="E527" s="4"/>
      <c r="F527" s="4"/>
    </row>
    <row r="528" spans="4:6">
      <c r="D528" s="4"/>
      <c r="E528" s="4"/>
      <c r="F528" s="4"/>
    </row>
    <row r="529" spans="4:6">
      <c r="D529" s="4"/>
      <c r="E529" s="4"/>
      <c r="F529" s="4"/>
    </row>
    <row r="530" spans="4:6">
      <c r="D530" s="4"/>
      <c r="E530" s="4"/>
      <c r="F530" s="4"/>
    </row>
    <row r="531" spans="4:6">
      <c r="D531" s="4"/>
      <c r="E531" s="4"/>
      <c r="F531" s="4"/>
    </row>
    <row r="532" spans="4:6">
      <c r="D532" s="4"/>
      <c r="E532" s="4"/>
      <c r="F532" s="4"/>
    </row>
    <row r="533" spans="4:6">
      <c r="D533" s="4"/>
      <c r="E533" s="4"/>
      <c r="F533" s="4"/>
    </row>
    <row r="534" spans="4:6">
      <c r="D534" s="4"/>
      <c r="E534" s="4"/>
      <c r="F534" s="4"/>
    </row>
    <row r="535" spans="4:6">
      <c r="D535" s="4"/>
      <c r="E535" s="4"/>
      <c r="F535" s="4"/>
    </row>
    <row r="536" spans="4:6">
      <c r="D536" s="4"/>
      <c r="E536" s="4"/>
      <c r="F536" s="4"/>
    </row>
    <row r="537" spans="4:6">
      <c r="D537" s="4"/>
      <c r="E537" s="4"/>
      <c r="F537" s="4"/>
    </row>
    <row r="538" spans="4:6">
      <c r="D538" s="4"/>
      <c r="E538" s="4"/>
      <c r="F538" s="4"/>
    </row>
    <row r="539" spans="4:6">
      <c r="D539" s="4"/>
      <c r="E539" s="4"/>
      <c r="F539" s="4"/>
    </row>
    <row r="540" spans="4:6">
      <c r="D540" s="4"/>
      <c r="E540" s="4"/>
      <c r="F540" s="4"/>
    </row>
    <row r="541" spans="4:6">
      <c r="D541" s="4"/>
      <c r="E541" s="4"/>
      <c r="F541" s="4"/>
    </row>
    <row r="542" spans="4:6">
      <c r="D542" s="4"/>
      <c r="E542" s="4"/>
      <c r="F542" s="4"/>
    </row>
    <row r="543" spans="4:6">
      <c r="D543" s="4"/>
      <c r="E543" s="4"/>
      <c r="F543" s="4"/>
    </row>
    <row r="544" spans="4:6">
      <c r="D544" s="4"/>
      <c r="E544" s="4"/>
      <c r="F544" s="4"/>
    </row>
    <row r="545" spans="4:6">
      <c r="D545" s="4"/>
      <c r="E545" s="4"/>
      <c r="F545" s="4"/>
    </row>
    <row r="546" spans="4:6">
      <c r="D546" s="4"/>
      <c r="E546" s="4"/>
      <c r="F546" s="4"/>
    </row>
    <row r="547" spans="4:6">
      <c r="D547" s="4"/>
      <c r="E547" s="4"/>
      <c r="F547" s="4"/>
    </row>
    <row r="548" spans="4:6">
      <c r="D548" s="4"/>
      <c r="E548" s="4"/>
      <c r="F548" s="4"/>
    </row>
    <row r="549" spans="4:6">
      <c r="D549" s="4"/>
      <c r="E549" s="4"/>
      <c r="F549" s="4"/>
    </row>
    <row r="550" spans="4:6">
      <c r="D550" s="4"/>
      <c r="E550" s="4"/>
      <c r="F550" s="4"/>
    </row>
    <row r="551" spans="4:6">
      <c r="D551" s="4"/>
      <c r="E551" s="4"/>
      <c r="F551" s="4"/>
    </row>
    <row r="552" spans="4:6">
      <c r="D552" s="4"/>
      <c r="E552" s="4"/>
      <c r="F552" s="4"/>
    </row>
    <row r="553" spans="4:6">
      <c r="D553" s="4"/>
      <c r="E553" s="4"/>
      <c r="F553" s="4"/>
    </row>
    <row r="554" spans="4:6">
      <c r="D554" s="4"/>
      <c r="E554" s="4"/>
      <c r="F554" s="4"/>
    </row>
    <row r="555" spans="4:6">
      <c r="D555" s="4"/>
      <c r="E555" s="4"/>
      <c r="F555" s="4"/>
    </row>
    <row r="556" spans="4:6">
      <c r="D556" s="4"/>
      <c r="E556" s="4"/>
      <c r="F556" s="4"/>
    </row>
    <row r="557" spans="4:6">
      <c r="D557" s="4"/>
      <c r="E557" s="4"/>
      <c r="F557" s="4"/>
    </row>
    <row r="558" spans="4:6">
      <c r="D558" s="4"/>
      <c r="E558" s="4"/>
      <c r="F558" s="4"/>
    </row>
    <row r="559" spans="4:6">
      <c r="D559" s="4"/>
      <c r="E559" s="4"/>
      <c r="F559" s="4"/>
    </row>
    <row r="560" spans="4:6">
      <c r="D560" s="4"/>
      <c r="E560" s="4"/>
      <c r="F560" s="4"/>
    </row>
    <row r="561" spans="4:6">
      <c r="D561" s="4"/>
      <c r="E561" s="4"/>
      <c r="F561" s="4"/>
    </row>
    <row r="562" spans="4:6">
      <c r="D562" s="4"/>
      <c r="E562" s="4"/>
      <c r="F562" s="4"/>
    </row>
    <row r="563" spans="4:6">
      <c r="D563" s="4"/>
      <c r="E563" s="4"/>
      <c r="F563" s="4"/>
    </row>
    <row r="564" spans="4:6">
      <c r="D564" s="4"/>
      <c r="E564" s="4"/>
      <c r="F564" s="4"/>
    </row>
    <row r="565" spans="4:6">
      <c r="D565" s="4"/>
      <c r="E565" s="4"/>
      <c r="F565" s="4"/>
    </row>
    <row r="566" spans="4:6">
      <c r="D566" s="4"/>
      <c r="E566" s="4"/>
      <c r="F566" s="4"/>
    </row>
    <row r="567" spans="4:6">
      <c r="D567" s="4"/>
      <c r="E567" s="4"/>
      <c r="F567" s="4"/>
    </row>
    <row r="568" spans="4:6">
      <c r="D568" s="4"/>
      <c r="E568" s="4"/>
      <c r="F568" s="4"/>
    </row>
    <row r="569" spans="4:6">
      <c r="D569" s="4"/>
      <c r="E569" s="4"/>
      <c r="F569" s="4"/>
    </row>
    <row r="570" spans="4:6">
      <c r="D570" s="4"/>
      <c r="E570" s="4"/>
      <c r="F570" s="4"/>
    </row>
    <row r="571" spans="4:6">
      <c r="D571" s="4"/>
      <c r="E571" s="4"/>
      <c r="F571" s="4"/>
    </row>
    <row r="572" spans="4:6">
      <c r="D572" s="4"/>
      <c r="E572" s="4"/>
      <c r="F572" s="4"/>
    </row>
    <row r="573" spans="4:6">
      <c r="D573" s="4"/>
      <c r="E573" s="4"/>
      <c r="F573" s="4"/>
    </row>
    <row r="574" spans="4:6">
      <c r="D574" s="4"/>
      <c r="E574" s="4"/>
      <c r="F574" s="4"/>
    </row>
    <row r="575" spans="4:6">
      <c r="D575" s="4"/>
      <c r="E575" s="4"/>
      <c r="F575" s="4"/>
    </row>
    <row r="576" spans="4:6">
      <c r="D576" s="4"/>
      <c r="E576" s="4"/>
      <c r="F576" s="4"/>
    </row>
    <row r="577" spans="4:6">
      <c r="D577" s="4"/>
      <c r="E577" s="4"/>
      <c r="F577" s="4"/>
    </row>
    <row r="578" spans="4:6">
      <c r="D578" s="4"/>
      <c r="E578" s="4"/>
      <c r="F578" s="4"/>
    </row>
    <row r="579" spans="4:6">
      <c r="D579" s="4"/>
      <c r="E579" s="4"/>
      <c r="F579" s="4"/>
    </row>
    <row r="580" spans="4:6">
      <c r="D580" s="4"/>
      <c r="E580" s="4"/>
      <c r="F580" s="4"/>
    </row>
    <row r="581" spans="4:6">
      <c r="D581" s="4"/>
      <c r="E581" s="4"/>
      <c r="F581" s="4"/>
    </row>
    <row r="582" spans="4:6">
      <c r="D582" s="4"/>
      <c r="E582" s="4"/>
      <c r="F582" s="4"/>
    </row>
    <row r="583" spans="4:6">
      <c r="D583" s="4"/>
      <c r="E583" s="4"/>
      <c r="F583" s="4"/>
    </row>
    <row r="584" spans="4:6">
      <c r="D584" s="4"/>
      <c r="E584" s="4"/>
      <c r="F584" s="4"/>
    </row>
    <row r="585" spans="4:6">
      <c r="D585" s="4"/>
      <c r="E585" s="4"/>
      <c r="F585" s="4"/>
    </row>
    <row r="586" spans="4:6">
      <c r="D586" s="4"/>
      <c r="E586" s="4"/>
      <c r="F586" s="4"/>
    </row>
    <row r="587" spans="4:6">
      <c r="D587" s="4"/>
      <c r="E587" s="4"/>
      <c r="F587" s="4"/>
    </row>
    <row r="588" spans="4:6">
      <c r="D588" s="4"/>
      <c r="E588" s="4"/>
      <c r="F588" s="4"/>
    </row>
    <row r="589" spans="4:6">
      <c r="D589" s="4"/>
      <c r="E589" s="4"/>
      <c r="F589" s="4"/>
    </row>
    <row r="590" spans="4:6">
      <c r="D590" s="4"/>
      <c r="E590" s="4"/>
      <c r="F590" s="4"/>
    </row>
    <row r="591" spans="4:6">
      <c r="D591" s="4"/>
      <c r="E591" s="4"/>
      <c r="F591" s="4"/>
    </row>
    <row r="592" spans="4:6">
      <c r="D592" s="4"/>
      <c r="E592" s="4"/>
      <c r="F592" s="4"/>
    </row>
    <row r="593" spans="4:6">
      <c r="D593" s="4"/>
      <c r="E593" s="4"/>
      <c r="F593" s="4"/>
    </row>
    <row r="594" spans="4:6">
      <c r="D594" s="4"/>
      <c r="E594" s="4"/>
      <c r="F594" s="4"/>
    </row>
    <row r="595" spans="4:6">
      <c r="D595" s="4"/>
      <c r="E595" s="4"/>
      <c r="F595" s="4"/>
    </row>
    <row r="596" spans="4:6">
      <c r="D596" s="4"/>
      <c r="E596" s="4"/>
      <c r="F596" s="4"/>
    </row>
    <row r="597" spans="4:6">
      <c r="D597" s="4"/>
      <c r="E597" s="4"/>
      <c r="F597" s="4"/>
    </row>
    <row r="598" spans="4:6">
      <c r="D598" s="4"/>
      <c r="E598" s="4"/>
      <c r="F598" s="4"/>
    </row>
    <row r="599" spans="4:6">
      <c r="D599" s="4"/>
      <c r="E599" s="4"/>
      <c r="F599" s="4"/>
    </row>
    <row r="600" spans="4:6">
      <c r="D600" s="4"/>
      <c r="E600" s="4"/>
      <c r="F600" s="4"/>
    </row>
    <row r="601" spans="4:6">
      <c r="D601" s="4"/>
      <c r="E601" s="4"/>
      <c r="F601" s="4"/>
    </row>
    <row r="602" spans="4:6">
      <c r="D602" s="4"/>
      <c r="E602" s="4"/>
      <c r="F602" s="4"/>
    </row>
    <row r="603" spans="4:6">
      <c r="D603" s="4"/>
      <c r="E603" s="4"/>
      <c r="F603" s="4"/>
    </row>
    <row r="604" spans="4:6">
      <c r="D604" s="4"/>
      <c r="E604" s="4"/>
      <c r="F604" s="4"/>
    </row>
    <row r="605" spans="4:6">
      <c r="D605" s="4"/>
      <c r="E605" s="4"/>
      <c r="F605" s="4"/>
    </row>
    <row r="606" spans="4:6">
      <c r="D606" s="4"/>
      <c r="E606" s="4"/>
      <c r="F606" s="4"/>
    </row>
    <row r="607" spans="4:6">
      <c r="D607" s="4"/>
      <c r="E607" s="4"/>
      <c r="F607" s="4"/>
    </row>
    <row r="608" spans="4:6">
      <c r="D608" s="4"/>
      <c r="E608" s="4"/>
      <c r="F608" s="4"/>
    </row>
    <row r="609" spans="4:6">
      <c r="D609" s="4"/>
      <c r="E609" s="4"/>
      <c r="F609" s="4"/>
    </row>
    <row r="610" spans="4:6">
      <c r="D610" s="4"/>
      <c r="E610" s="4"/>
      <c r="F610" s="4"/>
    </row>
    <row r="611" spans="4:6">
      <c r="D611" s="4"/>
      <c r="E611" s="4"/>
      <c r="F611" s="4"/>
    </row>
    <row r="612" spans="4:6">
      <c r="D612" s="4"/>
      <c r="E612" s="4"/>
      <c r="F612" s="4"/>
    </row>
    <row r="613" spans="4:6">
      <c r="D613" s="4"/>
      <c r="E613" s="4"/>
      <c r="F613" s="4"/>
    </row>
    <row r="614" spans="4:6">
      <c r="D614" s="4"/>
      <c r="E614" s="4"/>
      <c r="F614" s="4"/>
    </row>
    <row r="615" spans="4:6">
      <c r="D615" s="4"/>
      <c r="E615" s="4"/>
      <c r="F615" s="4"/>
    </row>
    <row r="616" spans="4:6">
      <c r="D616" s="4"/>
      <c r="E616" s="4"/>
      <c r="F616" s="4"/>
    </row>
    <row r="617" spans="4:6">
      <c r="D617" s="4"/>
      <c r="E617" s="4"/>
      <c r="F617" s="4"/>
    </row>
    <row r="618" spans="4:6">
      <c r="D618" s="4"/>
      <c r="E618" s="4"/>
      <c r="F618" s="4"/>
    </row>
    <row r="619" spans="4:6">
      <c r="D619" s="4"/>
      <c r="E619" s="4"/>
      <c r="F619" s="4"/>
    </row>
    <row r="620" spans="4:6">
      <c r="D620" s="4"/>
      <c r="E620" s="4"/>
      <c r="F620" s="4"/>
    </row>
    <row r="621" spans="4:6">
      <c r="D621" s="4"/>
      <c r="E621" s="4"/>
      <c r="F621" s="4"/>
    </row>
    <row r="622" spans="4:6">
      <c r="D622" s="4"/>
      <c r="E622" s="4"/>
      <c r="F622" s="4"/>
    </row>
    <row r="623" spans="4:6">
      <c r="D623" s="4"/>
      <c r="E623" s="4"/>
      <c r="F623" s="4"/>
    </row>
    <row r="624" spans="4:6">
      <c r="D624" s="4"/>
      <c r="E624" s="4"/>
      <c r="F624" s="4"/>
    </row>
    <row r="625" spans="4:6">
      <c r="D625" s="4"/>
      <c r="E625" s="4"/>
      <c r="F625" s="4"/>
    </row>
    <row r="626" spans="4:6">
      <c r="D626" s="4"/>
      <c r="E626" s="4"/>
      <c r="F626" s="4"/>
    </row>
    <row r="627" spans="4:6">
      <c r="D627" s="4"/>
      <c r="E627" s="4"/>
      <c r="F627" s="4"/>
    </row>
    <row r="628" spans="4:6">
      <c r="D628" s="4"/>
      <c r="E628" s="4"/>
      <c r="F628" s="4"/>
    </row>
    <row r="629" spans="4:6">
      <c r="D629" s="4"/>
      <c r="E629" s="4"/>
      <c r="F629" s="4"/>
    </row>
    <row r="630" spans="4:6">
      <c r="D630" s="4"/>
      <c r="E630" s="4"/>
      <c r="F630" s="4"/>
    </row>
    <row r="631" spans="4:6">
      <c r="D631" s="4"/>
      <c r="E631" s="4"/>
      <c r="F631" s="4"/>
    </row>
    <row r="632" spans="4:6">
      <c r="D632" s="4"/>
      <c r="E632" s="4"/>
      <c r="F632" s="4"/>
    </row>
    <row r="633" spans="4:6">
      <c r="D633" s="4"/>
      <c r="E633" s="4"/>
      <c r="F633" s="4"/>
    </row>
    <row r="634" spans="4:6">
      <c r="D634" s="4"/>
      <c r="E634" s="4"/>
      <c r="F634" s="4"/>
    </row>
    <row r="635" spans="4:6">
      <c r="D635" s="4"/>
      <c r="E635" s="4"/>
      <c r="F635" s="4"/>
    </row>
    <row r="636" spans="4:6">
      <c r="D636" s="4"/>
      <c r="E636" s="4"/>
      <c r="F636" s="4"/>
    </row>
    <row r="637" spans="4:6">
      <c r="D637" s="4"/>
      <c r="E637" s="4"/>
      <c r="F637" s="4"/>
    </row>
    <row r="638" spans="4:6">
      <c r="D638" s="4"/>
      <c r="E638" s="4"/>
      <c r="F638" s="4"/>
    </row>
    <row r="639" spans="4:6">
      <c r="D639" s="4"/>
      <c r="E639" s="4"/>
      <c r="F639" s="4"/>
    </row>
    <row r="640" spans="4:6">
      <c r="D640" s="4"/>
      <c r="E640" s="4"/>
      <c r="F640" s="4"/>
    </row>
    <row r="641" spans="4:6">
      <c r="D641" s="4"/>
      <c r="E641" s="4"/>
      <c r="F641" s="4"/>
    </row>
    <row r="642" spans="4:6">
      <c r="D642" s="4"/>
      <c r="E642" s="4"/>
      <c r="F642" s="4"/>
    </row>
    <row r="643" spans="4:6">
      <c r="D643" s="4"/>
      <c r="E643" s="4"/>
      <c r="F643" s="4"/>
    </row>
    <row r="644" spans="4:6">
      <c r="D644" s="4"/>
      <c r="E644" s="4"/>
      <c r="F644" s="4"/>
    </row>
    <row r="645" spans="4:6">
      <c r="D645" s="4"/>
      <c r="E645" s="4"/>
      <c r="F645" s="4"/>
    </row>
    <row r="646" spans="4:6">
      <c r="D646" s="4"/>
      <c r="E646" s="4"/>
      <c r="F646" s="4"/>
    </row>
    <row r="647" spans="4:6">
      <c r="D647" s="4"/>
      <c r="E647" s="4"/>
      <c r="F647" s="4"/>
    </row>
    <row r="648" spans="4:6">
      <c r="D648" s="4"/>
      <c r="E648" s="4"/>
      <c r="F648" s="4"/>
    </row>
    <row r="649" spans="4:6">
      <c r="D649" s="4"/>
      <c r="E649" s="4"/>
      <c r="F649" s="4"/>
    </row>
    <row r="650" spans="4:6">
      <c r="D650" s="4"/>
      <c r="E650" s="4"/>
      <c r="F650" s="4"/>
    </row>
    <row r="651" spans="4:6">
      <c r="D651" s="4"/>
      <c r="E651" s="4"/>
      <c r="F651" s="4"/>
    </row>
    <row r="652" spans="4:6">
      <c r="D652" s="4"/>
      <c r="E652" s="4"/>
      <c r="F652" s="4"/>
    </row>
    <row r="653" spans="4:6">
      <c r="D653" s="4"/>
      <c r="E653" s="4"/>
      <c r="F653" s="4"/>
    </row>
    <row r="654" spans="4:6">
      <c r="D654" s="4"/>
      <c r="E654" s="4"/>
      <c r="F654" s="4"/>
    </row>
    <row r="655" spans="4:6">
      <c r="D655" s="4"/>
      <c r="E655" s="4"/>
      <c r="F655" s="4"/>
    </row>
    <row r="656" spans="4:6">
      <c r="D656" s="4"/>
      <c r="E656" s="4"/>
      <c r="F656" s="4"/>
    </row>
    <row r="657" spans="4:6">
      <c r="D657" s="4"/>
      <c r="E657" s="4"/>
      <c r="F657" s="4"/>
    </row>
    <row r="658" spans="4:6">
      <c r="D658" s="4"/>
      <c r="E658" s="4"/>
      <c r="F658" s="4"/>
    </row>
    <row r="659" spans="4:6">
      <c r="D659" s="4"/>
      <c r="E659" s="4"/>
      <c r="F659" s="4"/>
    </row>
    <row r="660" spans="4:6">
      <c r="D660" s="4"/>
      <c r="E660" s="4"/>
      <c r="F660" s="4"/>
    </row>
    <row r="661" spans="4:6">
      <c r="D661" s="4"/>
      <c r="E661" s="4"/>
      <c r="F661" s="4"/>
    </row>
    <row r="662" spans="4:6">
      <c r="D662" s="4"/>
      <c r="E662" s="4"/>
      <c r="F662" s="4"/>
    </row>
    <row r="663" spans="4:6">
      <c r="D663" s="4"/>
      <c r="E663" s="4"/>
      <c r="F663" s="4"/>
    </row>
    <row r="664" spans="4:6">
      <c r="D664" s="4"/>
      <c r="E664" s="4"/>
      <c r="F664" s="4"/>
    </row>
    <row r="665" spans="4:6">
      <c r="D665" s="4"/>
      <c r="E665" s="4"/>
      <c r="F665" s="4"/>
    </row>
    <row r="666" spans="4:6">
      <c r="D666" s="4"/>
      <c r="E666" s="4"/>
      <c r="F666" s="4"/>
    </row>
    <row r="667" spans="4:6">
      <c r="D667" s="4"/>
      <c r="E667" s="4"/>
      <c r="F667" s="4"/>
    </row>
    <row r="668" spans="4:6">
      <c r="D668" s="4"/>
      <c r="E668" s="4"/>
      <c r="F668" s="4"/>
    </row>
    <row r="669" spans="4:6">
      <c r="D669" s="4"/>
      <c r="E669" s="4"/>
      <c r="F669" s="4"/>
    </row>
    <row r="670" spans="4:6">
      <c r="D670" s="4"/>
      <c r="E670" s="4"/>
      <c r="F670" s="4"/>
    </row>
    <row r="671" spans="4:6">
      <c r="D671" s="4"/>
      <c r="E671" s="4"/>
      <c r="F671" s="4"/>
    </row>
    <row r="672" spans="4:6">
      <c r="D672" s="4"/>
      <c r="E672" s="4"/>
      <c r="F672" s="4"/>
    </row>
    <row r="673" spans="4:6">
      <c r="D673" s="4"/>
      <c r="E673" s="4"/>
      <c r="F673" s="4"/>
    </row>
    <row r="674" spans="4:6">
      <c r="D674" s="4"/>
      <c r="E674" s="4"/>
      <c r="F674" s="4"/>
    </row>
    <row r="675" spans="4:6">
      <c r="D675" s="4"/>
      <c r="E675" s="4"/>
      <c r="F675" s="4"/>
    </row>
    <row r="676" spans="4:6">
      <c r="D676" s="4"/>
      <c r="E676" s="4"/>
      <c r="F676" s="4"/>
    </row>
    <row r="677" spans="4:6">
      <c r="D677" s="4"/>
      <c r="E677" s="4"/>
      <c r="F677" s="4"/>
    </row>
    <row r="678" spans="4:6">
      <c r="D678" s="4"/>
      <c r="E678" s="4"/>
      <c r="F678" s="4"/>
    </row>
    <row r="679" spans="4:6">
      <c r="D679" s="4"/>
      <c r="E679" s="4"/>
      <c r="F679" s="4"/>
    </row>
    <row r="680" spans="4:6">
      <c r="D680" s="4"/>
      <c r="E680" s="4"/>
      <c r="F680" s="4"/>
    </row>
    <row r="681" spans="4:6">
      <c r="D681" s="4"/>
      <c r="E681" s="4"/>
      <c r="F681" s="4"/>
    </row>
    <row r="682" spans="4:6">
      <c r="D682" s="4"/>
      <c r="E682" s="4"/>
      <c r="F682" s="4"/>
    </row>
    <row r="683" spans="4:6">
      <c r="D683" s="4"/>
      <c r="E683" s="4"/>
      <c r="F683" s="4"/>
    </row>
    <row r="684" spans="4:6">
      <c r="D684" s="4"/>
      <c r="E684" s="4"/>
      <c r="F684" s="4"/>
    </row>
    <row r="685" spans="4:6">
      <c r="D685" s="4"/>
      <c r="E685" s="4"/>
      <c r="F685" s="4"/>
    </row>
    <row r="686" spans="4:6">
      <c r="D686" s="4"/>
      <c r="E686" s="4"/>
      <c r="F686" s="4"/>
    </row>
    <row r="687" spans="4:6">
      <c r="D687" s="4"/>
      <c r="E687" s="4"/>
      <c r="F687" s="4"/>
    </row>
    <row r="688" spans="4:6">
      <c r="D688" s="4"/>
      <c r="E688" s="4"/>
      <c r="F688" s="4"/>
    </row>
    <row r="689" spans="4:6">
      <c r="D689" s="4"/>
      <c r="E689" s="4"/>
      <c r="F689" s="4"/>
    </row>
    <row r="690" spans="4:6">
      <c r="D690" s="4"/>
      <c r="E690" s="4"/>
      <c r="F690" s="4"/>
    </row>
    <row r="691" spans="4:6">
      <c r="D691" s="4"/>
      <c r="E691" s="4"/>
      <c r="F691" s="4"/>
    </row>
    <row r="692" spans="4:6">
      <c r="D692" s="4"/>
      <c r="E692" s="4"/>
      <c r="F692" s="4"/>
    </row>
    <row r="693" spans="4:6">
      <c r="D693" s="4"/>
      <c r="E693" s="4"/>
      <c r="F693" s="4"/>
    </row>
    <row r="694" spans="4:6">
      <c r="D694" s="4"/>
      <c r="E694" s="4"/>
      <c r="F694" s="4"/>
    </row>
    <row r="695" spans="4:6">
      <c r="D695" s="4"/>
      <c r="E695" s="4"/>
      <c r="F695" s="4"/>
    </row>
    <row r="696" spans="4:6">
      <c r="D696" s="4"/>
      <c r="E696" s="4"/>
      <c r="F696" s="4"/>
    </row>
    <row r="697" spans="4:6">
      <c r="D697" s="4"/>
      <c r="E697" s="4"/>
      <c r="F697" s="4"/>
    </row>
    <row r="698" spans="4:6">
      <c r="D698" s="4"/>
      <c r="E698" s="4"/>
      <c r="F698" s="4"/>
    </row>
    <row r="699" spans="4:6">
      <c r="D699" s="4"/>
      <c r="E699" s="4"/>
      <c r="F699" s="4"/>
    </row>
    <row r="700" spans="4:6">
      <c r="D700" s="4"/>
      <c r="E700" s="4"/>
      <c r="F700" s="4"/>
    </row>
    <row r="701" spans="4:6">
      <c r="D701" s="4"/>
      <c r="E701" s="4"/>
      <c r="F701" s="4"/>
    </row>
    <row r="702" spans="4:6">
      <c r="D702" s="4"/>
      <c r="E702" s="4"/>
      <c r="F702" s="4"/>
    </row>
    <row r="703" spans="4:6">
      <c r="D703" s="4"/>
      <c r="E703" s="4"/>
      <c r="F703" s="4"/>
    </row>
    <row r="704" spans="4:6">
      <c r="D704" s="4"/>
      <c r="E704" s="4"/>
      <c r="F704" s="4"/>
    </row>
    <row r="705" spans="4:6">
      <c r="D705" s="4"/>
      <c r="E705" s="4"/>
      <c r="F705" s="4"/>
    </row>
    <row r="706" spans="4:6">
      <c r="D706" s="4"/>
      <c r="E706" s="4"/>
      <c r="F706" s="4"/>
    </row>
    <row r="707" spans="4:6">
      <c r="D707" s="4"/>
      <c r="E707" s="4"/>
      <c r="F707" s="4"/>
    </row>
    <row r="708" spans="4:6">
      <c r="D708" s="4"/>
      <c r="E708" s="4"/>
      <c r="F708" s="4"/>
    </row>
    <row r="709" spans="4:6">
      <c r="D709" s="4"/>
      <c r="E709" s="4"/>
      <c r="F709" s="4"/>
    </row>
    <row r="710" spans="4:6">
      <c r="D710" s="4"/>
      <c r="E710" s="4"/>
      <c r="F710" s="4"/>
    </row>
    <row r="711" spans="4:6">
      <c r="D711" s="4"/>
      <c r="E711" s="4"/>
      <c r="F711" s="4"/>
    </row>
    <row r="712" spans="4:6">
      <c r="D712" s="4"/>
      <c r="E712" s="4"/>
      <c r="F712" s="4"/>
    </row>
    <row r="713" spans="4:6">
      <c r="D713" s="4"/>
      <c r="E713" s="4"/>
      <c r="F713" s="4"/>
    </row>
    <row r="714" spans="4:6">
      <c r="D714" s="4"/>
      <c r="E714" s="4"/>
      <c r="F714" s="4"/>
    </row>
    <row r="715" spans="4:6">
      <c r="D715" s="4"/>
      <c r="E715" s="4"/>
      <c r="F715" s="4"/>
    </row>
    <row r="716" spans="4:6">
      <c r="D716" s="4"/>
      <c r="E716" s="4"/>
      <c r="F716" s="4"/>
    </row>
    <row r="717" spans="4:6">
      <c r="D717" s="4"/>
      <c r="E717" s="4"/>
      <c r="F717" s="4"/>
    </row>
    <row r="718" spans="4:6">
      <c r="D718" s="4"/>
      <c r="E718" s="4"/>
      <c r="F718" s="4"/>
    </row>
    <row r="719" spans="4:6">
      <c r="D719" s="4"/>
      <c r="E719" s="4"/>
      <c r="F719" s="4"/>
    </row>
    <row r="720" spans="4:6">
      <c r="D720" s="4"/>
      <c r="E720" s="4"/>
      <c r="F720" s="4"/>
    </row>
    <row r="721" spans="4:6">
      <c r="D721" s="4"/>
      <c r="E721" s="4"/>
      <c r="F721" s="4"/>
    </row>
    <row r="722" spans="4:6">
      <c r="D722" s="4"/>
      <c r="E722" s="4"/>
      <c r="F722" s="4"/>
    </row>
    <row r="723" spans="4:6">
      <c r="D723" s="4"/>
      <c r="E723" s="4"/>
      <c r="F723" s="4"/>
    </row>
    <row r="724" spans="4:6">
      <c r="D724" s="4"/>
      <c r="E724" s="4"/>
      <c r="F724" s="4"/>
    </row>
    <row r="725" spans="4:6">
      <c r="D725" s="4"/>
      <c r="E725" s="4"/>
      <c r="F725" s="4"/>
    </row>
    <row r="726" spans="4:6">
      <c r="D726" s="4"/>
      <c r="E726" s="4"/>
      <c r="F726" s="4"/>
    </row>
    <row r="727" spans="4:6">
      <c r="D727" s="4"/>
      <c r="E727" s="4"/>
      <c r="F727" s="4"/>
    </row>
    <row r="728" spans="4:6">
      <c r="D728" s="4"/>
      <c r="E728" s="4"/>
      <c r="F728" s="4"/>
    </row>
    <row r="729" spans="4:6">
      <c r="D729" s="4"/>
      <c r="E729" s="4"/>
      <c r="F729" s="4"/>
    </row>
    <row r="730" spans="4:6">
      <c r="D730" s="4"/>
      <c r="E730" s="4"/>
      <c r="F730" s="4"/>
    </row>
    <row r="731" spans="4:6">
      <c r="D731" s="4"/>
      <c r="E731" s="4"/>
      <c r="F731" s="4"/>
    </row>
    <row r="732" spans="4:6">
      <c r="D732" s="4"/>
      <c r="E732" s="4"/>
      <c r="F732" s="4"/>
    </row>
    <row r="733" spans="4:6">
      <c r="D733" s="4"/>
      <c r="E733" s="4"/>
      <c r="F733" s="4"/>
    </row>
    <row r="734" spans="4:6">
      <c r="D734" s="4"/>
      <c r="E734" s="4"/>
      <c r="F734" s="4"/>
    </row>
    <row r="735" spans="4:6">
      <c r="D735" s="4"/>
      <c r="E735" s="4"/>
      <c r="F735" s="4"/>
    </row>
    <row r="736" spans="4:6">
      <c r="D736" s="4"/>
      <c r="E736" s="4"/>
      <c r="F736" s="4"/>
    </row>
    <row r="737" spans="4:6">
      <c r="D737" s="4"/>
      <c r="E737" s="4"/>
      <c r="F737" s="4"/>
    </row>
    <row r="738" spans="4:6">
      <c r="D738" s="4"/>
      <c r="E738" s="4"/>
      <c r="F738" s="4"/>
    </row>
    <row r="739" spans="4:6">
      <c r="D739" s="4"/>
      <c r="E739" s="4"/>
      <c r="F739" s="4"/>
    </row>
    <row r="740" spans="4:6">
      <c r="D740" s="4"/>
      <c r="E740" s="4"/>
      <c r="F740" s="4"/>
    </row>
    <row r="741" spans="4:6">
      <c r="D741" s="4"/>
      <c r="E741" s="4"/>
      <c r="F741" s="4"/>
    </row>
    <row r="742" spans="4:6">
      <c r="D742" s="4"/>
      <c r="E742" s="4"/>
      <c r="F742" s="4"/>
    </row>
    <row r="743" spans="4:6">
      <c r="D743" s="4"/>
      <c r="E743" s="4"/>
      <c r="F743" s="4"/>
    </row>
    <row r="744" spans="4:6">
      <c r="D744" s="4"/>
      <c r="E744" s="4"/>
      <c r="F744" s="4"/>
    </row>
    <row r="745" spans="4:6">
      <c r="D745" s="4"/>
      <c r="E745" s="4"/>
      <c r="F745" s="4"/>
    </row>
    <row r="746" spans="4:6">
      <c r="D746" s="4"/>
      <c r="E746" s="4"/>
      <c r="F746" s="4"/>
    </row>
    <row r="747" spans="4:6">
      <c r="D747" s="4"/>
      <c r="E747" s="4"/>
      <c r="F747" s="4"/>
    </row>
    <row r="748" spans="4:6">
      <c r="D748" s="4"/>
      <c r="E748" s="4"/>
      <c r="F748" s="4"/>
    </row>
    <row r="749" spans="4:6">
      <c r="D749" s="4"/>
      <c r="E749" s="4"/>
      <c r="F749" s="4"/>
    </row>
    <row r="750" spans="4:6">
      <c r="D750" s="4"/>
      <c r="E750" s="4"/>
      <c r="F750" s="4"/>
    </row>
    <row r="751" spans="4:6">
      <c r="D751" s="4"/>
      <c r="E751" s="4"/>
      <c r="F751" s="4"/>
    </row>
    <row r="752" spans="4:6">
      <c r="D752" s="4"/>
      <c r="E752" s="4"/>
      <c r="F752" s="4"/>
    </row>
    <row r="753" spans="4:6">
      <c r="D753" s="4"/>
      <c r="E753" s="4"/>
      <c r="F753" s="4"/>
    </row>
    <row r="754" spans="4:6">
      <c r="D754" s="4"/>
      <c r="E754" s="4"/>
      <c r="F754" s="4"/>
    </row>
    <row r="755" spans="4:6">
      <c r="D755" s="4"/>
      <c r="E755" s="4"/>
      <c r="F755" s="4"/>
    </row>
    <row r="756" spans="4:6">
      <c r="D756" s="4"/>
      <c r="E756" s="4"/>
      <c r="F756" s="4"/>
    </row>
    <row r="757" spans="4:6">
      <c r="D757" s="4"/>
      <c r="E757" s="4"/>
      <c r="F757" s="4"/>
    </row>
    <row r="758" spans="4:6">
      <c r="D758" s="4"/>
      <c r="E758" s="4"/>
      <c r="F758" s="4"/>
    </row>
    <row r="759" spans="4:6">
      <c r="D759" s="4"/>
      <c r="E759" s="4"/>
      <c r="F759" s="4"/>
    </row>
    <row r="760" spans="4:6">
      <c r="D760" s="4"/>
      <c r="E760" s="4"/>
      <c r="F760" s="4"/>
    </row>
    <row r="761" spans="4:6">
      <c r="D761" s="4"/>
      <c r="E761" s="4"/>
      <c r="F761" s="4"/>
    </row>
    <row r="762" spans="4:6">
      <c r="D762" s="4"/>
      <c r="E762" s="4"/>
      <c r="F762" s="4"/>
    </row>
    <row r="763" spans="4:6">
      <c r="D763" s="4"/>
      <c r="E763" s="4"/>
      <c r="F763" s="4"/>
    </row>
    <row r="764" spans="4:6">
      <c r="D764" s="4"/>
      <c r="E764" s="4"/>
      <c r="F764" s="4"/>
    </row>
    <row r="765" spans="4:6">
      <c r="D765" s="4"/>
      <c r="E765" s="4"/>
      <c r="F765" s="4"/>
    </row>
    <row r="766" spans="4:6">
      <c r="D766" s="4"/>
      <c r="E766" s="4"/>
      <c r="F766" s="4"/>
    </row>
    <row r="767" spans="4:6">
      <c r="D767" s="4"/>
      <c r="E767" s="4"/>
      <c r="F767" s="4"/>
    </row>
    <row r="768" spans="4:6">
      <c r="D768" s="4"/>
      <c r="E768" s="4"/>
      <c r="F768" s="4"/>
    </row>
    <row r="769" spans="4:6">
      <c r="D769" s="4"/>
      <c r="E769" s="4"/>
      <c r="F769" s="4"/>
    </row>
    <row r="770" spans="4:6">
      <c r="D770" s="4"/>
      <c r="E770" s="4"/>
      <c r="F770" s="4"/>
    </row>
    <row r="771" spans="4:6">
      <c r="D771" s="4"/>
      <c r="E771" s="4"/>
      <c r="F771" s="4"/>
    </row>
    <row r="772" spans="4:6">
      <c r="D772" s="4"/>
      <c r="E772" s="4"/>
      <c r="F772" s="4"/>
    </row>
    <row r="773" spans="4:6">
      <c r="D773" s="4"/>
      <c r="E773" s="4"/>
      <c r="F773" s="4"/>
    </row>
    <row r="774" spans="4:6">
      <c r="D774" s="4"/>
      <c r="E774" s="4"/>
      <c r="F774" s="4"/>
    </row>
    <row r="775" spans="4:6">
      <c r="D775" s="4"/>
      <c r="E775" s="4"/>
      <c r="F775" s="4"/>
    </row>
    <row r="776" spans="4:6">
      <c r="D776" s="4"/>
      <c r="E776" s="4"/>
      <c r="F776" s="4"/>
    </row>
    <row r="777" spans="4:6">
      <c r="D777" s="4"/>
      <c r="E777" s="4"/>
      <c r="F777" s="4"/>
    </row>
    <row r="778" spans="4:6">
      <c r="D778" s="4"/>
      <c r="E778" s="4"/>
      <c r="F778" s="4"/>
    </row>
    <row r="779" spans="4:6">
      <c r="D779" s="4"/>
      <c r="E779" s="4"/>
      <c r="F779" s="4"/>
    </row>
    <row r="780" spans="4:6">
      <c r="D780" s="4"/>
      <c r="E780" s="4"/>
      <c r="F780" s="4"/>
    </row>
    <row r="781" spans="4:6">
      <c r="D781" s="4"/>
      <c r="E781" s="4"/>
      <c r="F781" s="4"/>
    </row>
    <row r="782" spans="4:6">
      <c r="D782" s="4"/>
      <c r="E782" s="4"/>
      <c r="F782" s="4"/>
    </row>
    <row r="783" spans="4:6">
      <c r="D783" s="4"/>
      <c r="E783" s="4"/>
      <c r="F783" s="4"/>
    </row>
    <row r="784" spans="4:6">
      <c r="D784" s="4"/>
      <c r="E784" s="4"/>
      <c r="F784" s="4"/>
    </row>
    <row r="785" spans="4:6">
      <c r="D785" s="4"/>
      <c r="E785" s="4"/>
      <c r="F785" s="4"/>
    </row>
    <row r="786" spans="4:6">
      <c r="D786" s="4"/>
      <c r="E786" s="4"/>
      <c r="F786" s="4"/>
    </row>
    <row r="787" spans="4:6">
      <c r="D787" s="4"/>
      <c r="E787" s="4"/>
      <c r="F787" s="4"/>
    </row>
    <row r="788" spans="4:6">
      <c r="D788" s="4"/>
      <c r="E788" s="4"/>
      <c r="F788" s="4"/>
    </row>
    <row r="789" spans="4:6">
      <c r="D789" s="4"/>
      <c r="E789" s="4"/>
      <c r="F789" s="4"/>
    </row>
    <row r="790" spans="4:6">
      <c r="D790" s="4"/>
      <c r="E790" s="4"/>
      <c r="F790" s="4"/>
    </row>
    <row r="791" spans="4:6">
      <c r="D791" s="4"/>
      <c r="E791" s="4"/>
      <c r="F791" s="4"/>
    </row>
    <row r="792" spans="4:6">
      <c r="D792" s="4"/>
      <c r="E792" s="4"/>
      <c r="F792" s="4"/>
    </row>
    <row r="793" spans="4:6">
      <c r="D793" s="4"/>
      <c r="E793" s="4"/>
      <c r="F793" s="4"/>
    </row>
    <row r="794" spans="4:6">
      <c r="D794" s="4"/>
      <c r="E794" s="4"/>
      <c r="F794" s="4"/>
    </row>
    <row r="795" spans="4:6">
      <c r="D795" s="4"/>
      <c r="E795" s="4"/>
      <c r="F795" s="4"/>
    </row>
    <row r="796" spans="4:6">
      <c r="D796" s="4"/>
      <c r="E796" s="4"/>
      <c r="F796" s="4"/>
    </row>
    <row r="797" spans="4:6">
      <c r="D797" s="4"/>
      <c r="E797" s="4"/>
      <c r="F797" s="4"/>
    </row>
    <row r="798" spans="4:6">
      <c r="D798" s="4"/>
      <c r="E798" s="4"/>
      <c r="F798" s="4"/>
    </row>
    <row r="799" spans="4:6">
      <c r="D799" s="4"/>
      <c r="E799" s="4"/>
      <c r="F799" s="4"/>
    </row>
    <row r="800" spans="4:6">
      <c r="D800" s="4"/>
      <c r="E800" s="4"/>
      <c r="F800" s="4"/>
    </row>
    <row r="801" spans="4:6">
      <c r="D801" s="4"/>
      <c r="E801" s="4"/>
      <c r="F801" s="4"/>
    </row>
    <row r="802" spans="4:6">
      <c r="D802" s="4"/>
      <c r="E802" s="4"/>
      <c r="F802" s="4"/>
    </row>
    <row r="803" spans="4:6">
      <c r="D803" s="4"/>
      <c r="E803" s="4"/>
      <c r="F803" s="4"/>
    </row>
    <row r="804" spans="4:6">
      <c r="D804" s="4"/>
      <c r="E804" s="4"/>
      <c r="F804" s="4"/>
    </row>
    <row r="805" spans="4:6">
      <c r="D805" s="4"/>
      <c r="E805" s="4"/>
      <c r="F805" s="4"/>
    </row>
    <row r="806" spans="4:6">
      <c r="D806" s="4"/>
      <c r="E806" s="4"/>
      <c r="F806" s="4"/>
    </row>
    <row r="807" spans="4:6">
      <c r="D807" s="4"/>
      <c r="E807" s="4"/>
      <c r="F807" s="4"/>
    </row>
    <row r="808" spans="4:6">
      <c r="D808" s="4"/>
      <c r="E808" s="4"/>
      <c r="F808" s="4"/>
    </row>
    <row r="809" spans="4:6">
      <c r="D809" s="4"/>
      <c r="E809" s="4"/>
      <c r="F809" s="4"/>
    </row>
    <row r="810" spans="4:6">
      <c r="D810" s="4"/>
      <c r="E810" s="4"/>
      <c r="F810" s="4"/>
    </row>
    <row r="811" spans="4:6">
      <c r="D811" s="4"/>
      <c r="E811" s="4"/>
      <c r="F811" s="4"/>
    </row>
    <row r="812" spans="4:6">
      <c r="D812" s="4"/>
      <c r="E812" s="4"/>
      <c r="F812" s="4"/>
    </row>
    <row r="813" spans="4:6">
      <c r="D813" s="4"/>
      <c r="E813" s="4"/>
      <c r="F813" s="4"/>
    </row>
    <row r="814" spans="4:6">
      <c r="D814" s="4"/>
      <c r="E814" s="4"/>
      <c r="F814" s="4"/>
    </row>
    <row r="815" spans="4:6">
      <c r="D815" s="4"/>
      <c r="E815" s="4"/>
      <c r="F815" s="4"/>
    </row>
    <row r="816" spans="4:6">
      <c r="D816" s="4"/>
      <c r="E816" s="4"/>
      <c r="F816" s="4"/>
    </row>
    <row r="817" spans="4:6">
      <c r="D817" s="4"/>
      <c r="E817" s="4"/>
      <c r="F817" s="4"/>
    </row>
    <row r="818" spans="4:6">
      <c r="D818" s="4"/>
      <c r="E818" s="4"/>
      <c r="F818" s="4"/>
    </row>
    <row r="819" spans="4:6">
      <c r="D819" s="4"/>
      <c r="E819" s="4"/>
      <c r="F819" s="4"/>
    </row>
    <row r="820" spans="4:6">
      <c r="D820" s="4"/>
      <c r="E820" s="4"/>
      <c r="F820" s="4"/>
    </row>
    <row r="821" spans="4:6">
      <c r="D821" s="4"/>
      <c r="E821" s="4"/>
      <c r="F821" s="4"/>
    </row>
    <row r="822" spans="4:6">
      <c r="D822" s="4"/>
      <c r="E822" s="4"/>
      <c r="F822" s="4"/>
    </row>
    <row r="823" spans="4:6">
      <c r="D823" s="4"/>
      <c r="E823" s="4"/>
      <c r="F823" s="4"/>
    </row>
    <row r="824" spans="4:6">
      <c r="D824" s="4"/>
      <c r="E824" s="4"/>
      <c r="F824" s="4"/>
    </row>
    <row r="825" spans="4:6">
      <c r="D825" s="4"/>
      <c r="E825" s="4"/>
      <c r="F825" s="4"/>
    </row>
    <row r="826" spans="4:6">
      <c r="D826" s="4"/>
      <c r="E826" s="4"/>
      <c r="F826" s="4"/>
    </row>
    <row r="827" spans="4:6">
      <c r="D827" s="4"/>
      <c r="E827" s="4"/>
      <c r="F827" s="4"/>
    </row>
    <row r="828" spans="4:6">
      <c r="D828" s="4"/>
      <c r="E828" s="4"/>
      <c r="F828" s="4"/>
    </row>
    <row r="829" spans="4:6">
      <c r="D829" s="4"/>
      <c r="E829" s="4"/>
      <c r="F829" s="4"/>
    </row>
    <row r="830" spans="4:6">
      <c r="D830" s="4"/>
      <c r="E830" s="4"/>
      <c r="F830" s="4"/>
    </row>
    <row r="831" spans="4:6">
      <c r="D831" s="4"/>
      <c r="E831" s="4"/>
      <c r="F831" s="4"/>
    </row>
    <row r="832" spans="4:6">
      <c r="D832" s="4"/>
      <c r="E832" s="4"/>
      <c r="F832" s="4"/>
    </row>
    <row r="833" spans="4:6">
      <c r="D833" s="4"/>
      <c r="E833" s="4"/>
      <c r="F833" s="4"/>
    </row>
    <row r="834" spans="4:6">
      <c r="D834" s="4"/>
      <c r="E834" s="4"/>
      <c r="F834" s="4"/>
    </row>
    <row r="835" spans="4:6">
      <c r="D835" s="4"/>
      <c r="E835" s="4"/>
      <c r="F835" s="4"/>
    </row>
    <row r="836" spans="4:6">
      <c r="D836" s="4"/>
      <c r="E836" s="4"/>
      <c r="F836" s="4"/>
    </row>
    <row r="837" spans="4:6">
      <c r="D837" s="4"/>
      <c r="E837" s="4"/>
      <c r="F837" s="4"/>
    </row>
    <row r="838" spans="4:6">
      <c r="D838" s="4"/>
      <c r="E838" s="4"/>
      <c r="F838" s="4"/>
    </row>
    <row r="839" spans="4:6">
      <c r="D839" s="4"/>
      <c r="E839" s="4"/>
      <c r="F839" s="4"/>
    </row>
    <row r="840" spans="4:6">
      <c r="D840" s="4"/>
      <c r="E840" s="4"/>
      <c r="F840" s="4"/>
    </row>
    <row r="841" spans="4:6">
      <c r="D841" s="4"/>
      <c r="E841" s="4"/>
      <c r="F841" s="4"/>
    </row>
    <row r="842" spans="4:6">
      <c r="D842" s="4"/>
      <c r="E842" s="4"/>
      <c r="F842" s="4"/>
    </row>
    <row r="843" spans="4:6">
      <c r="D843" s="4"/>
      <c r="E843" s="4"/>
      <c r="F843" s="4"/>
    </row>
    <row r="844" spans="4:6">
      <c r="D844" s="4"/>
      <c r="E844" s="4"/>
      <c r="F844" s="4"/>
    </row>
    <row r="845" spans="4:6">
      <c r="D845" s="4"/>
      <c r="E845" s="4"/>
      <c r="F845" s="4"/>
    </row>
    <row r="846" spans="4:6">
      <c r="D846" s="4"/>
      <c r="E846" s="4"/>
      <c r="F846" s="4"/>
    </row>
    <row r="847" spans="4:6">
      <c r="D847" s="4"/>
      <c r="E847" s="4"/>
      <c r="F847" s="4"/>
    </row>
    <row r="848" spans="4:6">
      <c r="D848" s="4"/>
      <c r="E848" s="4"/>
      <c r="F848" s="4"/>
    </row>
    <row r="849" spans="4:6">
      <c r="D849" s="4"/>
      <c r="E849" s="4"/>
      <c r="F849" s="4"/>
    </row>
    <row r="850" spans="4:6">
      <c r="D850" s="4"/>
      <c r="E850" s="4"/>
      <c r="F850" s="4"/>
    </row>
    <row r="851" spans="4:6">
      <c r="D851" s="4"/>
      <c r="E851" s="4"/>
      <c r="F851" s="4"/>
    </row>
    <row r="852" spans="4:6">
      <c r="D852" s="4"/>
      <c r="E852" s="4"/>
      <c r="F852" s="4"/>
    </row>
    <row r="853" spans="4:6">
      <c r="D853" s="4"/>
      <c r="E853" s="4"/>
      <c r="F853" s="4"/>
    </row>
    <row r="854" spans="4:6">
      <c r="D854" s="4"/>
      <c r="E854" s="4"/>
      <c r="F854" s="4"/>
    </row>
    <row r="855" spans="4:6">
      <c r="D855" s="4"/>
      <c r="E855" s="4"/>
      <c r="F855" s="4"/>
    </row>
    <row r="856" spans="4:6">
      <c r="D856" s="4"/>
      <c r="E856" s="4"/>
      <c r="F856" s="4"/>
    </row>
    <row r="857" spans="4:6">
      <c r="D857" s="4"/>
      <c r="E857" s="4"/>
      <c r="F857" s="4"/>
    </row>
    <row r="858" spans="4:6">
      <c r="D858" s="4"/>
      <c r="E858" s="4"/>
      <c r="F858" s="4"/>
    </row>
    <row r="859" spans="4:6">
      <c r="D859" s="4"/>
      <c r="E859" s="4"/>
      <c r="F859" s="4"/>
    </row>
    <row r="860" spans="4:6">
      <c r="D860" s="4"/>
      <c r="E860" s="4"/>
      <c r="F860" s="4"/>
    </row>
    <row r="861" spans="4:6">
      <c r="D861" s="4"/>
      <c r="E861" s="4"/>
      <c r="F861" s="4"/>
    </row>
    <row r="862" spans="4:6">
      <c r="D862" s="4"/>
      <c r="E862" s="4"/>
      <c r="F862" s="4"/>
    </row>
    <row r="863" spans="4:6">
      <c r="D863" s="4"/>
      <c r="E863" s="4"/>
      <c r="F863" s="4"/>
    </row>
    <row r="864" spans="4:6">
      <c r="D864" s="4"/>
      <c r="E864" s="4"/>
      <c r="F864" s="4"/>
    </row>
    <row r="865" spans="4:6">
      <c r="D865" s="4"/>
      <c r="E865" s="4"/>
      <c r="F865" s="4"/>
    </row>
    <row r="866" spans="4:6">
      <c r="D866" s="4"/>
      <c r="E866" s="4"/>
      <c r="F866" s="4"/>
    </row>
    <row r="867" spans="4:6">
      <c r="D867" s="4"/>
      <c r="E867" s="4"/>
      <c r="F867" s="4"/>
    </row>
    <row r="868" spans="4:6">
      <c r="D868" s="4"/>
      <c r="E868" s="4"/>
      <c r="F868" s="4"/>
    </row>
    <row r="869" spans="4:6">
      <c r="D869" s="4"/>
      <c r="E869" s="4"/>
      <c r="F869" s="4"/>
    </row>
    <row r="870" spans="4:6">
      <c r="D870" s="4"/>
      <c r="E870" s="4"/>
      <c r="F870" s="4"/>
    </row>
    <row r="871" spans="4:6">
      <c r="D871" s="4"/>
      <c r="E871" s="4"/>
      <c r="F871" s="4"/>
    </row>
    <row r="872" spans="4:6">
      <c r="D872" s="4"/>
      <c r="E872" s="4"/>
      <c r="F872" s="4"/>
    </row>
    <row r="873" spans="4:6">
      <c r="D873" s="4"/>
      <c r="E873" s="4"/>
      <c r="F873" s="4"/>
    </row>
    <row r="874" spans="4:6">
      <c r="D874" s="4"/>
      <c r="E874" s="4"/>
      <c r="F874" s="4"/>
    </row>
    <row r="875" spans="4:6">
      <c r="D875" s="4"/>
      <c r="E875" s="4"/>
      <c r="F875" s="4"/>
    </row>
    <row r="876" spans="4:6">
      <c r="D876" s="4"/>
      <c r="E876" s="4"/>
      <c r="F876" s="4"/>
    </row>
    <row r="877" spans="4:6">
      <c r="D877" s="4"/>
      <c r="E877" s="4"/>
      <c r="F877" s="4"/>
    </row>
    <row r="878" spans="4:6">
      <c r="D878" s="4"/>
      <c r="E878" s="4"/>
      <c r="F878" s="4"/>
    </row>
    <row r="879" spans="4:6">
      <c r="D879" s="4"/>
      <c r="E879" s="4"/>
      <c r="F879" s="4"/>
    </row>
    <row r="880" spans="4:6">
      <c r="D880" s="4"/>
      <c r="E880" s="4"/>
      <c r="F880" s="4"/>
    </row>
    <row r="881" spans="4:6">
      <c r="D881" s="4"/>
      <c r="E881" s="4"/>
      <c r="F881" s="4"/>
    </row>
    <row r="882" spans="4:6">
      <c r="D882" s="4"/>
      <c r="E882" s="4"/>
      <c r="F882" s="4"/>
    </row>
    <row r="883" spans="4:6">
      <c r="D883" s="4"/>
      <c r="E883" s="4"/>
      <c r="F883" s="4"/>
    </row>
    <row r="884" spans="4:6">
      <c r="D884" s="4"/>
      <c r="E884" s="4"/>
      <c r="F884" s="4"/>
    </row>
    <row r="885" spans="4:6">
      <c r="D885" s="4"/>
      <c r="E885" s="4"/>
      <c r="F885" s="4"/>
    </row>
    <row r="886" spans="4:6">
      <c r="D886" s="4"/>
      <c r="E886" s="4"/>
      <c r="F886" s="4"/>
    </row>
    <row r="887" spans="4:6">
      <c r="D887" s="4"/>
      <c r="E887" s="4"/>
      <c r="F887" s="4"/>
    </row>
    <row r="888" spans="4:6">
      <c r="D888" s="4"/>
      <c r="E888" s="4"/>
      <c r="F888" s="4"/>
    </row>
    <row r="889" spans="4:6">
      <c r="D889" s="4"/>
      <c r="E889" s="4"/>
      <c r="F889" s="4"/>
    </row>
    <row r="890" spans="4:6">
      <c r="D890" s="4"/>
      <c r="E890" s="4"/>
      <c r="F890" s="4"/>
    </row>
    <row r="891" spans="4:6">
      <c r="D891" s="4"/>
      <c r="E891" s="4"/>
      <c r="F891" s="4"/>
    </row>
    <row r="892" spans="4:6">
      <c r="D892" s="4"/>
      <c r="E892" s="4"/>
      <c r="F892" s="4"/>
    </row>
    <row r="893" spans="4:6">
      <c r="D893" s="4"/>
      <c r="E893" s="4"/>
      <c r="F893" s="4"/>
    </row>
    <row r="894" spans="4:6">
      <c r="D894" s="4"/>
      <c r="E894" s="4"/>
      <c r="F894" s="4"/>
    </row>
    <row r="895" spans="4:6">
      <c r="D895" s="4"/>
      <c r="E895" s="4"/>
      <c r="F895" s="4"/>
    </row>
    <row r="896" spans="4:6">
      <c r="D896" s="4"/>
      <c r="E896" s="4"/>
      <c r="F896" s="4"/>
    </row>
    <row r="897" spans="4:6">
      <c r="D897" s="4"/>
      <c r="E897" s="4"/>
      <c r="F897" s="4"/>
    </row>
    <row r="898" spans="4:6">
      <c r="D898" s="4"/>
      <c r="E898" s="4"/>
      <c r="F898" s="4"/>
    </row>
    <row r="899" spans="4:6">
      <c r="D899" s="4"/>
      <c r="E899" s="4"/>
      <c r="F899" s="4"/>
    </row>
    <row r="900" spans="4:6">
      <c r="D900" s="4"/>
      <c r="E900" s="4"/>
      <c r="F900" s="4"/>
    </row>
    <row r="901" spans="4:6">
      <c r="D901" s="4"/>
      <c r="E901" s="4"/>
      <c r="F901" s="4"/>
    </row>
    <row r="902" spans="4:6">
      <c r="D902" s="4"/>
      <c r="E902" s="4"/>
      <c r="F902" s="4"/>
    </row>
    <row r="903" spans="4:6">
      <c r="D903" s="4"/>
      <c r="E903" s="4"/>
      <c r="F903" s="4"/>
    </row>
    <row r="904" spans="4:6">
      <c r="D904" s="4"/>
      <c r="E904" s="4"/>
      <c r="F904" s="4"/>
    </row>
    <row r="905" spans="4:6">
      <c r="D905" s="4"/>
      <c r="E905" s="4"/>
      <c r="F905" s="4"/>
    </row>
    <row r="906" spans="4:6">
      <c r="D906" s="4"/>
      <c r="E906" s="4"/>
      <c r="F906" s="4"/>
    </row>
    <row r="907" spans="4:6">
      <c r="D907" s="4"/>
      <c r="E907" s="4"/>
      <c r="F907" s="4"/>
    </row>
    <row r="908" spans="4:6">
      <c r="D908" s="4"/>
      <c r="E908" s="4"/>
      <c r="F908" s="4"/>
    </row>
    <row r="909" spans="4:6">
      <c r="D909" s="4"/>
      <c r="E909" s="4"/>
      <c r="F909" s="4"/>
    </row>
    <row r="910" spans="4:6">
      <c r="D910" s="4"/>
      <c r="E910" s="4"/>
      <c r="F910" s="4"/>
    </row>
    <row r="911" spans="4:6">
      <c r="D911" s="4"/>
      <c r="E911" s="4"/>
      <c r="F911" s="4"/>
    </row>
    <row r="912" spans="4:6">
      <c r="D912" s="4"/>
      <c r="E912" s="4"/>
      <c r="F912" s="4"/>
    </row>
    <row r="913" spans="4:6">
      <c r="D913" s="4"/>
      <c r="E913" s="4"/>
      <c r="F913" s="4"/>
    </row>
    <row r="914" spans="4:6">
      <c r="D914" s="4"/>
      <c r="E914" s="4"/>
      <c r="F914" s="4"/>
    </row>
    <row r="915" spans="4:6">
      <c r="D915" s="4"/>
      <c r="E915" s="4"/>
      <c r="F915" s="4"/>
    </row>
    <row r="916" spans="4:6">
      <c r="D916" s="4"/>
      <c r="E916" s="4"/>
      <c r="F916" s="4"/>
    </row>
    <row r="917" spans="4:6">
      <c r="D917" s="4"/>
      <c r="E917" s="4"/>
      <c r="F917" s="4"/>
    </row>
    <row r="918" spans="4:6">
      <c r="D918" s="4"/>
      <c r="E918" s="4"/>
      <c r="F918" s="4"/>
    </row>
    <row r="919" spans="4:6">
      <c r="D919" s="4"/>
      <c r="E919" s="4"/>
      <c r="F919" s="4"/>
    </row>
    <row r="920" spans="4:6">
      <c r="D920" s="4"/>
      <c r="E920" s="4"/>
      <c r="F920" s="4"/>
    </row>
    <row r="921" spans="4:6">
      <c r="D921" s="4"/>
      <c r="E921" s="4"/>
      <c r="F921" s="4"/>
    </row>
    <row r="922" spans="4:6">
      <c r="D922" s="4"/>
      <c r="E922" s="4"/>
      <c r="F922" s="4"/>
    </row>
    <row r="923" spans="4:6">
      <c r="D923" s="4"/>
      <c r="E923" s="4"/>
      <c r="F923" s="4"/>
    </row>
    <row r="924" spans="4:6">
      <c r="D924" s="4"/>
      <c r="E924" s="4"/>
      <c r="F924" s="4"/>
    </row>
    <row r="925" spans="4:6">
      <c r="D925" s="4"/>
      <c r="E925" s="4"/>
      <c r="F925" s="4"/>
    </row>
    <row r="926" spans="4:6">
      <c r="D926" s="4"/>
      <c r="E926" s="4"/>
      <c r="F926" s="4"/>
    </row>
    <row r="927" spans="4:6">
      <c r="D927" s="4"/>
      <c r="E927" s="4"/>
      <c r="F927" s="4"/>
    </row>
    <row r="928" spans="4:6">
      <c r="D928" s="4"/>
      <c r="E928" s="4"/>
      <c r="F928" s="4"/>
    </row>
    <row r="929" spans="4:6">
      <c r="D929" s="4"/>
      <c r="E929" s="4"/>
      <c r="F929" s="4"/>
    </row>
    <row r="930" spans="4:6">
      <c r="D930" s="4"/>
      <c r="E930" s="4"/>
      <c r="F930" s="4"/>
    </row>
    <row r="931" spans="4:6">
      <c r="D931" s="4"/>
      <c r="E931" s="4"/>
      <c r="F931" s="4"/>
    </row>
    <row r="932" spans="4:6">
      <c r="D932" s="4"/>
      <c r="E932" s="4"/>
      <c r="F932" s="4"/>
    </row>
    <row r="933" spans="4:6">
      <c r="D933" s="4"/>
      <c r="E933" s="4"/>
      <c r="F933" s="4"/>
    </row>
    <row r="934" spans="4:6">
      <c r="D934" s="4"/>
      <c r="E934" s="4"/>
      <c r="F934" s="4"/>
    </row>
    <row r="935" spans="4:6">
      <c r="D935" s="4"/>
      <c r="E935" s="4"/>
      <c r="F935" s="4"/>
    </row>
    <row r="936" spans="4:6">
      <c r="D936" s="4"/>
      <c r="E936" s="4"/>
      <c r="F936" s="4"/>
    </row>
    <row r="937" spans="4:6">
      <c r="D937" s="4"/>
      <c r="E937" s="4"/>
      <c r="F937" s="4"/>
    </row>
    <row r="938" spans="4:6">
      <c r="D938" s="4"/>
      <c r="E938" s="4"/>
      <c r="F938" s="4"/>
    </row>
    <row r="939" spans="4:6">
      <c r="D939" s="4"/>
      <c r="E939" s="4"/>
      <c r="F939" s="4"/>
    </row>
    <row r="940" spans="4:6">
      <c r="D940" s="4"/>
      <c r="E940" s="4"/>
      <c r="F940" s="4"/>
    </row>
    <row r="941" spans="4:6">
      <c r="D941" s="4"/>
      <c r="E941" s="4"/>
      <c r="F941" s="4"/>
    </row>
    <row r="942" spans="4:6">
      <c r="D942" s="4"/>
      <c r="E942" s="4"/>
      <c r="F942" s="4"/>
    </row>
    <row r="943" spans="4:6">
      <c r="D943" s="4"/>
      <c r="E943" s="4"/>
      <c r="F943" s="4"/>
    </row>
    <row r="944" spans="4:6">
      <c r="D944" s="4"/>
      <c r="E944" s="4"/>
      <c r="F944" s="4"/>
    </row>
    <row r="945" spans="4:6">
      <c r="D945" s="4"/>
      <c r="E945" s="4"/>
      <c r="F945" s="4"/>
    </row>
    <row r="946" spans="4:6">
      <c r="D946" s="4"/>
      <c r="E946" s="4"/>
      <c r="F946" s="4"/>
    </row>
    <row r="947" spans="4:6">
      <c r="D947" s="4"/>
      <c r="E947" s="4"/>
      <c r="F947" s="4"/>
    </row>
    <row r="948" spans="4:6">
      <c r="D948" s="4"/>
      <c r="E948" s="4"/>
      <c r="F948" s="4"/>
    </row>
    <row r="949" spans="4:6">
      <c r="D949" s="4"/>
      <c r="E949" s="4"/>
      <c r="F949" s="4"/>
    </row>
    <row r="950" spans="4:6">
      <c r="D950" s="4"/>
      <c r="E950" s="4"/>
      <c r="F950" s="4"/>
    </row>
    <row r="951" spans="4:6">
      <c r="D951" s="4"/>
      <c r="E951" s="4"/>
      <c r="F951" s="4"/>
    </row>
    <row r="952" spans="4:6">
      <c r="D952" s="4"/>
      <c r="E952" s="4"/>
      <c r="F952" s="4"/>
    </row>
    <row r="953" spans="4:6">
      <c r="D953" s="4"/>
      <c r="E953" s="4"/>
      <c r="F953" s="4"/>
    </row>
    <row r="954" spans="4:6">
      <c r="D954" s="4"/>
      <c r="E954" s="4"/>
      <c r="F954" s="4"/>
    </row>
    <row r="955" spans="4:6">
      <c r="D955" s="4"/>
      <c r="E955" s="4"/>
      <c r="F955" s="4"/>
    </row>
    <row r="956" spans="4:6">
      <c r="D956" s="4"/>
      <c r="E956" s="4"/>
      <c r="F956" s="4"/>
    </row>
    <row r="957" spans="4:6">
      <c r="D957" s="4"/>
      <c r="E957" s="4"/>
      <c r="F957" s="4"/>
    </row>
    <row r="958" spans="4:6">
      <c r="D958" s="4"/>
      <c r="E958" s="4"/>
      <c r="F958" s="4"/>
    </row>
    <row r="959" spans="4:6">
      <c r="D959" s="4"/>
      <c r="E959" s="4"/>
      <c r="F959" s="4"/>
    </row>
    <row r="960" spans="4:6">
      <c r="D960" s="4"/>
      <c r="E960" s="4"/>
      <c r="F960" s="4"/>
    </row>
    <row r="961" spans="4:6">
      <c r="D961" s="4"/>
      <c r="E961" s="4"/>
      <c r="F961" s="4"/>
    </row>
    <row r="962" spans="4:6">
      <c r="D962" s="4"/>
      <c r="E962" s="4"/>
      <c r="F962" s="4"/>
    </row>
    <row r="963" spans="4:6">
      <c r="D963" s="4"/>
      <c r="E963" s="4"/>
      <c r="F963" s="4"/>
    </row>
    <row r="964" spans="4:6">
      <c r="D964" s="4"/>
      <c r="E964" s="4"/>
      <c r="F964" s="4"/>
    </row>
    <row r="965" spans="4:6">
      <c r="D965" s="4"/>
      <c r="E965" s="4"/>
      <c r="F965" s="4"/>
    </row>
    <row r="966" spans="4:6">
      <c r="D966" s="4"/>
      <c r="E966" s="4"/>
      <c r="F966" s="4"/>
    </row>
    <row r="967" spans="4:6">
      <c r="D967" s="4"/>
      <c r="E967" s="4"/>
      <c r="F967" s="4"/>
    </row>
    <row r="968" spans="4:6">
      <c r="D968" s="4"/>
      <c r="E968" s="4"/>
      <c r="F968" s="4"/>
    </row>
    <row r="969" spans="4:6">
      <c r="D969" s="4"/>
      <c r="E969" s="4"/>
      <c r="F969" s="4"/>
    </row>
    <row r="970" spans="4:6">
      <c r="D970" s="4"/>
      <c r="E970" s="4"/>
      <c r="F970" s="4"/>
    </row>
    <row r="971" spans="4:6">
      <c r="D971" s="4"/>
      <c r="E971" s="4"/>
      <c r="F971" s="4"/>
    </row>
    <row r="972" spans="4:6">
      <c r="D972" s="4"/>
      <c r="E972" s="4"/>
      <c r="F972" s="4"/>
    </row>
    <row r="973" spans="4:6">
      <c r="D973" s="4"/>
      <c r="E973" s="4"/>
      <c r="F973" s="4"/>
    </row>
    <row r="974" spans="4:6">
      <c r="D974" s="4"/>
      <c r="E974" s="4"/>
      <c r="F974" s="4"/>
    </row>
    <row r="975" spans="4:6">
      <c r="D975" s="4"/>
      <c r="E975" s="4"/>
      <c r="F975" s="4"/>
    </row>
    <row r="976" spans="4:6">
      <c r="D976" s="4"/>
      <c r="E976" s="4"/>
      <c r="F976" s="4"/>
    </row>
    <row r="977" spans="4:6">
      <c r="D977" s="4"/>
      <c r="E977" s="4"/>
      <c r="F977" s="4"/>
    </row>
    <row r="978" spans="4:6">
      <c r="D978" s="4"/>
      <c r="E978" s="4"/>
      <c r="F978" s="4"/>
    </row>
    <row r="979" spans="4:6">
      <c r="D979" s="4"/>
      <c r="E979" s="4"/>
      <c r="F979" s="4"/>
    </row>
    <row r="980" spans="4:6">
      <c r="D980" s="4"/>
      <c r="E980" s="4"/>
      <c r="F980" s="4"/>
    </row>
    <row r="981" spans="4:6">
      <c r="D981" s="4"/>
      <c r="E981" s="4"/>
      <c r="F981" s="4"/>
    </row>
    <row r="982" spans="4:6">
      <c r="D982" s="4"/>
      <c r="E982" s="4"/>
      <c r="F982" s="4"/>
    </row>
    <row r="983" spans="4:6">
      <c r="D983" s="4"/>
      <c r="E983" s="4"/>
      <c r="F983" s="4"/>
    </row>
    <row r="984" spans="4:6">
      <c r="D984" s="4"/>
      <c r="E984" s="4"/>
      <c r="F984" s="4"/>
    </row>
    <row r="985" spans="4:6">
      <c r="D985" s="4"/>
      <c r="E985" s="4"/>
      <c r="F985" s="4"/>
    </row>
    <row r="986" spans="4:6">
      <c r="D986" s="4"/>
      <c r="E986" s="4"/>
      <c r="F986" s="4"/>
    </row>
    <row r="987" spans="4:6">
      <c r="D987" s="4"/>
      <c r="E987" s="4"/>
      <c r="F987" s="4"/>
    </row>
    <row r="988" spans="4:6">
      <c r="D988" s="4"/>
      <c r="E988" s="4"/>
      <c r="F988" s="4"/>
    </row>
    <row r="989" spans="4:6">
      <c r="D989" s="4"/>
      <c r="E989" s="4"/>
      <c r="F989" s="4"/>
    </row>
    <row r="990" spans="4:6">
      <c r="D990" s="4"/>
      <c r="E990" s="4"/>
      <c r="F990" s="4"/>
    </row>
    <row r="991" spans="4:6">
      <c r="D991" s="4"/>
      <c r="E991" s="4"/>
      <c r="F991" s="4"/>
    </row>
    <row r="992" spans="4:6">
      <c r="D992" s="4"/>
      <c r="E992" s="4"/>
      <c r="F992" s="4"/>
    </row>
    <row r="993" spans="4:6">
      <c r="D993" s="4"/>
      <c r="E993" s="4"/>
      <c r="F993" s="4"/>
    </row>
    <row r="994" spans="4:6">
      <c r="D994" s="4"/>
      <c r="E994" s="4"/>
      <c r="F994" s="4"/>
    </row>
    <row r="995" spans="4:6">
      <c r="D995" s="4"/>
      <c r="E995" s="4"/>
      <c r="F995" s="4"/>
    </row>
    <row r="996" spans="4:6">
      <c r="D996" s="4"/>
      <c r="E996" s="4"/>
      <c r="F996" s="4"/>
    </row>
    <row r="997" spans="4:6">
      <c r="D997" s="4"/>
      <c r="E997" s="4"/>
      <c r="F997" s="4"/>
    </row>
    <row r="998" spans="4:6">
      <c r="D998" s="4"/>
      <c r="E998" s="4"/>
      <c r="F998" s="4"/>
    </row>
    <row r="999" spans="4:6">
      <c r="D999" s="4"/>
      <c r="E999" s="4"/>
      <c r="F999" s="4"/>
    </row>
    <row r="1000" spans="4:6">
      <c r="D1000" s="4"/>
      <c r="E1000" s="4"/>
      <c r="F1000" s="4"/>
    </row>
    <row r="1001" spans="4:6">
      <c r="D1001" s="4"/>
      <c r="E1001" s="4"/>
      <c r="F1001" s="4"/>
    </row>
    <row r="1002" spans="4:6">
      <c r="D1002" s="4"/>
      <c r="E1002" s="4"/>
      <c r="F1002" s="4"/>
    </row>
    <row r="1003" spans="4:6">
      <c r="D1003" s="4"/>
      <c r="E1003" s="4"/>
      <c r="F1003" s="4"/>
    </row>
    <row r="1004" spans="4:6">
      <c r="D1004" s="4"/>
      <c r="E1004" s="4"/>
      <c r="F1004" s="4"/>
    </row>
    <row r="1005" spans="4:6">
      <c r="D1005" s="4"/>
      <c r="E1005" s="4"/>
      <c r="F1005" s="4"/>
    </row>
    <row r="1006" spans="4:6">
      <c r="D1006" s="4"/>
      <c r="E1006" s="4"/>
      <c r="F1006" s="4"/>
    </row>
    <row r="1007" spans="4:6">
      <c r="D1007" s="4"/>
      <c r="E1007" s="4"/>
      <c r="F1007" s="4"/>
    </row>
    <row r="1008" spans="4:6">
      <c r="D1008" s="4"/>
      <c r="E1008" s="4"/>
      <c r="F1008" s="4"/>
    </row>
    <row r="1009" spans="4:6">
      <c r="D1009" s="4"/>
      <c r="E1009" s="4"/>
      <c r="F1009" s="4"/>
    </row>
    <row r="1010" spans="4:6">
      <c r="D1010" s="4"/>
      <c r="E1010" s="4"/>
      <c r="F1010" s="4"/>
    </row>
    <row r="1011" spans="4:6">
      <c r="D1011" s="4"/>
      <c r="E1011" s="4"/>
      <c r="F1011" s="4"/>
    </row>
    <row r="1012" spans="4:6">
      <c r="D1012" s="4"/>
      <c r="E1012" s="4"/>
      <c r="F1012" s="4"/>
    </row>
    <row r="1013" spans="4:6">
      <c r="D1013" s="4"/>
      <c r="E1013" s="4"/>
      <c r="F1013" s="4"/>
    </row>
    <row r="1014" spans="4:6">
      <c r="D1014" s="4"/>
      <c r="E1014" s="4"/>
      <c r="F1014" s="4"/>
    </row>
    <row r="1015" spans="4:6">
      <c r="D1015" s="4"/>
      <c r="E1015" s="4"/>
      <c r="F1015" s="4"/>
    </row>
    <row r="1016" spans="4:6">
      <c r="D1016" s="4"/>
      <c r="E1016" s="4"/>
      <c r="F1016" s="4"/>
    </row>
    <row r="1017" spans="4:6">
      <c r="D1017" s="4"/>
      <c r="E1017" s="4"/>
      <c r="F1017" s="4"/>
    </row>
    <row r="1018" spans="4:6">
      <c r="D1018" s="4"/>
      <c r="E1018" s="4"/>
      <c r="F1018" s="4"/>
    </row>
    <row r="1019" spans="4:6">
      <c r="D1019" s="4"/>
      <c r="E1019" s="4"/>
      <c r="F1019" s="4"/>
    </row>
    <row r="1020" spans="4:6">
      <c r="D1020" s="4"/>
      <c r="E1020" s="4"/>
      <c r="F1020" s="4"/>
    </row>
    <row r="1021" spans="4:6">
      <c r="D1021" s="4"/>
      <c r="E1021" s="4"/>
      <c r="F1021" s="4"/>
    </row>
    <row r="1022" spans="4:6">
      <c r="D1022" s="4"/>
      <c r="E1022" s="4"/>
      <c r="F1022" s="4"/>
    </row>
    <row r="1023" spans="4:6">
      <c r="D1023" s="4"/>
      <c r="E1023" s="4"/>
      <c r="F1023" s="4"/>
    </row>
    <row r="1024" spans="4:6">
      <c r="D1024" s="4"/>
      <c r="E1024" s="4"/>
      <c r="F1024" s="4"/>
    </row>
    <row r="1025" spans="4:6">
      <c r="D1025" s="4"/>
      <c r="E1025" s="4"/>
      <c r="F1025" s="4"/>
    </row>
    <row r="1026" spans="4:6">
      <c r="D1026" s="4"/>
      <c r="E1026" s="4"/>
      <c r="F1026" s="4"/>
    </row>
    <row r="1027" spans="4:6">
      <c r="D1027" s="4"/>
      <c r="E1027" s="4"/>
      <c r="F1027" s="4"/>
    </row>
    <row r="1028" spans="4:6">
      <c r="D1028" s="4"/>
      <c r="E1028" s="4"/>
      <c r="F1028" s="4"/>
    </row>
    <row r="1029" spans="4:6">
      <c r="D1029" s="4"/>
      <c r="E1029" s="4"/>
      <c r="F1029" s="4"/>
    </row>
    <row r="1030" spans="4:6">
      <c r="D1030" s="4"/>
      <c r="E1030" s="4"/>
      <c r="F1030" s="4"/>
    </row>
    <row r="1031" spans="4:6">
      <c r="D1031" s="4"/>
      <c r="E1031" s="4"/>
      <c r="F1031" s="4"/>
    </row>
    <row r="1032" spans="4:6">
      <c r="D1032" s="4"/>
      <c r="E1032" s="4"/>
      <c r="F1032" s="4"/>
    </row>
    <row r="1033" spans="4:6">
      <c r="D1033" s="4"/>
      <c r="E1033" s="4"/>
      <c r="F1033" s="4"/>
    </row>
    <row r="1034" spans="4:6">
      <c r="D1034" s="4"/>
      <c r="E1034" s="4"/>
      <c r="F1034" s="4"/>
    </row>
    <row r="1035" spans="4:6">
      <c r="D1035" s="4"/>
      <c r="E1035" s="4"/>
      <c r="F1035" s="4"/>
    </row>
    <row r="1036" spans="4:6">
      <c r="D1036" s="4"/>
      <c r="E1036" s="4"/>
      <c r="F1036" s="4"/>
    </row>
    <row r="1037" spans="4:6">
      <c r="D1037" s="4"/>
      <c r="E1037" s="4"/>
      <c r="F1037" s="4"/>
    </row>
    <row r="1038" spans="4:6">
      <c r="D1038" s="4"/>
      <c r="E1038" s="4"/>
      <c r="F1038" s="4"/>
    </row>
    <row r="1039" spans="4:6">
      <c r="D1039" s="4"/>
      <c r="E1039" s="4"/>
      <c r="F1039" s="4"/>
    </row>
    <row r="1040" spans="4:6">
      <c r="D1040" s="4"/>
      <c r="E1040" s="4"/>
      <c r="F1040" s="4"/>
    </row>
    <row r="1041" spans="4:6">
      <c r="D1041" s="4"/>
      <c r="E1041" s="4"/>
      <c r="F1041" s="4"/>
    </row>
    <row r="1042" spans="4:6">
      <c r="D1042" s="4"/>
      <c r="E1042" s="4"/>
      <c r="F1042" s="4"/>
    </row>
    <row r="1043" spans="4:6">
      <c r="D1043" s="4"/>
      <c r="E1043" s="4"/>
      <c r="F1043" s="4"/>
    </row>
    <row r="1044" spans="4:6">
      <c r="D1044" s="4"/>
      <c r="E1044" s="4"/>
      <c r="F1044" s="4"/>
    </row>
    <row r="1045" spans="4:6">
      <c r="D1045" s="4"/>
      <c r="E1045" s="4"/>
      <c r="F1045" s="4"/>
    </row>
    <row r="1046" spans="4:6">
      <c r="D1046" s="4"/>
      <c r="E1046" s="4"/>
      <c r="F1046" s="4"/>
    </row>
    <row r="1047" spans="4:6">
      <c r="D1047" s="4"/>
      <c r="E1047" s="4"/>
      <c r="F1047" s="4"/>
    </row>
    <row r="1048" spans="4:6">
      <c r="D1048" s="4"/>
      <c r="E1048" s="4"/>
      <c r="F1048" s="4"/>
    </row>
    <row r="1049" spans="4:6">
      <c r="D1049" s="4"/>
      <c r="E1049" s="4"/>
      <c r="F1049" s="4"/>
    </row>
    <row r="1050" spans="4:6">
      <c r="D1050" s="4"/>
      <c r="E1050" s="4"/>
      <c r="F1050" s="4"/>
    </row>
    <row r="1051" spans="4:6">
      <c r="D1051" s="4"/>
      <c r="E1051" s="4"/>
      <c r="F1051" s="4"/>
    </row>
    <row r="1052" spans="4:6">
      <c r="D1052" s="4"/>
      <c r="E1052" s="4"/>
      <c r="F1052" s="4"/>
    </row>
    <row r="1053" spans="4:6">
      <c r="D1053" s="4"/>
      <c r="E1053" s="4"/>
      <c r="F1053" s="4"/>
    </row>
    <row r="1054" spans="4:6">
      <c r="D1054" s="4"/>
      <c r="E1054" s="4"/>
      <c r="F1054" s="4"/>
    </row>
    <row r="1055" spans="4:6">
      <c r="D1055" s="4"/>
      <c r="E1055" s="4"/>
      <c r="F1055" s="4"/>
    </row>
    <row r="1056" spans="4:6">
      <c r="D1056" s="4"/>
      <c r="E1056" s="4"/>
      <c r="F1056" s="4"/>
    </row>
    <row r="1057" spans="4:6">
      <c r="D1057" s="4"/>
      <c r="E1057" s="4"/>
      <c r="F1057" s="4"/>
    </row>
    <row r="1058" spans="4:6">
      <c r="D1058" s="4"/>
      <c r="E1058" s="4"/>
      <c r="F1058" s="4"/>
    </row>
    <row r="1059" spans="4:6">
      <c r="D1059" s="4"/>
      <c r="E1059" s="4"/>
      <c r="F1059" s="4"/>
    </row>
    <row r="1060" spans="4:6">
      <c r="D1060" s="4"/>
      <c r="E1060" s="4"/>
      <c r="F1060" s="4"/>
    </row>
    <row r="1061" spans="4:6">
      <c r="D1061" s="4"/>
      <c r="E1061" s="4"/>
      <c r="F1061" s="4"/>
    </row>
    <row r="1062" spans="4:6">
      <c r="D1062" s="4"/>
      <c r="E1062" s="4"/>
      <c r="F1062" s="4"/>
    </row>
  </sheetData>
  <autoFilter ref="A1:AB81" xr:uid="{00000000-0009-0000-0000-000003000000}">
    <filterColumn colId="23">
      <filters>
        <filter val="Contemplado MVP"/>
        <filter val="Sí"/>
      </filters>
    </filterColumn>
  </autoFilter>
  <customSheetViews>
    <customSheetView guid="{B55D5AC0-2DCD-4393-87D1-9D8120E31AB8}" filter="1" showAutoFilter="1">
      <autoFilter ref="AD2:AE81" xr:uid="{07D4EF45-6DD5-4955-9908-6B8C24DACF67}"/>
    </customSheetView>
    <customSheetView guid="{4555EE6F-2362-48F4-8152-FB35C89F66D3}" filter="1" showAutoFilter="1">
      <autoFilter ref="A2:BB86" xr:uid="{A1DDA4EF-83D2-4AED-835D-E96477712C81}"/>
    </customSheetView>
    <customSheetView guid="{8DFCF9F4-226C-4943-87CB-E49A587DAFFE}" filter="1" showAutoFilter="1">
      <autoFilter ref="A1:AB81" xr:uid="{4AEB623F-0EA2-47BD-A829-EE2CEF121BE6}"/>
    </customSheetView>
  </customSheetViews>
  <mergeCells count="3">
    <mergeCell ref="F1:N1"/>
    <mergeCell ref="P1:W1"/>
    <mergeCell ref="X1:AB1"/>
  </mergeCells>
  <dataValidations count="3">
    <dataValidation type="list" allowBlank="1" showErrorMessage="1" sqref="N3:N81" xr:uid="{00000000-0002-0000-0300-000000000000}">
      <formula1>"Backlog,En diseño,En construcción,En QA,Liberadas"</formula1>
    </dataValidation>
    <dataValidation type="list" allowBlank="1" showErrorMessage="1" sqref="X3:X81" xr:uid="{00000000-0002-0000-0300-000001000000}">
      <formula1>"Sí,No,Post MVP"</formula1>
    </dataValidation>
    <dataValidation type="list" allowBlank="1" showErrorMessage="1" sqref="Y3:Y81" xr:uid="{00000000-0002-0000-0300-000002000000}">
      <formula1>"Cerrado,En proceso,Por definir"</formula1>
    </dataValidation>
  </dataValidation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72"/>
  <sheetViews>
    <sheetView workbookViewId="0"/>
  </sheetViews>
  <sheetFormatPr defaultColWidth="11.25" defaultRowHeight="15.75" customHeight="1"/>
  <cols>
    <col min="1" max="1" width="99.125" customWidth="1"/>
    <col min="2" max="2" width="27.625" customWidth="1"/>
    <col min="4" max="4" width="31.875" customWidth="1"/>
  </cols>
  <sheetData>
    <row r="1" spans="1:6">
      <c r="A1" s="61"/>
      <c r="B1" s="62"/>
      <c r="D1" s="11" t="s">
        <v>304</v>
      </c>
      <c r="E1" s="11" t="s">
        <v>305</v>
      </c>
      <c r="F1" s="11" t="s">
        <v>306</v>
      </c>
    </row>
    <row r="2" spans="1:6">
      <c r="A2" s="61" t="s">
        <v>305</v>
      </c>
      <c r="B2" s="62" t="s">
        <v>307</v>
      </c>
      <c r="D2" s="63" t="s">
        <v>308</v>
      </c>
      <c r="E2" s="11">
        <v>3</v>
      </c>
    </row>
    <row r="3" spans="1:6">
      <c r="A3" s="44" t="s">
        <v>294</v>
      </c>
      <c r="B3" s="64" t="s">
        <v>309</v>
      </c>
      <c r="D3" s="65" t="s">
        <v>310</v>
      </c>
      <c r="E3" s="11">
        <v>1</v>
      </c>
    </row>
    <row r="4" spans="1:6">
      <c r="A4" s="44" t="s">
        <v>112</v>
      </c>
      <c r="B4" s="64" t="s">
        <v>309</v>
      </c>
      <c r="D4" s="65" t="s">
        <v>311</v>
      </c>
      <c r="E4" s="11">
        <v>2</v>
      </c>
    </row>
    <row r="5" spans="1:6">
      <c r="A5" s="44" t="s">
        <v>114</v>
      </c>
      <c r="B5" s="64" t="s">
        <v>309</v>
      </c>
      <c r="D5" s="66" t="s">
        <v>312</v>
      </c>
      <c r="E5" s="11">
        <v>11</v>
      </c>
    </row>
    <row r="6" spans="1:6">
      <c r="A6" s="44" t="s">
        <v>119</v>
      </c>
      <c r="B6" s="64" t="s">
        <v>309</v>
      </c>
      <c r="D6" s="66" t="s">
        <v>313</v>
      </c>
      <c r="E6" s="11">
        <v>2</v>
      </c>
    </row>
    <row r="7" spans="1:6">
      <c r="A7" s="44" t="s">
        <v>121</v>
      </c>
      <c r="B7" s="64" t="s">
        <v>314</v>
      </c>
      <c r="D7" s="67" t="s">
        <v>315</v>
      </c>
      <c r="E7" s="11">
        <v>2</v>
      </c>
    </row>
    <row r="8" spans="1:6">
      <c r="A8" s="44" t="s">
        <v>123</v>
      </c>
      <c r="B8" s="64" t="s">
        <v>316</v>
      </c>
      <c r="D8" s="67" t="s">
        <v>317</v>
      </c>
      <c r="E8" s="11">
        <v>1</v>
      </c>
    </row>
    <row r="9" spans="1:6">
      <c r="A9" s="44" t="s">
        <v>133</v>
      </c>
      <c r="B9" s="64" t="s">
        <v>318</v>
      </c>
      <c r="D9" s="67" t="s">
        <v>319</v>
      </c>
      <c r="E9" s="11">
        <v>1</v>
      </c>
    </row>
    <row r="10" spans="1:6">
      <c r="A10" s="44" t="s">
        <v>137</v>
      </c>
      <c r="B10" s="64" t="s">
        <v>320</v>
      </c>
      <c r="D10" s="67" t="s">
        <v>321</v>
      </c>
    </row>
    <row r="11" spans="1:6">
      <c r="A11" s="44" t="s">
        <v>142</v>
      </c>
      <c r="B11" s="64" t="s">
        <v>322</v>
      </c>
      <c r="D11" s="67" t="s">
        <v>323</v>
      </c>
      <c r="E11" s="11">
        <v>1</v>
      </c>
    </row>
    <row r="12" spans="1:6">
      <c r="A12" s="44" t="s">
        <v>148</v>
      </c>
      <c r="B12" s="64" t="s">
        <v>322</v>
      </c>
      <c r="D12" s="67" t="s">
        <v>324</v>
      </c>
    </row>
    <row r="13" spans="1:6">
      <c r="A13" s="44" t="s">
        <v>151</v>
      </c>
      <c r="B13" s="64" t="s">
        <v>322</v>
      </c>
      <c r="D13" s="67" t="s">
        <v>325</v>
      </c>
      <c r="E13" s="11">
        <v>1</v>
      </c>
    </row>
    <row r="14" spans="1:6">
      <c r="A14" s="44" t="s">
        <v>155</v>
      </c>
      <c r="B14" s="64" t="s">
        <v>322</v>
      </c>
      <c r="D14" s="69" t="s">
        <v>326</v>
      </c>
    </row>
    <row r="15" spans="1:6">
      <c r="A15" s="44" t="s">
        <v>159</v>
      </c>
      <c r="B15" s="64" t="s">
        <v>314</v>
      </c>
      <c r="D15" s="69" t="s">
        <v>327</v>
      </c>
      <c r="E15" s="11">
        <v>9</v>
      </c>
    </row>
    <row r="16" spans="1:6">
      <c r="A16" s="44" t="s">
        <v>295</v>
      </c>
      <c r="B16" s="64" t="s">
        <v>322</v>
      </c>
      <c r="D16" s="70" t="s">
        <v>328</v>
      </c>
      <c r="E16" s="11">
        <v>1</v>
      </c>
    </row>
    <row r="17" spans="1:5">
      <c r="A17" s="44" t="s">
        <v>296</v>
      </c>
      <c r="B17" s="64" t="s">
        <v>322</v>
      </c>
      <c r="D17" s="69" t="s">
        <v>329</v>
      </c>
      <c r="E17" s="11">
        <v>1</v>
      </c>
    </row>
    <row r="18" spans="1:5">
      <c r="A18" s="44" t="s">
        <v>297</v>
      </c>
      <c r="B18" s="64" t="s">
        <v>330</v>
      </c>
    </row>
    <row r="19" spans="1:5">
      <c r="A19" s="44" t="s">
        <v>171</v>
      </c>
      <c r="B19" s="64" t="s">
        <v>331</v>
      </c>
    </row>
    <row r="20" spans="1:5">
      <c r="A20" s="44" t="s">
        <v>176</v>
      </c>
      <c r="B20" s="64" t="s">
        <v>331</v>
      </c>
    </row>
    <row r="21" spans="1:5">
      <c r="A21" s="44" t="s">
        <v>178</v>
      </c>
      <c r="B21" s="64" t="s">
        <v>331</v>
      </c>
    </row>
    <row r="22" spans="1:5">
      <c r="A22" s="44" t="s">
        <v>183</v>
      </c>
      <c r="B22" s="64" t="s">
        <v>332</v>
      </c>
    </row>
    <row r="23" spans="1:5">
      <c r="A23" s="44" t="s">
        <v>298</v>
      </c>
      <c r="B23" s="64" t="s">
        <v>333</v>
      </c>
    </row>
    <row r="24" spans="1:5">
      <c r="A24" s="44" t="s">
        <v>299</v>
      </c>
      <c r="B24" s="64" t="s">
        <v>333</v>
      </c>
    </row>
    <row r="25" spans="1:5">
      <c r="A25" s="44" t="s">
        <v>300</v>
      </c>
      <c r="B25" s="64" t="s">
        <v>333</v>
      </c>
    </row>
    <row r="26" spans="1:5">
      <c r="A26" s="44" t="s">
        <v>228</v>
      </c>
      <c r="B26" s="64" t="s">
        <v>334</v>
      </c>
    </row>
    <row r="27" spans="1:5">
      <c r="A27" s="44" t="s">
        <v>230</v>
      </c>
      <c r="B27" s="64" t="s">
        <v>333</v>
      </c>
    </row>
    <row r="28" spans="1:5">
      <c r="A28" s="44" t="s">
        <v>232</v>
      </c>
      <c r="B28" s="64" t="s">
        <v>333</v>
      </c>
    </row>
    <row r="29" spans="1:5">
      <c r="A29" s="44" t="s">
        <v>234</v>
      </c>
      <c r="B29" s="64" t="s">
        <v>333</v>
      </c>
    </row>
    <row r="30" spans="1:5">
      <c r="A30" s="44" t="s">
        <v>236</v>
      </c>
      <c r="B30" s="64" t="s">
        <v>333</v>
      </c>
    </row>
    <row r="31" spans="1:5">
      <c r="A31" s="44" t="s">
        <v>238</v>
      </c>
      <c r="B31" s="64" t="s">
        <v>333</v>
      </c>
    </row>
    <row r="32" spans="1:5">
      <c r="A32" s="44" t="s">
        <v>240</v>
      </c>
      <c r="B32" s="64" t="s">
        <v>333</v>
      </c>
    </row>
    <row r="33" spans="1:2">
      <c r="A33" s="44" t="s">
        <v>301</v>
      </c>
      <c r="B33" s="64" t="s">
        <v>335</v>
      </c>
    </row>
    <row r="34" spans="1:2">
      <c r="A34" s="44" t="s">
        <v>244</v>
      </c>
      <c r="B34" s="64" t="s">
        <v>335</v>
      </c>
    </row>
    <row r="35" spans="1:2">
      <c r="A35" s="44" t="s">
        <v>302</v>
      </c>
      <c r="B35" s="64" t="s">
        <v>335</v>
      </c>
    </row>
    <row r="36" spans="1:2">
      <c r="A36" s="44" t="s">
        <v>303</v>
      </c>
      <c r="B36" s="64" t="s">
        <v>336</v>
      </c>
    </row>
    <row r="37" spans="1:2">
      <c r="A37" s="44" t="s">
        <v>260</v>
      </c>
      <c r="B37" s="64" t="s">
        <v>337</v>
      </c>
    </row>
    <row r="38" spans="1:2">
      <c r="A38" s="44" t="s">
        <v>262</v>
      </c>
      <c r="B38" s="64" t="s">
        <v>338</v>
      </c>
    </row>
    <row r="39" spans="1:2">
      <c r="B39" s="44"/>
    </row>
    <row r="40" spans="1:2">
      <c r="B40" s="44"/>
    </row>
    <row r="41" spans="1:2">
      <c r="B41" s="44"/>
    </row>
    <row r="42" spans="1:2">
      <c r="B42" s="44"/>
    </row>
    <row r="43" spans="1:2">
      <c r="B43" s="44"/>
    </row>
    <row r="44" spans="1:2">
      <c r="B44" s="44"/>
    </row>
    <row r="45" spans="1:2">
      <c r="B45" s="44"/>
    </row>
    <row r="46" spans="1:2">
      <c r="B46" s="44"/>
    </row>
    <row r="47" spans="1:2">
      <c r="B47" s="44"/>
    </row>
    <row r="48" spans="1:2">
      <c r="B48" s="44"/>
    </row>
    <row r="49" spans="2:2">
      <c r="B49" s="44"/>
    </row>
    <row r="50" spans="2:2">
      <c r="B50" s="44"/>
    </row>
    <row r="51" spans="2:2">
      <c r="B51" s="44"/>
    </row>
    <row r="52" spans="2:2">
      <c r="B52" s="44"/>
    </row>
    <row r="53" spans="2:2">
      <c r="B53" s="44"/>
    </row>
    <row r="54" spans="2:2">
      <c r="B54" s="44"/>
    </row>
    <row r="55" spans="2:2">
      <c r="B55" s="44"/>
    </row>
    <row r="56" spans="2:2">
      <c r="B56" s="44"/>
    </row>
    <row r="57" spans="2:2">
      <c r="B57" s="44"/>
    </row>
    <row r="58" spans="2:2">
      <c r="B58" s="44"/>
    </row>
    <row r="59" spans="2:2">
      <c r="B59" s="44"/>
    </row>
    <row r="60" spans="2:2">
      <c r="B60" s="44"/>
    </row>
    <row r="61" spans="2:2">
      <c r="B61" s="44"/>
    </row>
    <row r="62" spans="2:2">
      <c r="B62" s="44"/>
    </row>
    <row r="63" spans="2:2">
      <c r="B63" s="44"/>
    </row>
    <row r="64" spans="2:2">
      <c r="B64" s="44"/>
    </row>
    <row r="65" spans="2:2">
      <c r="B65" s="44"/>
    </row>
    <row r="66" spans="2:2">
      <c r="B66" s="44"/>
    </row>
    <row r="67" spans="2:2">
      <c r="B67" s="44"/>
    </row>
    <row r="68" spans="2:2">
      <c r="B68" s="44"/>
    </row>
    <row r="69" spans="2:2">
      <c r="B69" s="44"/>
    </row>
    <row r="70" spans="2:2">
      <c r="B70" s="44"/>
    </row>
    <row r="71" spans="2:2">
      <c r="B71" s="44"/>
    </row>
    <row r="72" spans="2:2">
      <c r="B72" s="44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C1017"/>
  <sheetViews>
    <sheetView workbookViewId="0">
      <pane ySplit="2" topLeftCell="A3" activePane="bottomLeft" state="frozen"/>
      <selection pane="bottomLeft" activeCell="B4" sqref="B4"/>
    </sheetView>
  </sheetViews>
  <sheetFormatPr defaultColWidth="11.25" defaultRowHeight="15.75" customHeight="1" outlineLevelRow="1"/>
  <cols>
    <col min="2" max="2" width="11.25" style="73"/>
    <col min="3" max="3" width="78.25" style="74" customWidth="1"/>
    <col min="4" max="4" width="25.5" customWidth="1"/>
    <col min="5" max="5" width="19.5" customWidth="1"/>
    <col min="6" max="6" width="26" customWidth="1"/>
    <col min="7" max="7" width="27.25" customWidth="1"/>
    <col min="8" max="8" width="8.625" customWidth="1"/>
    <col min="9" max="9" width="16.25" customWidth="1"/>
    <col min="10" max="10" width="16.375" customWidth="1"/>
    <col min="11" max="11" width="18.125" customWidth="1"/>
    <col min="12" max="12" width="13.25" customWidth="1"/>
    <col min="14" max="14" width="7.25" customWidth="1"/>
    <col min="15" max="15" width="9.125" customWidth="1"/>
    <col min="16" max="16" width="6.5" customWidth="1"/>
    <col min="17" max="17" width="6" customWidth="1"/>
    <col min="18" max="18" width="5.875" customWidth="1"/>
    <col min="19" max="19" width="5.5" customWidth="1"/>
    <col min="20" max="20" width="5.25" customWidth="1"/>
    <col min="21" max="21" width="6.25" customWidth="1"/>
    <col min="22" max="22" width="18.5" customWidth="1"/>
    <col min="23" max="23" width="13.5" customWidth="1"/>
    <col min="24" max="24" width="18" customWidth="1"/>
    <col min="25" max="25" width="15.375" customWidth="1"/>
    <col min="26" max="26" width="14.25" customWidth="1"/>
  </cols>
  <sheetData>
    <row r="1" spans="1:55">
      <c r="A1" s="48"/>
      <c r="B1" s="11"/>
      <c r="C1" s="90"/>
      <c r="D1" s="244" t="s">
        <v>47</v>
      </c>
      <c r="E1" s="253"/>
      <c r="F1" s="253"/>
      <c r="G1" s="253"/>
      <c r="H1" s="253"/>
      <c r="I1" s="253"/>
      <c r="J1" s="253"/>
      <c r="K1" s="253"/>
      <c r="L1" s="254"/>
      <c r="N1" s="245" t="s">
        <v>58</v>
      </c>
      <c r="O1" s="253"/>
      <c r="P1" s="253"/>
      <c r="Q1" s="253"/>
      <c r="R1" s="253"/>
      <c r="S1" s="253"/>
      <c r="T1" s="253"/>
      <c r="U1" s="254"/>
      <c r="V1" s="245" t="s">
        <v>59</v>
      </c>
      <c r="W1" s="253"/>
      <c r="X1" s="253"/>
      <c r="Y1" s="253"/>
      <c r="Z1" s="254"/>
      <c r="AF1" s="10" t="s">
        <v>60</v>
      </c>
      <c r="AJ1" s="11"/>
      <c r="AK1" s="10" t="s">
        <v>61</v>
      </c>
      <c r="AO1" s="11"/>
      <c r="AP1" s="11"/>
      <c r="AQ1" s="11" t="s">
        <v>62</v>
      </c>
      <c r="AS1" s="13" t="s">
        <v>63</v>
      </c>
      <c r="AT1" s="13" t="s">
        <v>64</v>
      </c>
      <c r="AV1" s="11"/>
      <c r="AW1" s="11" t="s">
        <v>65</v>
      </c>
      <c r="AY1" s="13" t="s">
        <v>63</v>
      </c>
      <c r="AZ1" s="13" t="s">
        <v>64</v>
      </c>
      <c r="BA1" s="22"/>
      <c r="BB1" s="22"/>
      <c r="BC1" s="22"/>
    </row>
    <row r="2" spans="1:55">
      <c r="A2" s="256" t="s">
        <v>66</v>
      </c>
      <c r="B2" s="256" t="s">
        <v>67</v>
      </c>
      <c r="C2" s="257" t="s">
        <v>68</v>
      </c>
      <c r="D2" s="13" t="s">
        <v>339</v>
      </c>
      <c r="E2" s="13" t="s">
        <v>70</v>
      </c>
      <c r="F2" s="13" t="s">
        <v>71</v>
      </c>
      <c r="G2" s="13" t="s">
        <v>98</v>
      </c>
      <c r="H2" s="13" t="s">
        <v>64</v>
      </c>
      <c r="I2" s="13" t="s">
        <v>72</v>
      </c>
      <c r="J2" s="13" t="s">
        <v>73</v>
      </c>
      <c r="K2" s="13" t="s">
        <v>74</v>
      </c>
      <c r="L2" s="13" t="s">
        <v>75</v>
      </c>
      <c r="M2" s="14" t="s">
        <v>76</v>
      </c>
      <c r="N2" s="14" t="s">
        <v>77</v>
      </c>
      <c r="O2" s="14" t="s">
        <v>78</v>
      </c>
      <c r="P2" s="14" t="s">
        <v>79</v>
      </c>
      <c r="Q2" s="14" t="s">
        <v>80</v>
      </c>
      <c r="R2" s="14" t="s">
        <v>81</v>
      </c>
      <c r="S2" s="14" t="s">
        <v>82</v>
      </c>
      <c r="T2" s="14" t="s">
        <v>83</v>
      </c>
      <c r="U2" s="14" t="s">
        <v>84</v>
      </c>
      <c r="V2" s="14" t="s">
        <v>85</v>
      </c>
      <c r="W2" s="14" t="s">
        <v>86</v>
      </c>
      <c r="X2" s="14" t="s">
        <v>87</v>
      </c>
      <c r="Y2" s="14" t="s">
        <v>88</v>
      </c>
      <c r="Z2" s="14" t="s">
        <v>89</v>
      </c>
      <c r="AB2" s="11" t="s">
        <v>90</v>
      </c>
      <c r="AC2" s="11" t="s">
        <v>91</v>
      </c>
      <c r="AD2" s="11" t="s">
        <v>92</v>
      </c>
      <c r="AE2" s="11"/>
      <c r="AF2" s="11" t="s">
        <v>93</v>
      </c>
      <c r="AG2" s="11" t="s">
        <v>94</v>
      </c>
      <c r="AH2" s="11" t="s">
        <v>95</v>
      </c>
      <c r="AI2" s="11" t="s">
        <v>96</v>
      </c>
      <c r="AJ2" s="11"/>
      <c r="AK2" s="11" t="s">
        <v>93</v>
      </c>
      <c r="AL2" s="11" t="s">
        <v>94</v>
      </c>
      <c r="AM2" s="11" t="s">
        <v>95</v>
      </c>
      <c r="AN2" s="11" t="s">
        <v>96</v>
      </c>
      <c r="AO2" s="11"/>
      <c r="AP2" s="76" t="s">
        <v>97</v>
      </c>
      <c r="AQ2" s="13" t="s">
        <v>70</v>
      </c>
      <c r="AR2" s="13" t="s">
        <v>71</v>
      </c>
      <c r="AS2" s="13" t="s">
        <v>98</v>
      </c>
      <c r="AT2" s="13" t="s">
        <v>64</v>
      </c>
      <c r="AV2" s="21" t="s">
        <v>97</v>
      </c>
      <c r="AW2" s="13" t="s">
        <v>70</v>
      </c>
      <c r="AX2" s="13" t="s">
        <v>71</v>
      </c>
      <c r="AY2" s="13" t="s">
        <v>98</v>
      </c>
      <c r="AZ2" s="13" t="s">
        <v>64</v>
      </c>
      <c r="BA2" s="22"/>
      <c r="BB2" s="22"/>
      <c r="BC2" s="22"/>
    </row>
    <row r="3" spans="1:55">
      <c r="A3" s="78" t="s">
        <v>340</v>
      </c>
      <c r="B3" s="78" t="s">
        <v>341</v>
      </c>
      <c r="C3" s="258" t="s">
        <v>342</v>
      </c>
      <c r="D3" s="79"/>
      <c r="E3" s="79"/>
      <c r="F3" s="79"/>
      <c r="G3" s="79"/>
      <c r="H3" s="79"/>
      <c r="I3" s="37"/>
      <c r="J3" s="37"/>
      <c r="K3" s="37"/>
      <c r="L3" s="31" t="s">
        <v>105</v>
      </c>
      <c r="M3" s="80" t="s">
        <v>343</v>
      </c>
      <c r="N3" s="81"/>
      <c r="O3" s="31"/>
      <c r="P3" s="81"/>
      <c r="Q3" s="81"/>
      <c r="R3" s="81"/>
      <c r="S3" s="81"/>
      <c r="T3" s="81" t="s">
        <v>107</v>
      </c>
      <c r="U3" s="81"/>
      <c r="V3" s="31" t="s">
        <v>108</v>
      </c>
      <c r="W3" s="31" t="s">
        <v>109</v>
      </c>
      <c r="X3" s="31"/>
      <c r="Y3" s="31"/>
      <c r="Z3" s="31"/>
      <c r="AB3" s="11">
        <f t="shared" ref="AB3:AB97" si="0">IF(AG3=0,0,IF(AF3=AG3,1,0))*AD3</f>
        <v>0</v>
      </c>
      <c r="AC3" s="11">
        <f t="shared" ref="AC3:AC97" si="1">IF(AK3=AL3,1,0)*AD3</f>
        <v>1</v>
      </c>
      <c r="AD3" s="11">
        <f t="shared" ref="AD3:AD97" si="2">IF(ISNUMBER(MATCH(A3,$A$2:A2,0)),0,1)</f>
        <v>1</v>
      </c>
      <c r="AF3" s="11">
        <f t="shared" ref="AF3:AG3" si="3">SUMIFS(AH$3:AH$200,$A$3:$A$200,$A3)</f>
        <v>0</v>
      </c>
      <c r="AG3" s="11">
        <f t="shared" si="3"/>
        <v>1</v>
      </c>
      <c r="AH3" s="11">
        <f t="shared" ref="AH3:AH97" si="4">IF(SUM(AW3:AZ3)=0,0,IF(SUM(AQ3:AT3)=SUM(AW3:AZ3),1,0))</f>
        <v>0</v>
      </c>
      <c r="AI3" s="22">
        <v>1</v>
      </c>
      <c r="AK3" s="82">
        <f t="shared" ref="AK3:AL3" si="5">SUMIFS(AM$3:AM$200,$A$3:$A$200,$A3)</f>
        <v>1</v>
      </c>
      <c r="AL3" s="22">
        <f t="shared" si="5"/>
        <v>1</v>
      </c>
      <c r="AM3" s="22">
        <f t="shared" ref="AM3:AM97" si="6">IF(SUM(AQ3:AT3)=SUM(AW3:AZ3),1,0)</f>
        <v>1</v>
      </c>
      <c r="AN3" s="22">
        <v>1</v>
      </c>
      <c r="AP3" s="22">
        <f t="shared" ref="AP3:AP97" si="7">SUM(AQ3:AT3)</f>
        <v>0</v>
      </c>
      <c r="AQ3" s="22">
        <f t="shared" ref="AQ3:AT3" si="8">IF(OR(E3="",E3="TBD",E3="N/A",E3="SDK",E3="SAAS"),0,1)</f>
        <v>0</v>
      </c>
      <c r="AR3" s="22">
        <f t="shared" si="8"/>
        <v>0</v>
      </c>
      <c r="AS3" s="22">
        <f t="shared" si="8"/>
        <v>0</v>
      </c>
      <c r="AT3" s="22">
        <f t="shared" si="8"/>
        <v>0</v>
      </c>
      <c r="AV3" s="82">
        <f t="shared" ref="AV3:AV97" si="9">SUM(AW3:AZ3)</f>
        <v>0</v>
      </c>
      <c r="AW3" s="22">
        <f t="shared" ref="AW3:AZ3" si="10">IF(OR(E3="",E3="N/A",E3="SDK",E3="SAAS"),0,1)</f>
        <v>0</v>
      </c>
      <c r="AX3" s="22">
        <f t="shared" si="10"/>
        <v>0</v>
      </c>
      <c r="AY3" s="22">
        <f t="shared" si="10"/>
        <v>0</v>
      </c>
      <c r="AZ3" s="22">
        <f t="shared" si="10"/>
        <v>0</v>
      </c>
      <c r="BA3" s="22"/>
      <c r="BB3" s="22"/>
      <c r="BC3" s="22"/>
    </row>
    <row r="4" spans="1:55">
      <c r="A4" s="78" t="s">
        <v>344</v>
      </c>
      <c r="B4" s="78" t="s">
        <v>341</v>
      </c>
      <c r="C4" s="258" t="s">
        <v>345</v>
      </c>
      <c r="D4" s="79"/>
      <c r="E4" s="79"/>
      <c r="F4" s="79"/>
      <c r="G4" s="79"/>
      <c r="H4" s="79"/>
      <c r="I4" s="37"/>
      <c r="J4" s="37"/>
      <c r="K4" s="37"/>
      <c r="L4" s="31" t="s">
        <v>105</v>
      </c>
      <c r="M4" s="80" t="s">
        <v>343</v>
      </c>
      <c r="N4" s="81"/>
      <c r="O4" s="31"/>
      <c r="P4" s="81"/>
      <c r="Q4" s="81"/>
      <c r="R4" s="81"/>
      <c r="S4" s="81"/>
      <c r="T4" s="81" t="s">
        <v>107</v>
      </c>
      <c r="U4" s="81"/>
      <c r="V4" s="31" t="s">
        <v>108</v>
      </c>
      <c r="W4" s="31" t="s">
        <v>109</v>
      </c>
      <c r="X4" s="31"/>
      <c r="Y4" s="31"/>
      <c r="Z4" s="31"/>
      <c r="AB4" s="11">
        <f t="shared" si="0"/>
        <v>0</v>
      </c>
      <c r="AC4" s="11">
        <f t="shared" si="1"/>
        <v>1</v>
      </c>
      <c r="AD4" s="11">
        <f t="shared" si="2"/>
        <v>1</v>
      </c>
      <c r="AF4" s="11">
        <f t="shared" ref="AF4:AG4" si="11">SUMIFS(AH$3:AH$200,$A$3:$A$200,$A4)</f>
        <v>0</v>
      </c>
      <c r="AG4" s="11">
        <f t="shared" si="11"/>
        <v>1</v>
      </c>
      <c r="AH4" s="11">
        <f t="shared" si="4"/>
        <v>0</v>
      </c>
      <c r="AI4" s="22">
        <v>1</v>
      </c>
      <c r="AK4" s="82">
        <f t="shared" ref="AK4:AL4" si="12">SUMIFS(AM$3:AM$200,$A$3:$A$200,$A4)</f>
        <v>1</v>
      </c>
      <c r="AL4" s="22">
        <f t="shared" si="12"/>
        <v>1</v>
      </c>
      <c r="AM4" s="22">
        <f t="shared" si="6"/>
        <v>1</v>
      </c>
      <c r="AN4" s="22">
        <v>1</v>
      </c>
      <c r="AP4" s="22">
        <f t="shared" si="7"/>
        <v>0</v>
      </c>
      <c r="AQ4" s="22">
        <f t="shared" ref="AQ4:AT4" si="13">IF(OR(E4="",E4="TBD",E4="N/A",E4="SDK",E4="SAAS"),0,1)</f>
        <v>0</v>
      </c>
      <c r="AR4" s="22">
        <f t="shared" si="13"/>
        <v>0</v>
      </c>
      <c r="AS4" s="22">
        <f t="shared" si="13"/>
        <v>0</v>
      </c>
      <c r="AT4" s="22">
        <f t="shared" si="13"/>
        <v>0</v>
      </c>
      <c r="AV4" s="82">
        <f t="shared" si="9"/>
        <v>0</v>
      </c>
      <c r="AW4" s="22">
        <f t="shared" ref="AW4:AZ4" si="14">IF(OR(E4="",E4="N/A",E4="SDK",E4="SAAS"),0,1)</f>
        <v>0</v>
      </c>
      <c r="AX4" s="22">
        <f t="shared" si="14"/>
        <v>0</v>
      </c>
      <c r="AY4" s="22">
        <f t="shared" si="14"/>
        <v>0</v>
      </c>
      <c r="AZ4" s="22">
        <f t="shared" si="14"/>
        <v>0</v>
      </c>
      <c r="BA4" s="22"/>
      <c r="BB4" s="22"/>
      <c r="BC4" s="22"/>
    </row>
    <row r="5" spans="1:55">
      <c r="A5" s="78" t="s">
        <v>346</v>
      </c>
      <c r="B5" s="78" t="s">
        <v>14</v>
      </c>
      <c r="C5" s="259" t="s">
        <v>347</v>
      </c>
      <c r="D5" s="80"/>
      <c r="E5" s="80"/>
      <c r="F5" s="80"/>
      <c r="G5" s="80"/>
      <c r="H5" s="80"/>
      <c r="I5" s="37">
        <v>3</v>
      </c>
      <c r="J5" s="37">
        <v>38</v>
      </c>
      <c r="K5" s="37">
        <f t="shared" ref="K5:K11" si="15">J5*$J$83</f>
        <v>0</v>
      </c>
      <c r="L5" s="31" t="s">
        <v>105</v>
      </c>
      <c r="M5" s="80" t="s">
        <v>343</v>
      </c>
      <c r="N5" s="81"/>
      <c r="O5" s="81"/>
      <c r="P5" s="81"/>
      <c r="Q5" s="81"/>
      <c r="R5" s="81"/>
      <c r="S5" s="81"/>
      <c r="T5" s="81"/>
      <c r="U5" s="81"/>
      <c r="V5" s="31" t="s">
        <v>108</v>
      </c>
      <c r="W5" s="31" t="s">
        <v>109</v>
      </c>
      <c r="X5" s="31"/>
      <c r="Y5" s="31"/>
      <c r="Z5" s="31"/>
      <c r="AB5" s="11">
        <f t="shared" si="0"/>
        <v>0</v>
      </c>
      <c r="AC5" s="11">
        <f t="shared" si="1"/>
        <v>1</v>
      </c>
      <c r="AD5" s="11">
        <f t="shared" si="2"/>
        <v>1</v>
      </c>
      <c r="AF5" s="11">
        <f t="shared" ref="AF5:AG5" si="16">SUMIFS(AH$3:AH$200,$A$3:$A$200,$A5)</f>
        <v>0</v>
      </c>
      <c r="AG5" s="11">
        <f t="shared" si="16"/>
        <v>1</v>
      </c>
      <c r="AH5" s="11">
        <f t="shared" si="4"/>
        <v>0</v>
      </c>
      <c r="AI5" s="22">
        <v>1</v>
      </c>
      <c r="AJ5" s="22"/>
      <c r="AK5" s="82">
        <f t="shared" ref="AK5:AL5" si="17">SUMIFS(AM$3:AM$200,$A$3:$A$200,$A5)</f>
        <v>1</v>
      </c>
      <c r="AL5" s="22">
        <f t="shared" si="17"/>
        <v>1</v>
      </c>
      <c r="AM5" s="22">
        <f t="shared" si="6"/>
        <v>1</v>
      </c>
      <c r="AN5" s="22">
        <v>1</v>
      </c>
      <c r="AO5" s="22"/>
      <c r="AP5" s="22">
        <f t="shared" si="7"/>
        <v>0</v>
      </c>
      <c r="AQ5" s="22">
        <f t="shared" ref="AQ5:AT5" si="18">IF(OR(E5="",E5="TBD",E5="N/A",E5="SDK",E5="SAAS"),0,1)</f>
        <v>0</v>
      </c>
      <c r="AR5" s="22">
        <f t="shared" si="18"/>
        <v>0</v>
      </c>
      <c r="AS5" s="22">
        <f t="shared" si="18"/>
        <v>0</v>
      </c>
      <c r="AT5" s="22">
        <f t="shared" si="18"/>
        <v>0</v>
      </c>
      <c r="AV5" s="82">
        <f t="shared" si="9"/>
        <v>0</v>
      </c>
      <c r="AW5" s="22">
        <f t="shared" ref="AW5:AZ5" si="19">IF(OR(E5="",E5="N/A",E5="SDK",E5="SAAS"),0,1)</f>
        <v>0</v>
      </c>
      <c r="AX5" s="22">
        <f t="shared" si="19"/>
        <v>0</v>
      </c>
      <c r="AY5" s="22">
        <f t="shared" si="19"/>
        <v>0</v>
      </c>
      <c r="AZ5" s="22">
        <f t="shared" si="19"/>
        <v>0</v>
      </c>
      <c r="BA5" s="22"/>
      <c r="BB5" s="22"/>
      <c r="BC5" s="22"/>
    </row>
    <row r="6" spans="1:55">
      <c r="A6" s="78" t="s">
        <v>348</v>
      </c>
      <c r="B6" s="79" t="s">
        <v>14</v>
      </c>
      <c r="C6" s="258" t="s">
        <v>349</v>
      </c>
      <c r="D6" s="79"/>
      <c r="E6" s="79"/>
      <c r="F6" s="79"/>
      <c r="G6" s="79"/>
      <c r="H6" s="79"/>
      <c r="I6" s="37">
        <v>4</v>
      </c>
      <c r="J6" s="37">
        <v>19</v>
      </c>
      <c r="K6" s="37">
        <f t="shared" si="15"/>
        <v>0</v>
      </c>
      <c r="L6" s="31" t="s">
        <v>105</v>
      </c>
      <c r="M6" s="80" t="s">
        <v>343</v>
      </c>
      <c r="N6" s="81"/>
      <c r="O6" s="31"/>
      <c r="P6" s="81"/>
      <c r="Q6" s="81"/>
      <c r="R6" s="81"/>
      <c r="S6" s="81"/>
      <c r="T6" s="81" t="s">
        <v>107</v>
      </c>
      <c r="U6" s="81"/>
      <c r="V6" s="31" t="s">
        <v>108</v>
      </c>
      <c r="W6" s="31" t="s">
        <v>109</v>
      </c>
      <c r="X6" s="31"/>
      <c r="Y6" s="31"/>
      <c r="Z6" s="31"/>
      <c r="AB6" s="11">
        <f t="shared" si="0"/>
        <v>0</v>
      </c>
      <c r="AC6" s="11">
        <f t="shared" si="1"/>
        <v>1</v>
      </c>
      <c r="AD6" s="11">
        <f t="shared" si="2"/>
        <v>1</v>
      </c>
      <c r="AF6" s="11">
        <f t="shared" ref="AF6:AG6" si="20">SUMIFS(AH$3:AH$200,$A$3:$A$200,$A6)</f>
        <v>0</v>
      </c>
      <c r="AG6" s="11">
        <f t="shared" si="20"/>
        <v>1</v>
      </c>
      <c r="AH6" s="11">
        <f t="shared" si="4"/>
        <v>0</v>
      </c>
      <c r="AI6" s="22">
        <v>1</v>
      </c>
      <c r="AK6" s="82">
        <f t="shared" ref="AK6:AL6" si="21">SUMIFS(AM$3:AM$200,$A$3:$A$200,$A6)</f>
        <v>1</v>
      </c>
      <c r="AL6" s="22">
        <f t="shared" si="21"/>
        <v>1</v>
      </c>
      <c r="AM6" s="22">
        <f t="shared" si="6"/>
        <v>1</v>
      </c>
      <c r="AN6" s="22">
        <v>1</v>
      </c>
      <c r="AP6" s="22">
        <f t="shared" si="7"/>
        <v>0</v>
      </c>
      <c r="AQ6" s="22">
        <f t="shared" ref="AQ6:AT6" si="22">IF(OR(E6="",E6="TBD",E6="N/A",E6="SDK",E6="SAAS"),0,1)</f>
        <v>0</v>
      </c>
      <c r="AR6" s="22">
        <f t="shared" si="22"/>
        <v>0</v>
      </c>
      <c r="AS6" s="22">
        <f t="shared" si="22"/>
        <v>0</v>
      </c>
      <c r="AT6" s="22">
        <f t="shared" si="22"/>
        <v>0</v>
      </c>
      <c r="AV6" s="82">
        <f t="shared" si="9"/>
        <v>0</v>
      </c>
      <c r="AW6" s="22">
        <f t="shared" ref="AW6:AZ6" si="23">IF(OR(E6="",E6="N/A",E6="SDK",E6="SAAS"),0,1)</f>
        <v>0</v>
      </c>
      <c r="AX6" s="22">
        <f t="shared" si="23"/>
        <v>0</v>
      </c>
      <c r="AY6" s="22">
        <f t="shared" si="23"/>
        <v>0</v>
      </c>
      <c r="AZ6" s="22">
        <f t="shared" si="23"/>
        <v>0</v>
      </c>
      <c r="BA6" s="22"/>
      <c r="BB6" s="22"/>
      <c r="BC6" s="22"/>
    </row>
    <row r="7" spans="1:55">
      <c r="A7" s="78" t="s">
        <v>350</v>
      </c>
      <c r="B7" s="79" t="s">
        <v>14</v>
      </c>
      <c r="C7" s="258" t="s">
        <v>351</v>
      </c>
      <c r="D7" s="79"/>
      <c r="E7" s="79"/>
      <c r="F7" s="79"/>
      <c r="G7" s="79"/>
      <c r="H7" s="79"/>
      <c r="I7" s="37">
        <v>4</v>
      </c>
      <c r="J7" s="37">
        <v>14</v>
      </c>
      <c r="K7" s="37">
        <f t="shared" si="15"/>
        <v>0</v>
      </c>
      <c r="L7" s="31" t="s">
        <v>105</v>
      </c>
      <c r="M7" s="80" t="s">
        <v>343</v>
      </c>
      <c r="N7" s="81"/>
      <c r="O7" s="31"/>
      <c r="P7" s="81"/>
      <c r="Q7" s="81"/>
      <c r="R7" s="81"/>
      <c r="S7" s="81"/>
      <c r="T7" s="81" t="s">
        <v>107</v>
      </c>
      <c r="U7" s="81"/>
      <c r="V7" s="31" t="s">
        <v>108</v>
      </c>
      <c r="W7" s="31" t="s">
        <v>109</v>
      </c>
      <c r="X7" s="31"/>
      <c r="Y7" s="31"/>
      <c r="Z7" s="31"/>
      <c r="AB7" s="11">
        <f t="shared" si="0"/>
        <v>0</v>
      </c>
      <c r="AC7" s="11">
        <f t="shared" si="1"/>
        <v>1</v>
      </c>
      <c r="AD7" s="11">
        <f t="shared" si="2"/>
        <v>1</v>
      </c>
      <c r="AF7" s="11">
        <f t="shared" ref="AF7:AG7" si="24">SUMIFS(AH$3:AH$200,$A$3:$A$200,$A7)</f>
        <v>0</v>
      </c>
      <c r="AG7" s="11">
        <f t="shared" si="24"/>
        <v>1</v>
      </c>
      <c r="AH7" s="11">
        <f t="shared" si="4"/>
        <v>0</v>
      </c>
      <c r="AI7" s="22">
        <v>1</v>
      </c>
      <c r="AK7" s="82">
        <f t="shared" ref="AK7:AL7" si="25">SUMIFS(AM$3:AM$200,$A$3:$A$200,$A7)</f>
        <v>1</v>
      </c>
      <c r="AL7" s="22">
        <f t="shared" si="25"/>
        <v>1</v>
      </c>
      <c r="AM7" s="22">
        <f t="shared" si="6"/>
        <v>1</v>
      </c>
      <c r="AN7" s="22">
        <v>1</v>
      </c>
      <c r="AP7" s="22">
        <f t="shared" si="7"/>
        <v>0</v>
      </c>
      <c r="AQ7" s="22">
        <f t="shared" ref="AQ7:AT7" si="26">IF(OR(E7="",E7="TBD",E7="N/A",E7="SDK",E7="SAAS"),0,1)</f>
        <v>0</v>
      </c>
      <c r="AR7" s="22">
        <f t="shared" si="26"/>
        <v>0</v>
      </c>
      <c r="AS7" s="22">
        <f t="shared" si="26"/>
        <v>0</v>
      </c>
      <c r="AT7" s="22">
        <f t="shared" si="26"/>
        <v>0</v>
      </c>
      <c r="AV7" s="82">
        <f t="shared" si="9"/>
        <v>0</v>
      </c>
      <c r="AW7" s="22">
        <f t="shared" ref="AW7:AZ7" si="27">IF(OR(E7="",E7="N/A",E7="SDK",E7="SAAS"),0,1)</f>
        <v>0</v>
      </c>
      <c r="AX7" s="22">
        <f t="shared" si="27"/>
        <v>0</v>
      </c>
      <c r="AY7" s="22">
        <f t="shared" si="27"/>
        <v>0</v>
      </c>
      <c r="AZ7" s="22">
        <f t="shared" si="27"/>
        <v>0</v>
      </c>
      <c r="BA7" s="22"/>
      <c r="BB7" s="22"/>
      <c r="BC7" s="22"/>
    </row>
    <row r="8" spans="1:55">
      <c r="A8" s="79" t="s">
        <v>352</v>
      </c>
      <c r="B8" s="79" t="s">
        <v>14</v>
      </c>
      <c r="C8" s="258" t="s">
        <v>353</v>
      </c>
      <c r="D8" s="80"/>
      <c r="E8" s="80"/>
      <c r="F8" s="80"/>
      <c r="G8" s="80"/>
      <c r="H8" s="80"/>
      <c r="I8" s="37">
        <v>3</v>
      </c>
      <c r="J8" s="37">
        <v>27</v>
      </c>
      <c r="K8" s="37">
        <f t="shared" si="15"/>
        <v>0</v>
      </c>
      <c r="L8" s="31" t="s">
        <v>105</v>
      </c>
      <c r="M8" s="80" t="s">
        <v>343</v>
      </c>
      <c r="N8" s="81"/>
      <c r="O8" s="81" t="s">
        <v>107</v>
      </c>
      <c r="P8" s="81"/>
      <c r="Q8" s="81"/>
      <c r="R8" s="81"/>
      <c r="S8" s="81" t="s">
        <v>107</v>
      </c>
      <c r="T8" s="81"/>
      <c r="U8" s="81"/>
      <c r="V8" s="31" t="s">
        <v>108</v>
      </c>
      <c r="W8" s="31" t="s">
        <v>109</v>
      </c>
      <c r="X8" s="31"/>
      <c r="Y8" s="31"/>
      <c r="Z8" s="31"/>
      <c r="AB8" s="11">
        <f t="shared" si="0"/>
        <v>0</v>
      </c>
      <c r="AC8" s="11">
        <f t="shared" si="1"/>
        <v>1</v>
      </c>
      <c r="AD8" s="11">
        <f t="shared" si="2"/>
        <v>1</v>
      </c>
      <c r="AF8" s="11">
        <f t="shared" ref="AF8:AG8" si="28">SUMIFS(AH$3:AH$200,$A$3:$A$200,$A8)</f>
        <v>0</v>
      </c>
      <c r="AG8" s="11">
        <f t="shared" si="28"/>
        <v>1</v>
      </c>
      <c r="AH8" s="11">
        <f t="shared" si="4"/>
        <v>0</v>
      </c>
      <c r="AI8" s="22">
        <v>1</v>
      </c>
      <c r="AK8" s="82">
        <f t="shared" ref="AK8:AL8" si="29">SUMIFS(AM$3:AM$200,$A$3:$A$200,$A8)</f>
        <v>1</v>
      </c>
      <c r="AL8" s="22">
        <f t="shared" si="29"/>
        <v>1</v>
      </c>
      <c r="AM8" s="22">
        <f t="shared" si="6"/>
        <v>1</v>
      </c>
      <c r="AN8" s="22">
        <v>1</v>
      </c>
      <c r="AP8" s="22">
        <f t="shared" si="7"/>
        <v>0</v>
      </c>
      <c r="AQ8" s="22">
        <f t="shared" ref="AQ8:AT8" si="30">IF(OR(E8="",E8="TBD",E8="N/A",E8="SDK",E8="SAAS"),0,1)</f>
        <v>0</v>
      </c>
      <c r="AR8" s="22">
        <f t="shared" si="30"/>
        <v>0</v>
      </c>
      <c r="AS8" s="22">
        <f t="shared" si="30"/>
        <v>0</v>
      </c>
      <c r="AT8" s="22">
        <f t="shared" si="30"/>
        <v>0</v>
      </c>
      <c r="AV8" s="82">
        <f t="shared" si="9"/>
        <v>0</v>
      </c>
      <c r="AW8" s="22">
        <f t="shared" ref="AW8:AZ8" si="31">IF(OR(E8="",E8="N/A",E8="SDK",E8="SAAS"),0,1)</f>
        <v>0</v>
      </c>
      <c r="AX8" s="22">
        <f t="shared" si="31"/>
        <v>0</v>
      </c>
      <c r="AY8" s="22">
        <f t="shared" si="31"/>
        <v>0</v>
      </c>
      <c r="AZ8" s="22">
        <f t="shared" si="31"/>
        <v>0</v>
      </c>
      <c r="BA8" s="22"/>
      <c r="BB8" s="22"/>
      <c r="BC8" s="22"/>
    </row>
    <row r="9" spans="1:55">
      <c r="A9" s="79" t="s">
        <v>354</v>
      </c>
      <c r="B9" s="79" t="s">
        <v>14</v>
      </c>
      <c r="C9" s="258" t="s">
        <v>355</v>
      </c>
      <c r="D9" s="80"/>
      <c r="E9" s="80"/>
      <c r="F9" s="80"/>
      <c r="G9" s="80"/>
      <c r="H9" s="80"/>
      <c r="I9" s="37">
        <v>4</v>
      </c>
      <c r="J9" s="37">
        <v>28</v>
      </c>
      <c r="K9" s="37">
        <f t="shared" si="15"/>
        <v>0</v>
      </c>
      <c r="L9" s="31" t="s">
        <v>105</v>
      </c>
      <c r="M9" s="80" t="s">
        <v>343</v>
      </c>
      <c r="N9" s="81"/>
      <c r="O9" s="81" t="s">
        <v>107</v>
      </c>
      <c r="P9" s="81"/>
      <c r="Q9" s="81"/>
      <c r="R9" s="81"/>
      <c r="S9" s="81" t="s">
        <v>107</v>
      </c>
      <c r="T9" s="81"/>
      <c r="U9" s="81"/>
      <c r="V9" s="31" t="s">
        <v>108</v>
      </c>
      <c r="W9" s="31" t="s">
        <v>109</v>
      </c>
      <c r="X9" s="31"/>
      <c r="Y9" s="31"/>
      <c r="Z9" s="31"/>
      <c r="AB9" s="11">
        <f t="shared" si="0"/>
        <v>0</v>
      </c>
      <c r="AC9" s="11">
        <f t="shared" si="1"/>
        <v>1</v>
      </c>
      <c r="AD9" s="11">
        <f t="shared" si="2"/>
        <v>1</v>
      </c>
      <c r="AF9" s="11">
        <f t="shared" ref="AF9:AG9" si="32">SUMIFS(AH$3:AH$200,$A$3:$A$200,$A9)</f>
        <v>0</v>
      </c>
      <c r="AG9" s="11">
        <f t="shared" si="32"/>
        <v>1</v>
      </c>
      <c r="AH9" s="11">
        <f t="shared" si="4"/>
        <v>0</v>
      </c>
      <c r="AI9" s="22">
        <v>1</v>
      </c>
      <c r="AK9" s="82">
        <f t="shared" ref="AK9:AL9" si="33">SUMIFS(AM$3:AM$200,$A$3:$A$200,$A9)</f>
        <v>1</v>
      </c>
      <c r="AL9" s="22">
        <f t="shared" si="33"/>
        <v>1</v>
      </c>
      <c r="AM9" s="22">
        <f t="shared" si="6"/>
        <v>1</v>
      </c>
      <c r="AN9" s="22">
        <v>1</v>
      </c>
      <c r="AP9" s="22">
        <f t="shared" si="7"/>
        <v>0</v>
      </c>
      <c r="AQ9" s="22">
        <f t="shared" ref="AQ9:AT9" si="34">IF(OR(E9="",E9="TBD",E9="N/A",E9="SDK",E9="SAAS"),0,1)</f>
        <v>0</v>
      </c>
      <c r="AR9" s="22">
        <f t="shared" si="34"/>
        <v>0</v>
      </c>
      <c r="AS9" s="22">
        <f t="shared" si="34"/>
        <v>0</v>
      </c>
      <c r="AT9" s="22">
        <f t="shared" si="34"/>
        <v>0</v>
      </c>
      <c r="AV9" s="82">
        <f t="shared" si="9"/>
        <v>0</v>
      </c>
      <c r="AW9" s="22">
        <f t="shared" ref="AW9:AZ9" si="35">IF(OR(E9="",E9="N/A",E9="SDK",E9="SAAS"),0,1)</f>
        <v>0</v>
      </c>
      <c r="AX9" s="22">
        <f t="shared" si="35"/>
        <v>0</v>
      </c>
      <c r="AY9" s="22">
        <f t="shared" si="35"/>
        <v>0</v>
      </c>
      <c r="AZ9" s="22">
        <f t="shared" si="35"/>
        <v>0</v>
      </c>
      <c r="BA9" s="22"/>
      <c r="BB9" s="22"/>
      <c r="BC9" s="22"/>
    </row>
    <row r="10" spans="1:55">
      <c r="A10" s="79" t="s">
        <v>356</v>
      </c>
      <c r="B10" s="79" t="s">
        <v>14</v>
      </c>
      <c r="C10" s="258" t="s">
        <v>357</v>
      </c>
      <c r="D10" s="80"/>
      <c r="E10" s="80"/>
      <c r="F10" s="80"/>
      <c r="G10" s="80"/>
      <c r="H10" s="80"/>
      <c r="I10" s="37">
        <v>4</v>
      </c>
      <c r="J10" s="37">
        <v>32</v>
      </c>
      <c r="K10" s="37">
        <f t="shared" si="15"/>
        <v>0</v>
      </c>
      <c r="L10" s="31" t="s">
        <v>105</v>
      </c>
      <c r="M10" s="80" t="s">
        <v>343</v>
      </c>
      <c r="N10" s="81"/>
      <c r="O10" s="81" t="s">
        <v>107</v>
      </c>
      <c r="P10" s="81"/>
      <c r="Q10" s="81"/>
      <c r="R10" s="81"/>
      <c r="S10" s="81" t="s">
        <v>107</v>
      </c>
      <c r="T10" s="81"/>
      <c r="U10" s="81"/>
      <c r="V10" s="31" t="s">
        <v>108</v>
      </c>
      <c r="W10" s="31" t="s">
        <v>109</v>
      </c>
      <c r="X10" s="31"/>
      <c r="Y10" s="31"/>
      <c r="Z10" s="31"/>
      <c r="AB10" s="11">
        <f t="shared" si="0"/>
        <v>0</v>
      </c>
      <c r="AC10" s="11">
        <f t="shared" si="1"/>
        <v>1</v>
      </c>
      <c r="AD10" s="11">
        <f t="shared" si="2"/>
        <v>1</v>
      </c>
      <c r="AF10" s="11">
        <f t="shared" ref="AF10:AG10" si="36">SUMIFS(AH$3:AH$200,$A$3:$A$200,$A10)</f>
        <v>0</v>
      </c>
      <c r="AG10" s="11">
        <f t="shared" si="36"/>
        <v>1</v>
      </c>
      <c r="AH10" s="11">
        <f t="shared" si="4"/>
        <v>0</v>
      </c>
      <c r="AI10" s="22">
        <v>1</v>
      </c>
      <c r="AK10" s="82">
        <f t="shared" ref="AK10:AL10" si="37">SUMIFS(AM$3:AM$200,$A$3:$A$200,$A10)</f>
        <v>1</v>
      </c>
      <c r="AL10" s="22">
        <f t="shared" si="37"/>
        <v>1</v>
      </c>
      <c r="AM10" s="22">
        <f t="shared" si="6"/>
        <v>1</v>
      </c>
      <c r="AN10" s="22">
        <v>1</v>
      </c>
      <c r="AP10" s="22">
        <f t="shared" si="7"/>
        <v>0</v>
      </c>
      <c r="AQ10" s="22">
        <f t="shared" ref="AQ10:AT10" si="38">IF(OR(E10="",E10="TBD",E10="N/A",E10="SDK",E10="SAAS"),0,1)</f>
        <v>0</v>
      </c>
      <c r="AR10" s="22">
        <f t="shared" si="38"/>
        <v>0</v>
      </c>
      <c r="AS10" s="22">
        <f t="shared" si="38"/>
        <v>0</v>
      </c>
      <c r="AT10" s="22">
        <f t="shared" si="38"/>
        <v>0</v>
      </c>
      <c r="AV10" s="82">
        <f t="shared" si="9"/>
        <v>0</v>
      </c>
      <c r="AW10" s="22">
        <f t="shared" ref="AW10:AZ10" si="39">IF(OR(E10="",E10="N/A",E10="SDK",E10="SAAS"),0,1)</f>
        <v>0</v>
      </c>
      <c r="AX10" s="22">
        <f t="shared" si="39"/>
        <v>0</v>
      </c>
      <c r="AY10" s="22">
        <f t="shared" si="39"/>
        <v>0</v>
      </c>
      <c r="AZ10" s="22">
        <f t="shared" si="39"/>
        <v>0</v>
      </c>
      <c r="BA10" s="22"/>
      <c r="BB10" s="22"/>
      <c r="BC10" s="22"/>
    </row>
    <row r="11" spans="1:55">
      <c r="A11" s="260" t="s">
        <v>358</v>
      </c>
      <c r="B11" s="261" t="s">
        <v>14</v>
      </c>
      <c r="C11" s="262" t="s">
        <v>359</v>
      </c>
      <c r="D11" s="80"/>
      <c r="E11" s="80"/>
      <c r="F11" s="80"/>
      <c r="G11" s="80"/>
      <c r="H11" s="80"/>
      <c r="I11" s="37">
        <v>4</v>
      </c>
      <c r="J11" s="37">
        <v>23</v>
      </c>
      <c r="K11" s="37">
        <f t="shared" si="15"/>
        <v>0</v>
      </c>
      <c r="L11" s="31" t="s">
        <v>105</v>
      </c>
      <c r="M11" s="80" t="s">
        <v>343</v>
      </c>
      <c r="N11" s="81"/>
      <c r="O11" s="81" t="s">
        <v>107</v>
      </c>
      <c r="P11" s="81" t="s">
        <v>107</v>
      </c>
      <c r="Q11" s="81" t="s">
        <v>107</v>
      </c>
      <c r="R11" s="81" t="s">
        <v>107</v>
      </c>
      <c r="S11" s="81"/>
      <c r="T11" s="81"/>
      <c r="U11" s="81"/>
      <c r="V11" s="31" t="s">
        <v>108</v>
      </c>
      <c r="W11" s="31" t="s">
        <v>271</v>
      </c>
      <c r="X11" s="31"/>
      <c r="Y11" s="31"/>
      <c r="Z11" s="31"/>
      <c r="AB11" s="11">
        <f t="shared" si="0"/>
        <v>0</v>
      </c>
      <c r="AC11" s="11">
        <f t="shared" si="1"/>
        <v>1</v>
      </c>
      <c r="AD11" s="11">
        <f t="shared" si="2"/>
        <v>1</v>
      </c>
      <c r="AF11" s="11">
        <f t="shared" ref="AF11:AG11" si="40">SUMIFS(AH$3:AH$200,$A$3:$A$200,$A11)</f>
        <v>0</v>
      </c>
      <c r="AG11" s="11">
        <f t="shared" si="40"/>
        <v>1</v>
      </c>
      <c r="AH11" s="11">
        <f t="shared" si="4"/>
        <v>0</v>
      </c>
      <c r="AI11" s="22">
        <v>1</v>
      </c>
      <c r="AJ11" s="22"/>
      <c r="AK11" s="82">
        <f t="shared" ref="AK11:AL11" si="41">SUMIFS(AM$3:AM$200,$A$3:$A$200,$A11)</f>
        <v>1</v>
      </c>
      <c r="AL11" s="22">
        <f t="shared" si="41"/>
        <v>1</v>
      </c>
      <c r="AM11" s="22">
        <f t="shared" si="6"/>
        <v>1</v>
      </c>
      <c r="AN11" s="22">
        <v>1</v>
      </c>
      <c r="AO11" s="22"/>
      <c r="AP11" s="22">
        <f t="shared" si="7"/>
        <v>0</v>
      </c>
      <c r="AQ11" s="22">
        <f t="shared" ref="AQ11:AT11" si="42">IF(OR(E11="",E11="TBD",E11="N/A",E11="SDK",E11="SAAS"),0,1)</f>
        <v>0</v>
      </c>
      <c r="AR11" s="22">
        <f t="shared" si="42"/>
        <v>0</v>
      </c>
      <c r="AS11" s="22">
        <f t="shared" si="42"/>
        <v>0</v>
      </c>
      <c r="AT11" s="22">
        <f t="shared" si="42"/>
        <v>0</v>
      </c>
      <c r="AV11" s="82">
        <f t="shared" si="9"/>
        <v>0</v>
      </c>
      <c r="AW11" s="22">
        <f t="shared" ref="AW11:AZ11" si="43">IF(OR(E11="",E11="N/A",E11="SDK",E11="SAAS"),0,1)</f>
        <v>0</v>
      </c>
      <c r="AX11" s="22">
        <f t="shared" si="43"/>
        <v>0</v>
      </c>
      <c r="AY11" s="22">
        <f t="shared" si="43"/>
        <v>0</v>
      </c>
      <c r="AZ11" s="22">
        <f t="shared" si="43"/>
        <v>0</v>
      </c>
      <c r="BA11" s="22"/>
      <c r="BB11" s="22"/>
      <c r="BC11" s="22"/>
    </row>
    <row r="12" spans="1:55" collapsed="1">
      <c r="A12" s="260" t="s">
        <v>360</v>
      </c>
      <c r="B12" s="261" t="s">
        <v>14</v>
      </c>
      <c r="C12" s="262" t="s">
        <v>361</v>
      </c>
      <c r="D12" s="80"/>
      <c r="E12" s="80"/>
      <c r="F12" s="80"/>
      <c r="G12" s="80"/>
      <c r="H12" s="80"/>
      <c r="I12" s="37" t="s">
        <v>362</v>
      </c>
      <c r="J12" s="37" t="s">
        <v>362</v>
      </c>
      <c r="K12" s="37" t="s">
        <v>362</v>
      </c>
      <c r="L12" s="31" t="s">
        <v>105</v>
      </c>
      <c r="M12" s="80" t="s">
        <v>343</v>
      </c>
      <c r="N12" s="81"/>
      <c r="O12" s="81"/>
      <c r="P12" s="81"/>
      <c r="Q12" s="81" t="s">
        <v>107</v>
      </c>
      <c r="R12" s="81" t="s">
        <v>107</v>
      </c>
      <c r="S12" s="81"/>
      <c r="T12" s="81"/>
      <c r="U12" s="81"/>
      <c r="V12" s="31" t="s">
        <v>108</v>
      </c>
      <c r="W12" s="31" t="s">
        <v>271</v>
      </c>
      <c r="X12" s="31"/>
      <c r="Y12" s="31"/>
      <c r="Z12" s="31"/>
      <c r="AB12" s="11">
        <f t="shared" si="0"/>
        <v>0</v>
      </c>
      <c r="AC12" s="11">
        <f t="shared" si="1"/>
        <v>1</v>
      </c>
      <c r="AD12" s="11">
        <f t="shared" si="2"/>
        <v>1</v>
      </c>
      <c r="AF12" s="11">
        <f t="shared" ref="AF12:AG12" si="44">SUMIFS(AH$3:AH$200,$A$3:$A$200,$A12)</f>
        <v>0</v>
      </c>
      <c r="AG12" s="11">
        <f t="shared" si="44"/>
        <v>1</v>
      </c>
      <c r="AH12" s="11">
        <f t="shared" si="4"/>
        <v>0</v>
      </c>
      <c r="AI12" s="22">
        <v>1</v>
      </c>
      <c r="AJ12" s="22"/>
      <c r="AK12" s="82">
        <f t="shared" ref="AK12:AL12" si="45">SUMIFS(AM$3:AM$200,$A$3:$A$200,$A12)</f>
        <v>1</v>
      </c>
      <c r="AL12" s="22">
        <f t="shared" si="45"/>
        <v>1</v>
      </c>
      <c r="AM12" s="22">
        <f t="shared" si="6"/>
        <v>1</v>
      </c>
      <c r="AN12" s="22">
        <v>1</v>
      </c>
      <c r="AO12" s="22"/>
      <c r="AP12" s="22">
        <f t="shared" si="7"/>
        <v>0</v>
      </c>
      <c r="AQ12" s="22">
        <f t="shared" ref="AQ12:AT12" si="46">IF(OR(E12="",E12="TBD",E12="N/A",E12="SDK",E12="SAAS"),0,1)</f>
        <v>0</v>
      </c>
      <c r="AR12" s="22">
        <f t="shared" si="46"/>
        <v>0</v>
      </c>
      <c r="AS12" s="22">
        <f t="shared" si="46"/>
        <v>0</v>
      </c>
      <c r="AT12" s="22">
        <f t="shared" si="46"/>
        <v>0</v>
      </c>
      <c r="AV12" s="82">
        <f t="shared" si="9"/>
        <v>0</v>
      </c>
      <c r="AW12" s="22">
        <f t="shared" ref="AW12:AZ12" si="47">IF(OR(E12="",E12="N/A",E12="SDK",E12="SAAS"),0,1)</f>
        <v>0</v>
      </c>
      <c r="AX12" s="22">
        <f t="shared" si="47"/>
        <v>0</v>
      </c>
      <c r="AY12" s="22">
        <f t="shared" si="47"/>
        <v>0</v>
      </c>
      <c r="AZ12" s="22">
        <f t="shared" si="47"/>
        <v>0</v>
      </c>
      <c r="BA12" s="22"/>
      <c r="BB12" s="22"/>
      <c r="BC12" s="22"/>
    </row>
    <row r="13" spans="1:55" hidden="1" outlineLevel="1">
      <c r="A13" s="260" t="s">
        <v>363</v>
      </c>
      <c r="B13" s="261" t="s">
        <v>14</v>
      </c>
      <c r="C13" s="258" t="s">
        <v>364</v>
      </c>
      <c r="D13" s="89" t="s">
        <v>365</v>
      </c>
      <c r="E13" s="89" t="s">
        <v>366</v>
      </c>
      <c r="F13" s="89" t="s">
        <v>365</v>
      </c>
      <c r="G13" s="89" t="s">
        <v>365</v>
      </c>
      <c r="H13" s="80"/>
      <c r="I13" s="37"/>
      <c r="J13" s="37"/>
      <c r="K13" s="37"/>
      <c r="L13" s="31" t="s">
        <v>105</v>
      </c>
      <c r="M13" s="80" t="s">
        <v>343</v>
      </c>
      <c r="N13" s="81"/>
      <c r="O13" s="81" t="s">
        <v>107</v>
      </c>
      <c r="P13" s="81" t="s">
        <v>107</v>
      </c>
      <c r="Q13" s="81" t="s">
        <v>107</v>
      </c>
      <c r="R13" s="81"/>
      <c r="S13" s="81"/>
      <c r="T13" s="81"/>
      <c r="U13" s="81"/>
      <c r="V13" s="31" t="s">
        <v>108</v>
      </c>
      <c r="W13" s="31" t="s">
        <v>271</v>
      </c>
      <c r="X13" s="31"/>
      <c r="Y13" s="31"/>
      <c r="Z13" s="31"/>
      <c r="AB13" s="11">
        <f t="shared" si="0"/>
        <v>1</v>
      </c>
      <c r="AC13" s="11">
        <f t="shared" si="1"/>
        <v>1</v>
      </c>
      <c r="AD13" s="11">
        <f t="shared" si="2"/>
        <v>1</v>
      </c>
      <c r="AF13" s="11">
        <f t="shared" ref="AF13:AG13" si="48">SUMIFS(AH$3:AH$200,$A$3:$A$200,$A13)</f>
        <v>15</v>
      </c>
      <c r="AG13" s="11">
        <f t="shared" si="48"/>
        <v>15</v>
      </c>
      <c r="AH13" s="11">
        <f t="shared" si="4"/>
        <v>1</v>
      </c>
      <c r="AI13" s="22">
        <v>1</v>
      </c>
      <c r="AJ13" s="22"/>
      <c r="AK13" s="82">
        <f t="shared" ref="AK13:AL13" si="49">SUMIFS(AM$3:AM$200,$A$3:$A$200,$A13)</f>
        <v>15</v>
      </c>
      <c r="AL13" s="22">
        <f t="shared" si="49"/>
        <v>15</v>
      </c>
      <c r="AM13" s="22">
        <f t="shared" si="6"/>
        <v>1</v>
      </c>
      <c r="AN13" s="22">
        <v>1</v>
      </c>
      <c r="AO13" s="22"/>
      <c r="AP13" s="22">
        <f t="shared" si="7"/>
        <v>3</v>
      </c>
      <c r="AQ13" s="22">
        <f t="shared" ref="AQ13:AT13" si="50">IF(OR(E13="",E13="TBD",E13="N/A",E13="SDK",E13="SAAS"),0,1)</f>
        <v>1</v>
      </c>
      <c r="AR13" s="22">
        <f t="shared" si="50"/>
        <v>1</v>
      </c>
      <c r="AS13" s="22">
        <f t="shared" si="50"/>
        <v>1</v>
      </c>
      <c r="AT13" s="22">
        <f t="shared" si="50"/>
        <v>0</v>
      </c>
      <c r="AV13" s="82">
        <f t="shared" si="9"/>
        <v>3</v>
      </c>
      <c r="AW13" s="22">
        <f t="shared" ref="AW13:AZ13" si="51">IF(OR(E13="",E13="N/A",E13="SDK",E13="SAAS"),0,1)</f>
        <v>1</v>
      </c>
      <c r="AX13" s="22">
        <f t="shared" si="51"/>
        <v>1</v>
      </c>
      <c r="AY13" s="22">
        <f t="shared" si="51"/>
        <v>1</v>
      </c>
      <c r="AZ13" s="22">
        <f t="shared" si="51"/>
        <v>0</v>
      </c>
      <c r="BA13" s="22"/>
      <c r="BB13" s="22"/>
      <c r="BC13" s="22"/>
    </row>
    <row r="14" spans="1:55" hidden="1" outlineLevel="1">
      <c r="A14" s="260" t="s">
        <v>363</v>
      </c>
      <c r="B14" s="261" t="s">
        <v>14</v>
      </c>
      <c r="C14" s="258" t="s">
        <v>364</v>
      </c>
      <c r="D14" s="89" t="s">
        <v>367</v>
      </c>
      <c r="E14" s="89" t="s">
        <v>368</v>
      </c>
      <c r="F14" s="89" t="s">
        <v>367</v>
      </c>
      <c r="G14" s="89" t="s">
        <v>367</v>
      </c>
      <c r="H14" s="80"/>
      <c r="I14" s="37"/>
      <c r="J14" s="37"/>
      <c r="K14" s="37"/>
      <c r="L14" s="31" t="s">
        <v>105</v>
      </c>
      <c r="M14" s="80" t="s">
        <v>343</v>
      </c>
      <c r="N14" s="81"/>
      <c r="O14" s="81" t="s">
        <v>107</v>
      </c>
      <c r="P14" s="81" t="s">
        <v>107</v>
      </c>
      <c r="Q14" s="81" t="s">
        <v>107</v>
      </c>
      <c r="R14" s="81"/>
      <c r="S14" s="81"/>
      <c r="T14" s="81"/>
      <c r="U14" s="81"/>
      <c r="V14" s="31" t="s">
        <v>108</v>
      </c>
      <c r="W14" s="31" t="s">
        <v>271</v>
      </c>
      <c r="X14" s="31"/>
      <c r="Y14" s="31"/>
      <c r="Z14" s="31"/>
      <c r="AB14" s="11">
        <f t="shared" si="0"/>
        <v>0</v>
      </c>
      <c r="AC14" s="11">
        <f t="shared" si="1"/>
        <v>0</v>
      </c>
      <c r="AD14" s="11">
        <f t="shared" si="2"/>
        <v>0</v>
      </c>
      <c r="AF14" s="11">
        <f t="shared" ref="AF14:AG14" si="52">SUMIFS(AH$3:AH$200,$A$3:$A$200,$A14)</f>
        <v>15</v>
      </c>
      <c r="AG14" s="11">
        <f t="shared" si="52"/>
        <v>15</v>
      </c>
      <c r="AH14" s="11">
        <f t="shared" si="4"/>
        <v>1</v>
      </c>
      <c r="AI14" s="22">
        <v>1</v>
      </c>
      <c r="AJ14" s="22"/>
      <c r="AK14" s="82">
        <f t="shared" ref="AK14:AL14" si="53">SUMIFS(AM$3:AM$200,$A$3:$A$200,$A14)</f>
        <v>15</v>
      </c>
      <c r="AL14" s="22">
        <f t="shared" si="53"/>
        <v>15</v>
      </c>
      <c r="AM14" s="22">
        <f t="shared" si="6"/>
        <v>1</v>
      </c>
      <c r="AN14" s="22">
        <v>1</v>
      </c>
      <c r="AO14" s="22"/>
      <c r="AP14" s="22">
        <f t="shared" si="7"/>
        <v>3</v>
      </c>
      <c r="AQ14" s="22">
        <f t="shared" ref="AQ14:AT14" si="54">IF(OR(E14="",E14="TBD",E14="N/A",E14="SDK",E14="SAAS"),0,1)</f>
        <v>1</v>
      </c>
      <c r="AR14" s="22">
        <f t="shared" si="54"/>
        <v>1</v>
      </c>
      <c r="AS14" s="22">
        <f t="shared" si="54"/>
        <v>1</v>
      </c>
      <c r="AT14" s="22">
        <f t="shared" si="54"/>
        <v>0</v>
      </c>
      <c r="AV14" s="82">
        <f t="shared" si="9"/>
        <v>3</v>
      </c>
      <c r="AW14" s="22">
        <f t="shared" ref="AW14:AZ14" si="55">IF(OR(E14="",E14="N/A",E14="SDK",E14="SAAS"),0,1)</f>
        <v>1</v>
      </c>
      <c r="AX14" s="22">
        <f t="shared" si="55"/>
        <v>1</v>
      </c>
      <c r="AY14" s="22">
        <f t="shared" si="55"/>
        <v>1</v>
      </c>
      <c r="AZ14" s="22">
        <f t="shared" si="55"/>
        <v>0</v>
      </c>
      <c r="BA14" s="22"/>
      <c r="BB14" s="22"/>
      <c r="BC14" s="22"/>
    </row>
    <row r="15" spans="1:55" hidden="1" outlineLevel="1">
      <c r="A15" s="260" t="s">
        <v>363</v>
      </c>
      <c r="B15" s="261" t="s">
        <v>14</v>
      </c>
      <c r="C15" s="258" t="s">
        <v>364</v>
      </c>
      <c r="D15" s="89" t="s">
        <v>369</v>
      </c>
      <c r="E15" s="89"/>
      <c r="F15" s="89" t="s">
        <v>369</v>
      </c>
      <c r="G15" s="89" t="s">
        <v>369</v>
      </c>
      <c r="H15" s="80"/>
      <c r="I15" s="37"/>
      <c r="J15" s="37"/>
      <c r="K15" s="37"/>
      <c r="L15" s="31" t="s">
        <v>105</v>
      </c>
      <c r="M15" s="80" t="s">
        <v>343</v>
      </c>
      <c r="N15" s="81"/>
      <c r="O15" s="81" t="s">
        <v>107</v>
      </c>
      <c r="P15" s="81" t="s">
        <v>107</v>
      </c>
      <c r="Q15" s="81" t="s">
        <v>107</v>
      </c>
      <c r="R15" s="81"/>
      <c r="S15" s="81"/>
      <c r="T15" s="81"/>
      <c r="U15" s="81"/>
      <c r="V15" s="31" t="s">
        <v>108</v>
      </c>
      <c r="W15" s="31" t="s">
        <v>271</v>
      </c>
      <c r="X15" s="31"/>
      <c r="Y15" s="31"/>
      <c r="Z15" s="31"/>
      <c r="AB15" s="11">
        <f t="shared" si="0"/>
        <v>0</v>
      </c>
      <c r="AC15" s="11">
        <f t="shared" si="1"/>
        <v>0</v>
      </c>
      <c r="AD15" s="11">
        <f t="shared" si="2"/>
        <v>0</v>
      </c>
      <c r="AF15" s="11">
        <f t="shared" ref="AF15:AG15" si="56">SUMIFS(AH$3:AH$200,$A$3:$A$200,$A15)</f>
        <v>15</v>
      </c>
      <c r="AG15" s="11">
        <f t="shared" si="56"/>
        <v>15</v>
      </c>
      <c r="AH15" s="11">
        <f t="shared" si="4"/>
        <v>1</v>
      </c>
      <c r="AI15" s="22">
        <v>1</v>
      </c>
      <c r="AJ15" s="22"/>
      <c r="AK15" s="82">
        <f t="shared" ref="AK15:AL15" si="57">SUMIFS(AM$3:AM$200,$A$3:$A$200,$A15)</f>
        <v>15</v>
      </c>
      <c r="AL15" s="22">
        <f t="shared" si="57"/>
        <v>15</v>
      </c>
      <c r="AM15" s="22">
        <f t="shared" si="6"/>
        <v>1</v>
      </c>
      <c r="AN15" s="22">
        <v>1</v>
      </c>
      <c r="AO15" s="22"/>
      <c r="AP15" s="22">
        <f t="shared" si="7"/>
        <v>2</v>
      </c>
      <c r="AQ15" s="22">
        <f t="shared" ref="AQ15:AT15" si="58">IF(OR(E15="",E15="TBD",E15="N/A",E15="SDK",E15="SAAS"),0,1)</f>
        <v>0</v>
      </c>
      <c r="AR15" s="22">
        <f t="shared" si="58"/>
        <v>1</v>
      </c>
      <c r="AS15" s="22">
        <f t="shared" si="58"/>
        <v>1</v>
      </c>
      <c r="AT15" s="22">
        <f t="shared" si="58"/>
        <v>0</v>
      </c>
      <c r="AV15" s="82">
        <f t="shared" si="9"/>
        <v>2</v>
      </c>
      <c r="AW15" s="22">
        <f t="shared" ref="AW15:AZ15" si="59">IF(OR(E15="",E15="N/A",E15="SDK",E15="SAAS"),0,1)</f>
        <v>0</v>
      </c>
      <c r="AX15" s="22">
        <f t="shared" si="59"/>
        <v>1</v>
      </c>
      <c r="AY15" s="22">
        <f t="shared" si="59"/>
        <v>1</v>
      </c>
      <c r="AZ15" s="22">
        <f t="shared" si="59"/>
        <v>0</v>
      </c>
      <c r="BA15" s="22"/>
      <c r="BB15" s="22"/>
      <c r="BC15" s="22"/>
    </row>
    <row r="16" spans="1:55" hidden="1" outlineLevel="1">
      <c r="A16" s="260" t="s">
        <v>370</v>
      </c>
      <c r="B16" s="261" t="s">
        <v>14</v>
      </c>
      <c r="C16" s="262" t="s">
        <v>371</v>
      </c>
      <c r="D16" s="80"/>
      <c r="E16" s="80"/>
      <c r="F16" s="80"/>
      <c r="G16" s="80"/>
      <c r="H16" s="80"/>
      <c r="I16" s="37">
        <v>0</v>
      </c>
      <c r="J16" s="37">
        <v>0</v>
      </c>
      <c r="K16" s="37">
        <f>J16*$J$83</f>
        <v>0</v>
      </c>
      <c r="L16" s="31" t="s">
        <v>105</v>
      </c>
      <c r="M16" s="80" t="s">
        <v>343</v>
      </c>
      <c r="N16" s="81"/>
      <c r="O16" s="81"/>
      <c r="P16" s="81"/>
      <c r="Q16" s="81" t="s">
        <v>107</v>
      </c>
      <c r="R16" s="81"/>
      <c r="S16" s="81"/>
      <c r="T16" s="81"/>
      <c r="U16" s="81"/>
      <c r="V16" s="31" t="s">
        <v>181</v>
      </c>
      <c r="W16" s="31" t="s">
        <v>109</v>
      </c>
      <c r="X16" s="31"/>
      <c r="Y16" s="31"/>
      <c r="Z16" s="31"/>
      <c r="AB16" s="11">
        <f t="shared" si="0"/>
        <v>0</v>
      </c>
      <c r="AC16" s="11">
        <f t="shared" si="1"/>
        <v>1</v>
      </c>
      <c r="AD16" s="11">
        <f t="shared" si="2"/>
        <v>1</v>
      </c>
      <c r="AF16" s="11">
        <f t="shared" ref="AF16:AG16" si="60">SUMIFS(AH$3:AH$200,$A$3:$A$200,$A16)</f>
        <v>0</v>
      </c>
      <c r="AG16" s="11">
        <f t="shared" si="60"/>
        <v>1</v>
      </c>
      <c r="AH16" s="11">
        <f t="shared" si="4"/>
        <v>0</v>
      </c>
      <c r="AI16" s="22">
        <v>1</v>
      </c>
      <c r="AJ16" s="22"/>
      <c r="AK16" s="82">
        <f t="shared" ref="AK16:AL16" si="61">SUMIFS(AM$3:AM$200,$A$3:$A$200,$A16)</f>
        <v>1</v>
      </c>
      <c r="AL16" s="22">
        <f t="shared" si="61"/>
        <v>1</v>
      </c>
      <c r="AM16" s="22">
        <f t="shared" si="6"/>
        <v>1</v>
      </c>
      <c r="AN16" s="22">
        <v>1</v>
      </c>
      <c r="AO16" s="22"/>
      <c r="AP16" s="22">
        <f t="shared" si="7"/>
        <v>0</v>
      </c>
      <c r="AQ16" s="22">
        <f t="shared" ref="AQ16:AT16" si="62">IF(OR(E16="",E16="TBD",E16="N/A",E16="SDK",E16="SAAS"),0,1)</f>
        <v>0</v>
      </c>
      <c r="AR16" s="22">
        <f t="shared" si="62"/>
        <v>0</v>
      </c>
      <c r="AS16" s="22">
        <f t="shared" si="62"/>
        <v>0</v>
      </c>
      <c r="AT16" s="22">
        <f t="shared" si="62"/>
        <v>0</v>
      </c>
      <c r="AV16" s="82">
        <f t="shared" si="9"/>
        <v>0</v>
      </c>
      <c r="AW16" s="22">
        <f t="shared" ref="AW16:AZ16" si="63">IF(OR(E16="",E16="N/A",E16="SDK",E16="SAAS"),0,1)</f>
        <v>0</v>
      </c>
      <c r="AX16" s="22">
        <f t="shared" si="63"/>
        <v>0</v>
      </c>
      <c r="AY16" s="22">
        <f t="shared" si="63"/>
        <v>0</v>
      </c>
      <c r="AZ16" s="22">
        <f t="shared" si="63"/>
        <v>0</v>
      </c>
      <c r="BA16" s="22"/>
      <c r="BB16" s="22"/>
      <c r="BC16" s="22"/>
    </row>
    <row r="17" spans="1:55" hidden="1" outlineLevel="1">
      <c r="A17" s="260" t="s">
        <v>363</v>
      </c>
      <c r="B17" s="261" t="s">
        <v>14</v>
      </c>
      <c r="C17" s="258" t="s">
        <v>364</v>
      </c>
      <c r="D17" s="89" t="s">
        <v>366</v>
      </c>
      <c r="E17" s="90"/>
      <c r="F17" s="89" t="s">
        <v>366</v>
      </c>
      <c r="G17" s="90" t="s">
        <v>366</v>
      </c>
      <c r="H17" s="80"/>
      <c r="I17" s="37"/>
      <c r="J17" s="37"/>
      <c r="K17" s="37"/>
      <c r="L17" s="31" t="s">
        <v>105</v>
      </c>
      <c r="M17" s="80" t="s">
        <v>343</v>
      </c>
      <c r="N17" s="81"/>
      <c r="O17" s="81" t="s">
        <v>107</v>
      </c>
      <c r="P17" s="81" t="s">
        <v>107</v>
      </c>
      <c r="Q17" s="81" t="s">
        <v>107</v>
      </c>
      <c r="R17" s="81"/>
      <c r="S17" s="81"/>
      <c r="T17" s="81"/>
      <c r="U17" s="81"/>
      <c r="V17" s="31" t="s">
        <v>108</v>
      </c>
      <c r="W17" s="31" t="s">
        <v>271</v>
      </c>
      <c r="X17" s="31"/>
      <c r="Y17" s="31"/>
      <c r="Z17" s="31"/>
      <c r="AB17" s="11">
        <f t="shared" si="0"/>
        <v>0</v>
      </c>
      <c r="AC17" s="11">
        <f t="shared" si="1"/>
        <v>0</v>
      </c>
      <c r="AD17" s="11">
        <f t="shared" si="2"/>
        <v>0</v>
      </c>
      <c r="AF17" s="11">
        <f t="shared" ref="AF17:AG17" si="64">SUMIFS(AH$3:AH$200,$A$3:$A$200,$A17)</f>
        <v>15</v>
      </c>
      <c r="AG17" s="11">
        <f t="shared" si="64"/>
        <v>15</v>
      </c>
      <c r="AH17" s="11">
        <f t="shared" si="4"/>
        <v>1</v>
      </c>
      <c r="AI17" s="22">
        <v>1</v>
      </c>
      <c r="AJ17" s="22"/>
      <c r="AK17" s="82">
        <f t="shared" ref="AK17:AL17" si="65">SUMIFS(AM$3:AM$200,$A$3:$A$200,$A17)</f>
        <v>15</v>
      </c>
      <c r="AL17" s="22">
        <f t="shared" si="65"/>
        <v>15</v>
      </c>
      <c r="AM17" s="22">
        <f t="shared" si="6"/>
        <v>1</v>
      </c>
      <c r="AN17" s="22">
        <v>1</v>
      </c>
      <c r="AO17" s="22"/>
      <c r="AP17" s="22">
        <f t="shared" si="7"/>
        <v>2</v>
      </c>
      <c r="AQ17" s="22">
        <f t="shared" ref="AQ17:AT17" si="66">IF(OR(E17="",E17="TBD",E17="N/A",E17="SDK",E17="SAAS"),0,1)</f>
        <v>0</v>
      </c>
      <c r="AR17" s="22">
        <f t="shared" si="66"/>
        <v>1</v>
      </c>
      <c r="AS17" s="22">
        <f t="shared" si="66"/>
        <v>1</v>
      </c>
      <c r="AT17" s="22">
        <f t="shared" si="66"/>
        <v>0</v>
      </c>
      <c r="AV17" s="82">
        <f t="shared" si="9"/>
        <v>2</v>
      </c>
      <c r="AW17" s="22">
        <f t="shared" ref="AW17:AZ17" si="67">IF(OR(E17="",E17="N/A",E17="SDK",E17="SAAS"),0,1)</f>
        <v>0</v>
      </c>
      <c r="AX17" s="22">
        <f t="shared" si="67"/>
        <v>1</v>
      </c>
      <c r="AY17" s="22">
        <f t="shared" si="67"/>
        <v>1</v>
      </c>
      <c r="AZ17" s="22">
        <f t="shared" si="67"/>
        <v>0</v>
      </c>
      <c r="BA17" s="22"/>
      <c r="BB17" s="22"/>
      <c r="BC17" s="22"/>
    </row>
    <row r="18" spans="1:55" hidden="1" outlineLevel="1">
      <c r="A18" s="260" t="s">
        <v>363</v>
      </c>
      <c r="B18" s="261" t="s">
        <v>14</v>
      </c>
      <c r="C18" s="258" t="s">
        <v>364</v>
      </c>
      <c r="D18" s="89" t="s">
        <v>368</v>
      </c>
      <c r="E18" s="89"/>
      <c r="F18" s="89" t="s">
        <v>372</v>
      </c>
      <c r="G18" s="89" t="s">
        <v>372</v>
      </c>
      <c r="H18" s="80"/>
      <c r="I18" s="37"/>
      <c r="J18" s="37"/>
      <c r="K18" s="37"/>
      <c r="L18" s="31" t="s">
        <v>105</v>
      </c>
      <c r="M18" s="80" t="s">
        <v>343</v>
      </c>
      <c r="N18" s="81"/>
      <c r="O18" s="81" t="s">
        <v>107</v>
      </c>
      <c r="P18" s="81" t="s">
        <v>107</v>
      </c>
      <c r="Q18" s="81" t="s">
        <v>107</v>
      </c>
      <c r="R18" s="81"/>
      <c r="S18" s="81"/>
      <c r="T18" s="81"/>
      <c r="U18" s="81"/>
      <c r="V18" s="31" t="s">
        <v>108</v>
      </c>
      <c r="W18" s="31" t="s">
        <v>271</v>
      </c>
      <c r="X18" s="31"/>
      <c r="Y18" s="31"/>
      <c r="Z18" s="31"/>
      <c r="AB18" s="11">
        <f t="shared" si="0"/>
        <v>0</v>
      </c>
      <c r="AC18" s="11">
        <f t="shared" si="1"/>
        <v>0</v>
      </c>
      <c r="AD18" s="11">
        <f t="shared" si="2"/>
        <v>0</v>
      </c>
      <c r="AF18" s="11">
        <f t="shared" ref="AF18:AG18" si="68">SUMIFS(AH$3:AH$200,$A$3:$A$200,$A18)</f>
        <v>15</v>
      </c>
      <c r="AG18" s="11">
        <f t="shared" si="68"/>
        <v>15</v>
      </c>
      <c r="AH18" s="11">
        <f t="shared" si="4"/>
        <v>1</v>
      </c>
      <c r="AI18" s="22">
        <v>1</v>
      </c>
      <c r="AJ18" s="22"/>
      <c r="AK18" s="82">
        <f t="shared" ref="AK18:AL18" si="69">SUMIFS(AM$3:AM$200,$A$3:$A$200,$A18)</f>
        <v>15</v>
      </c>
      <c r="AL18" s="22">
        <f t="shared" si="69"/>
        <v>15</v>
      </c>
      <c r="AM18" s="22">
        <f t="shared" si="6"/>
        <v>1</v>
      </c>
      <c r="AN18" s="22">
        <v>1</v>
      </c>
      <c r="AO18" s="22"/>
      <c r="AP18" s="22">
        <f t="shared" si="7"/>
        <v>2</v>
      </c>
      <c r="AQ18" s="22">
        <f t="shared" ref="AQ18:AT18" si="70">IF(OR(E18="",E18="TBD",E18="N/A",E18="SDK",E18="SAAS"),0,1)</f>
        <v>0</v>
      </c>
      <c r="AR18" s="22">
        <f t="shared" si="70"/>
        <v>1</v>
      </c>
      <c r="AS18" s="22">
        <f t="shared" si="70"/>
        <v>1</v>
      </c>
      <c r="AT18" s="22">
        <f t="shared" si="70"/>
        <v>0</v>
      </c>
      <c r="AV18" s="82">
        <f t="shared" si="9"/>
        <v>2</v>
      </c>
      <c r="AW18" s="22">
        <f t="shared" ref="AW18:AZ18" si="71">IF(OR(E18="",E18="N/A",E18="SDK",E18="SAAS"),0,1)</f>
        <v>0</v>
      </c>
      <c r="AX18" s="22">
        <f t="shared" si="71"/>
        <v>1</v>
      </c>
      <c r="AY18" s="22">
        <f t="shared" si="71"/>
        <v>1</v>
      </c>
      <c r="AZ18" s="22">
        <f t="shared" si="71"/>
        <v>0</v>
      </c>
      <c r="BA18" s="22"/>
      <c r="BB18" s="22"/>
      <c r="BC18" s="22"/>
    </row>
    <row r="19" spans="1:55" hidden="1" outlineLevel="1">
      <c r="A19" s="260" t="s">
        <v>363</v>
      </c>
      <c r="B19" s="261" t="s">
        <v>14</v>
      </c>
      <c r="C19" s="258" t="s">
        <v>364</v>
      </c>
      <c r="D19" s="89"/>
      <c r="E19" s="80"/>
      <c r="F19" s="89" t="s">
        <v>373</v>
      </c>
      <c r="G19" s="89" t="s">
        <v>373</v>
      </c>
      <c r="H19" s="80"/>
      <c r="I19" s="37"/>
      <c r="J19" s="37"/>
      <c r="K19" s="37"/>
      <c r="L19" s="31" t="s">
        <v>105</v>
      </c>
      <c r="M19" s="80" t="s">
        <v>343</v>
      </c>
      <c r="N19" s="81"/>
      <c r="O19" s="81" t="s">
        <v>107</v>
      </c>
      <c r="P19" s="81" t="s">
        <v>107</v>
      </c>
      <c r="Q19" s="81" t="s">
        <v>107</v>
      </c>
      <c r="R19" s="81"/>
      <c r="S19" s="81"/>
      <c r="T19" s="81"/>
      <c r="U19" s="81"/>
      <c r="V19" s="31" t="s">
        <v>108</v>
      </c>
      <c r="W19" s="31" t="s">
        <v>271</v>
      </c>
      <c r="X19" s="31"/>
      <c r="Y19" s="31"/>
      <c r="Z19" s="31"/>
      <c r="AB19" s="11">
        <f t="shared" si="0"/>
        <v>0</v>
      </c>
      <c r="AC19" s="11">
        <f t="shared" si="1"/>
        <v>0</v>
      </c>
      <c r="AD19" s="11">
        <f t="shared" si="2"/>
        <v>0</v>
      </c>
      <c r="AF19" s="11">
        <f t="shared" ref="AF19:AG19" si="72">SUMIFS(AH$3:AH$200,$A$3:$A$200,$A19)</f>
        <v>15</v>
      </c>
      <c r="AG19" s="11">
        <f t="shared" si="72"/>
        <v>15</v>
      </c>
      <c r="AH19" s="11">
        <f t="shared" si="4"/>
        <v>1</v>
      </c>
      <c r="AI19" s="22">
        <v>1</v>
      </c>
      <c r="AJ19" s="22"/>
      <c r="AK19" s="82">
        <f t="shared" ref="AK19:AL19" si="73">SUMIFS(AM$3:AM$200,$A$3:$A$200,$A19)</f>
        <v>15</v>
      </c>
      <c r="AL19" s="22">
        <f t="shared" si="73"/>
        <v>15</v>
      </c>
      <c r="AM19" s="22">
        <f t="shared" si="6"/>
        <v>1</v>
      </c>
      <c r="AN19" s="22">
        <v>1</v>
      </c>
      <c r="AO19" s="22"/>
      <c r="AP19" s="22">
        <f t="shared" si="7"/>
        <v>2</v>
      </c>
      <c r="AQ19" s="22">
        <f t="shared" ref="AQ19:AT19" si="74">IF(OR(E19="",E19="TBD",E19="N/A",E19="SDK",E19="SAAS"),0,1)</f>
        <v>0</v>
      </c>
      <c r="AR19" s="22">
        <f t="shared" si="74"/>
        <v>1</v>
      </c>
      <c r="AS19" s="22">
        <f t="shared" si="74"/>
        <v>1</v>
      </c>
      <c r="AT19" s="22">
        <f t="shared" si="74"/>
        <v>0</v>
      </c>
      <c r="AV19" s="82">
        <f t="shared" si="9"/>
        <v>2</v>
      </c>
      <c r="AW19" s="22">
        <f t="shared" ref="AW19:AZ19" si="75">IF(OR(E19="",E19="N/A",E19="SDK",E19="SAAS"),0,1)</f>
        <v>0</v>
      </c>
      <c r="AX19" s="22">
        <f t="shared" si="75"/>
        <v>1</v>
      </c>
      <c r="AY19" s="22">
        <f t="shared" si="75"/>
        <v>1</v>
      </c>
      <c r="AZ19" s="22">
        <f t="shared" si="75"/>
        <v>0</v>
      </c>
      <c r="BA19" s="22"/>
      <c r="BB19" s="22"/>
      <c r="BC19" s="22"/>
    </row>
    <row r="20" spans="1:55" hidden="1" outlineLevel="1">
      <c r="A20" s="260" t="s">
        <v>363</v>
      </c>
      <c r="B20" s="261" t="s">
        <v>14</v>
      </c>
      <c r="C20" s="258" t="s">
        <v>364</v>
      </c>
      <c r="D20" s="80"/>
      <c r="E20" s="80"/>
      <c r="F20" s="89" t="s">
        <v>374</v>
      </c>
      <c r="G20" s="89" t="s">
        <v>375</v>
      </c>
      <c r="H20" s="80"/>
      <c r="I20" s="37"/>
      <c r="J20" s="37"/>
      <c r="K20" s="37"/>
      <c r="L20" s="31" t="s">
        <v>105</v>
      </c>
      <c r="M20" s="80" t="s">
        <v>343</v>
      </c>
      <c r="N20" s="81"/>
      <c r="O20" s="81" t="s">
        <v>107</v>
      </c>
      <c r="P20" s="81" t="s">
        <v>107</v>
      </c>
      <c r="Q20" s="81" t="s">
        <v>107</v>
      </c>
      <c r="R20" s="81"/>
      <c r="S20" s="81"/>
      <c r="T20" s="81"/>
      <c r="U20" s="81"/>
      <c r="V20" s="31" t="s">
        <v>108</v>
      </c>
      <c r="W20" s="31" t="s">
        <v>271</v>
      </c>
      <c r="X20" s="31"/>
      <c r="Y20" s="31"/>
      <c r="Z20" s="31"/>
      <c r="AB20" s="11">
        <f t="shared" si="0"/>
        <v>0</v>
      </c>
      <c r="AC20" s="11">
        <f t="shared" si="1"/>
        <v>0</v>
      </c>
      <c r="AD20" s="11">
        <f t="shared" si="2"/>
        <v>0</v>
      </c>
      <c r="AF20" s="11">
        <f t="shared" ref="AF20:AG20" si="76">SUMIFS(AH$3:AH$200,$A$3:$A$200,$A20)</f>
        <v>15</v>
      </c>
      <c r="AG20" s="11">
        <f t="shared" si="76"/>
        <v>15</v>
      </c>
      <c r="AH20" s="11">
        <f t="shared" si="4"/>
        <v>1</v>
      </c>
      <c r="AI20" s="22">
        <v>1</v>
      </c>
      <c r="AJ20" s="22"/>
      <c r="AK20" s="82">
        <f t="shared" ref="AK20:AL20" si="77">SUMIFS(AM$3:AM$200,$A$3:$A$200,$A20)</f>
        <v>15</v>
      </c>
      <c r="AL20" s="22">
        <f t="shared" si="77"/>
        <v>15</v>
      </c>
      <c r="AM20" s="22">
        <f t="shared" si="6"/>
        <v>1</v>
      </c>
      <c r="AN20" s="22">
        <v>1</v>
      </c>
      <c r="AO20" s="22"/>
      <c r="AP20" s="22">
        <f t="shared" si="7"/>
        <v>2</v>
      </c>
      <c r="AQ20" s="22">
        <f t="shared" ref="AQ20:AT20" si="78">IF(OR(E20="",E20="TBD",E20="N/A",E20="SDK",E20="SAAS"),0,1)</f>
        <v>0</v>
      </c>
      <c r="AR20" s="22">
        <f t="shared" si="78"/>
        <v>1</v>
      </c>
      <c r="AS20" s="22">
        <f t="shared" si="78"/>
        <v>1</v>
      </c>
      <c r="AT20" s="22">
        <f t="shared" si="78"/>
        <v>0</v>
      </c>
      <c r="AV20" s="82">
        <f t="shared" si="9"/>
        <v>2</v>
      </c>
      <c r="AW20" s="22">
        <f t="shared" ref="AW20:AZ20" si="79">IF(OR(E20="",E20="N/A",E20="SDK",E20="SAAS"),0,1)</f>
        <v>0</v>
      </c>
      <c r="AX20" s="22">
        <f t="shared" si="79"/>
        <v>1</v>
      </c>
      <c r="AY20" s="22">
        <f t="shared" si="79"/>
        <v>1</v>
      </c>
      <c r="AZ20" s="22">
        <f t="shared" si="79"/>
        <v>0</v>
      </c>
      <c r="BA20" s="22"/>
      <c r="BB20" s="22"/>
      <c r="BC20" s="22"/>
    </row>
    <row r="21" spans="1:55" hidden="1" outlineLevel="1">
      <c r="A21" s="260" t="s">
        <v>363</v>
      </c>
      <c r="B21" s="261" t="s">
        <v>14</v>
      </c>
      <c r="C21" s="258" t="s">
        <v>364</v>
      </c>
      <c r="D21" s="80"/>
      <c r="E21" s="80"/>
      <c r="F21" s="89" t="s">
        <v>376</v>
      </c>
      <c r="G21" s="89" t="s">
        <v>376</v>
      </c>
      <c r="H21" s="80"/>
      <c r="I21" s="37"/>
      <c r="J21" s="37"/>
      <c r="K21" s="37"/>
      <c r="L21" s="31" t="s">
        <v>105</v>
      </c>
      <c r="M21" s="80" t="s">
        <v>343</v>
      </c>
      <c r="N21" s="81"/>
      <c r="O21" s="81" t="s">
        <v>107</v>
      </c>
      <c r="P21" s="81" t="s">
        <v>107</v>
      </c>
      <c r="Q21" s="81" t="s">
        <v>107</v>
      </c>
      <c r="R21" s="81"/>
      <c r="S21" s="81"/>
      <c r="T21" s="81"/>
      <c r="U21" s="81"/>
      <c r="V21" s="31" t="s">
        <v>108</v>
      </c>
      <c r="W21" s="31" t="s">
        <v>271</v>
      </c>
      <c r="X21" s="31"/>
      <c r="Y21" s="31"/>
      <c r="Z21" s="31"/>
      <c r="AB21" s="11">
        <f t="shared" si="0"/>
        <v>0</v>
      </c>
      <c r="AC21" s="11">
        <f t="shared" si="1"/>
        <v>0</v>
      </c>
      <c r="AD21" s="11">
        <f t="shared" si="2"/>
        <v>0</v>
      </c>
      <c r="AF21" s="11">
        <f t="shared" ref="AF21:AG21" si="80">SUMIFS(AH$3:AH$200,$A$3:$A$200,$A21)</f>
        <v>15</v>
      </c>
      <c r="AG21" s="11">
        <f t="shared" si="80"/>
        <v>15</v>
      </c>
      <c r="AH21" s="11">
        <f t="shared" si="4"/>
        <v>1</v>
      </c>
      <c r="AI21" s="22">
        <v>1</v>
      </c>
      <c r="AJ21" s="22"/>
      <c r="AK21" s="82">
        <f t="shared" ref="AK21:AL21" si="81">SUMIFS(AM$3:AM$200,$A$3:$A$200,$A21)</f>
        <v>15</v>
      </c>
      <c r="AL21" s="22">
        <f t="shared" si="81"/>
        <v>15</v>
      </c>
      <c r="AM21" s="22">
        <f t="shared" si="6"/>
        <v>1</v>
      </c>
      <c r="AN21" s="22">
        <v>1</v>
      </c>
      <c r="AO21" s="22"/>
      <c r="AP21" s="22">
        <f t="shared" si="7"/>
        <v>2</v>
      </c>
      <c r="AQ21" s="22">
        <f t="shared" ref="AQ21:AT21" si="82">IF(OR(E21="",E21="TBD",E21="N/A",E21="SDK",E21="SAAS"),0,1)</f>
        <v>0</v>
      </c>
      <c r="AR21" s="22">
        <f t="shared" si="82"/>
        <v>1</v>
      </c>
      <c r="AS21" s="22">
        <f t="shared" si="82"/>
        <v>1</v>
      </c>
      <c r="AT21" s="22">
        <f t="shared" si="82"/>
        <v>0</v>
      </c>
      <c r="AV21" s="82">
        <f t="shared" si="9"/>
        <v>2</v>
      </c>
      <c r="AW21" s="22">
        <f t="shared" ref="AW21:AZ21" si="83">IF(OR(E21="",E21="N/A",E21="SDK",E21="SAAS"),0,1)</f>
        <v>0</v>
      </c>
      <c r="AX21" s="22">
        <f t="shared" si="83"/>
        <v>1</v>
      </c>
      <c r="AY21" s="22">
        <f t="shared" si="83"/>
        <v>1</v>
      </c>
      <c r="AZ21" s="22">
        <f t="shared" si="83"/>
        <v>0</v>
      </c>
      <c r="BA21" s="22"/>
      <c r="BB21" s="22"/>
      <c r="BC21" s="22"/>
    </row>
    <row r="22" spans="1:55" hidden="1" outlineLevel="1">
      <c r="A22" s="260" t="s">
        <v>363</v>
      </c>
      <c r="B22" s="261" t="s">
        <v>14</v>
      </c>
      <c r="C22" s="258" t="s">
        <v>364</v>
      </c>
      <c r="D22" s="80"/>
      <c r="E22" s="80"/>
      <c r="F22" s="89" t="s">
        <v>377</v>
      </c>
      <c r="G22" s="89" t="s">
        <v>377</v>
      </c>
      <c r="H22" s="80"/>
      <c r="I22" s="37"/>
      <c r="J22" s="37"/>
      <c r="K22" s="37"/>
      <c r="L22" s="31" t="s">
        <v>105</v>
      </c>
      <c r="M22" s="80" t="s">
        <v>343</v>
      </c>
      <c r="N22" s="81"/>
      <c r="O22" s="81" t="s">
        <v>107</v>
      </c>
      <c r="P22" s="81" t="s">
        <v>107</v>
      </c>
      <c r="Q22" s="81" t="s">
        <v>107</v>
      </c>
      <c r="R22" s="81"/>
      <c r="S22" s="81"/>
      <c r="T22" s="81"/>
      <c r="U22" s="81"/>
      <c r="V22" s="31" t="s">
        <v>108</v>
      </c>
      <c r="W22" s="31" t="s">
        <v>271</v>
      </c>
      <c r="X22" s="31"/>
      <c r="Y22" s="31"/>
      <c r="Z22" s="31"/>
      <c r="AB22" s="11">
        <f t="shared" si="0"/>
        <v>0</v>
      </c>
      <c r="AC22" s="11">
        <f t="shared" si="1"/>
        <v>0</v>
      </c>
      <c r="AD22" s="11">
        <f t="shared" si="2"/>
        <v>0</v>
      </c>
      <c r="AF22" s="11">
        <f t="shared" ref="AF22:AG22" si="84">SUMIFS(AH$3:AH$200,$A$3:$A$200,$A22)</f>
        <v>15</v>
      </c>
      <c r="AG22" s="11">
        <f t="shared" si="84"/>
        <v>15</v>
      </c>
      <c r="AH22" s="11">
        <f t="shared" si="4"/>
        <v>1</v>
      </c>
      <c r="AI22" s="22">
        <v>1</v>
      </c>
      <c r="AJ22" s="22"/>
      <c r="AK22" s="82">
        <f t="shared" ref="AK22:AL22" si="85">SUMIFS(AM$3:AM$200,$A$3:$A$200,$A22)</f>
        <v>15</v>
      </c>
      <c r="AL22" s="22">
        <f t="shared" si="85"/>
        <v>15</v>
      </c>
      <c r="AM22" s="22">
        <f t="shared" si="6"/>
        <v>1</v>
      </c>
      <c r="AN22" s="22">
        <v>1</v>
      </c>
      <c r="AO22" s="22"/>
      <c r="AP22" s="22">
        <f t="shared" si="7"/>
        <v>2</v>
      </c>
      <c r="AQ22" s="22">
        <f t="shared" ref="AQ22:AT22" si="86">IF(OR(E22="",E22="TBD",E22="N/A",E22="SDK",E22="SAAS"),0,1)</f>
        <v>0</v>
      </c>
      <c r="AR22" s="22">
        <f t="shared" si="86"/>
        <v>1</v>
      </c>
      <c r="AS22" s="22">
        <f t="shared" si="86"/>
        <v>1</v>
      </c>
      <c r="AT22" s="22">
        <f t="shared" si="86"/>
        <v>0</v>
      </c>
      <c r="AV22" s="82">
        <f t="shared" si="9"/>
        <v>2</v>
      </c>
      <c r="AW22" s="22">
        <f t="shared" ref="AW22:AZ22" si="87">IF(OR(E22="",E22="N/A",E22="SDK",E22="SAAS"),0,1)</f>
        <v>0</v>
      </c>
      <c r="AX22" s="22">
        <f t="shared" si="87"/>
        <v>1</v>
      </c>
      <c r="AY22" s="22">
        <f t="shared" si="87"/>
        <v>1</v>
      </c>
      <c r="AZ22" s="22">
        <f t="shared" si="87"/>
        <v>0</v>
      </c>
      <c r="BA22" s="22"/>
      <c r="BB22" s="22"/>
      <c r="BC22" s="22"/>
    </row>
    <row r="23" spans="1:55" ht="15.75" hidden="1" customHeight="1" outlineLevel="1">
      <c r="A23" s="260" t="s">
        <v>363</v>
      </c>
      <c r="B23" s="261" t="s">
        <v>14</v>
      </c>
      <c r="C23" s="258" t="s">
        <v>364</v>
      </c>
      <c r="D23" s="80"/>
      <c r="E23" s="80"/>
      <c r="F23" s="89" t="s">
        <v>378</v>
      </c>
      <c r="G23" s="89" t="s">
        <v>378</v>
      </c>
      <c r="H23" s="80"/>
      <c r="I23" s="37"/>
      <c r="J23" s="37"/>
      <c r="K23" s="37"/>
      <c r="L23" s="31" t="s">
        <v>105</v>
      </c>
      <c r="M23" s="80" t="s">
        <v>343</v>
      </c>
      <c r="N23" s="81"/>
      <c r="O23" s="81" t="s">
        <v>107</v>
      </c>
      <c r="P23" s="81" t="s">
        <v>107</v>
      </c>
      <c r="Q23" s="81" t="s">
        <v>107</v>
      </c>
      <c r="R23" s="81"/>
      <c r="S23" s="81"/>
      <c r="T23" s="81"/>
      <c r="U23" s="81"/>
      <c r="V23" s="31" t="s">
        <v>108</v>
      </c>
      <c r="W23" s="31" t="s">
        <v>271</v>
      </c>
      <c r="X23" s="31"/>
      <c r="Y23" s="31"/>
      <c r="Z23" s="31"/>
      <c r="AB23" s="11">
        <f t="shared" si="0"/>
        <v>0</v>
      </c>
      <c r="AC23" s="11">
        <f t="shared" si="1"/>
        <v>0</v>
      </c>
      <c r="AD23" s="11">
        <f t="shared" si="2"/>
        <v>0</v>
      </c>
      <c r="AF23" s="11">
        <f t="shared" ref="AF23:AG23" si="88">SUMIFS(AH$3:AH$200,$A$3:$A$200,$A23)</f>
        <v>15</v>
      </c>
      <c r="AG23" s="11">
        <f t="shared" si="88"/>
        <v>15</v>
      </c>
      <c r="AH23" s="11">
        <f t="shared" si="4"/>
        <v>1</v>
      </c>
      <c r="AI23" s="22">
        <v>1</v>
      </c>
      <c r="AJ23" s="22"/>
      <c r="AK23" s="82">
        <f t="shared" ref="AK23:AL23" si="89">SUMIFS(AM$3:AM$200,$A$3:$A$200,$A23)</f>
        <v>15</v>
      </c>
      <c r="AL23" s="22">
        <f t="shared" si="89"/>
        <v>15</v>
      </c>
      <c r="AM23" s="22">
        <f t="shared" si="6"/>
        <v>1</v>
      </c>
      <c r="AN23" s="22">
        <v>1</v>
      </c>
      <c r="AO23" s="22"/>
      <c r="AP23" s="22">
        <f t="shared" si="7"/>
        <v>2</v>
      </c>
      <c r="AQ23" s="22">
        <f t="shared" ref="AQ23:AT23" si="90">IF(OR(E23="",E23="TBD",E23="N/A",E23="SDK",E23="SAAS"),0,1)</f>
        <v>0</v>
      </c>
      <c r="AR23" s="22">
        <f t="shared" si="90"/>
        <v>1</v>
      </c>
      <c r="AS23" s="22">
        <f t="shared" si="90"/>
        <v>1</v>
      </c>
      <c r="AT23" s="22">
        <f t="shared" si="90"/>
        <v>0</v>
      </c>
      <c r="AV23" s="82">
        <f t="shared" si="9"/>
        <v>2</v>
      </c>
      <c r="AW23" s="22">
        <f t="shared" ref="AW23:AZ23" si="91">IF(OR(E23="",E23="N/A",E23="SDK",E23="SAAS"),0,1)</f>
        <v>0</v>
      </c>
      <c r="AX23" s="22">
        <f t="shared" si="91"/>
        <v>1</v>
      </c>
      <c r="AY23" s="22">
        <f t="shared" si="91"/>
        <v>1</v>
      </c>
      <c r="AZ23" s="22">
        <f t="shared" si="91"/>
        <v>0</v>
      </c>
      <c r="BA23" s="22"/>
      <c r="BB23" s="22"/>
      <c r="BC23" s="22"/>
    </row>
    <row r="24" spans="1:55" ht="15.75" hidden="1" customHeight="1" outlineLevel="1">
      <c r="A24" s="260" t="s">
        <v>363</v>
      </c>
      <c r="B24" s="261" t="s">
        <v>14</v>
      </c>
      <c r="C24" s="258" t="s">
        <v>364</v>
      </c>
      <c r="D24" s="80"/>
      <c r="E24" s="80"/>
      <c r="F24" s="89" t="s">
        <v>379</v>
      </c>
      <c r="G24" s="89" t="s">
        <v>379</v>
      </c>
      <c r="H24" s="80"/>
      <c r="I24" s="37"/>
      <c r="J24" s="37"/>
      <c r="K24" s="37"/>
      <c r="L24" s="31" t="s">
        <v>105</v>
      </c>
      <c r="M24" s="80" t="s">
        <v>343</v>
      </c>
      <c r="N24" s="81"/>
      <c r="O24" s="81" t="s">
        <v>107</v>
      </c>
      <c r="P24" s="81" t="s">
        <v>107</v>
      </c>
      <c r="Q24" s="81" t="s">
        <v>107</v>
      </c>
      <c r="R24" s="81"/>
      <c r="S24" s="81"/>
      <c r="T24" s="81"/>
      <c r="U24" s="81"/>
      <c r="V24" s="31" t="s">
        <v>108</v>
      </c>
      <c r="W24" s="31" t="s">
        <v>271</v>
      </c>
      <c r="X24" s="31"/>
      <c r="Y24" s="31"/>
      <c r="Z24" s="31"/>
      <c r="AB24" s="11">
        <f t="shared" si="0"/>
        <v>0</v>
      </c>
      <c r="AC24" s="11">
        <f t="shared" si="1"/>
        <v>0</v>
      </c>
      <c r="AD24" s="11">
        <f t="shared" si="2"/>
        <v>0</v>
      </c>
      <c r="AF24" s="11">
        <f t="shared" ref="AF24:AG24" si="92">SUMIFS(AH$3:AH$200,$A$3:$A$200,$A24)</f>
        <v>15</v>
      </c>
      <c r="AG24" s="11">
        <f t="shared" si="92"/>
        <v>15</v>
      </c>
      <c r="AH24" s="11">
        <f t="shared" si="4"/>
        <v>1</v>
      </c>
      <c r="AI24" s="22">
        <v>1</v>
      </c>
      <c r="AJ24" s="22"/>
      <c r="AK24" s="82">
        <f t="shared" ref="AK24:AL24" si="93">SUMIFS(AM$3:AM$200,$A$3:$A$200,$A24)</f>
        <v>15</v>
      </c>
      <c r="AL24" s="22">
        <f t="shared" si="93"/>
        <v>15</v>
      </c>
      <c r="AM24" s="22">
        <f t="shared" si="6"/>
        <v>1</v>
      </c>
      <c r="AN24" s="22">
        <v>1</v>
      </c>
      <c r="AO24" s="22"/>
      <c r="AP24" s="22">
        <f t="shared" si="7"/>
        <v>2</v>
      </c>
      <c r="AQ24" s="22">
        <f t="shared" ref="AQ24:AT24" si="94">IF(OR(E24="",E24="TBD",E24="N/A",E24="SDK",E24="SAAS"),0,1)</f>
        <v>0</v>
      </c>
      <c r="AR24" s="22">
        <f t="shared" si="94"/>
        <v>1</v>
      </c>
      <c r="AS24" s="22">
        <f t="shared" si="94"/>
        <v>1</v>
      </c>
      <c r="AT24" s="22">
        <f t="shared" si="94"/>
        <v>0</v>
      </c>
      <c r="AV24" s="82">
        <f t="shared" si="9"/>
        <v>2</v>
      </c>
      <c r="AW24" s="22">
        <f t="shared" ref="AW24:AZ24" si="95">IF(OR(E24="",E24="N/A",E24="SDK",E24="SAAS"),0,1)</f>
        <v>0</v>
      </c>
      <c r="AX24" s="22">
        <f t="shared" si="95"/>
        <v>1</v>
      </c>
      <c r="AY24" s="22">
        <f t="shared" si="95"/>
        <v>1</v>
      </c>
      <c r="AZ24" s="22">
        <f t="shared" si="95"/>
        <v>0</v>
      </c>
      <c r="BA24" s="22"/>
      <c r="BB24" s="22"/>
      <c r="BC24" s="22"/>
    </row>
    <row r="25" spans="1:55" ht="15.75" hidden="1" customHeight="1" outlineLevel="1">
      <c r="A25" s="260" t="s">
        <v>363</v>
      </c>
      <c r="B25" s="261" t="s">
        <v>14</v>
      </c>
      <c r="C25" s="258" t="s">
        <v>364</v>
      </c>
      <c r="D25" s="80"/>
      <c r="E25" s="80"/>
      <c r="F25" s="89" t="s">
        <v>380</v>
      </c>
      <c r="G25" s="89" t="s">
        <v>380</v>
      </c>
      <c r="H25" s="80"/>
      <c r="I25" s="37"/>
      <c r="J25" s="37"/>
      <c r="K25" s="37"/>
      <c r="L25" s="31" t="s">
        <v>105</v>
      </c>
      <c r="M25" s="80" t="s">
        <v>343</v>
      </c>
      <c r="N25" s="81"/>
      <c r="O25" s="81" t="s">
        <v>107</v>
      </c>
      <c r="P25" s="81" t="s">
        <v>107</v>
      </c>
      <c r="Q25" s="81" t="s">
        <v>107</v>
      </c>
      <c r="R25" s="81"/>
      <c r="S25" s="81"/>
      <c r="T25" s="81"/>
      <c r="U25" s="81"/>
      <c r="V25" s="31" t="s">
        <v>108</v>
      </c>
      <c r="W25" s="31" t="s">
        <v>271</v>
      </c>
      <c r="X25" s="31"/>
      <c r="Y25" s="31"/>
      <c r="Z25" s="31"/>
      <c r="AB25" s="11">
        <f t="shared" si="0"/>
        <v>0</v>
      </c>
      <c r="AC25" s="11">
        <f t="shared" si="1"/>
        <v>0</v>
      </c>
      <c r="AD25" s="11">
        <f t="shared" si="2"/>
        <v>0</v>
      </c>
      <c r="AF25" s="11">
        <f t="shared" ref="AF25:AG25" si="96">SUMIFS(AH$3:AH$200,$A$3:$A$200,$A25)</f>
        <v>15</v>
      </c>
      <c r="AG25" s="11">
        <f t="shared" si="96"/>
        <v>15</v>
      </c>
      <c r="AH25" s="11">
        <f t="shared" si="4"/>
        <v>1</v>
      </c>
      <c r="AI25" s="22">
        <v>1</v>
      </c>
      <c r="AJ25" s="22"/>
      <c r="AK25" s="82">
        <f t="shared" ref="AK25:AL25" si="97">SUMIFS(AM$3:AM$200,$A$3:$A$200,$A25)</f>
        <v>15</v>
      </c>
      <c r="AL25" s="22">
        <f t="shared" si="97"/>
        <v>15</v>
      </c>
      <c r="AM25" s="22">
        <f t="shared" si="6"/>
        <v>1</v>
      </c>
      <c r="AN25" s="22">
        <v>1</v>
      </c>
      <c r="AO25" s="22"/>
      <c r="AP25" s="22">
        <f t="shared" si="7"/>
        <v>2</v>
      </c>
      <c r="AQ25" s="22">
        <f t="shared" ref="AQ25:AT25" si="98">IF(OR(E25="",E25="TBD",E25="N/A",E25="SDK",E25="SAAS"),0,1)</f>
        <v>0</v>
      </c>
      <c r="AR25" s="22">
        <f t="shared" si="98"/>
        <v>1</v>
      </c>
      <c r="AS25" s="22">
        <f t="shared" si="98"/>
        <v>1</v>
      </c>
      <c r="AT25" s="22">
        <f t="shared" si="98"/>
        <v>0</v>
      </c>
      <c r="AV25" s="82">
        <f t="shared" si="9"/>
        <v>2</v>
      </c>
      <c r="AW25" s="22">
        <f t="shared" ref="AW25:AZ25" si="99">IF(OR(E25="",E25="N/A",E25="SDK",E25="SAAS"),0,1)</f>
        <v>0</v>
      </c>
      <c r="AX25" s="22">
        <f t="shared" si="99"/>
        <v>1</v>
      </c>
      <c r="AY25" s="22">
        <f t="shared" si="99"/>
        <v>1</v>
      </c>
      <c r="AZ25" s="22">
        <f t="shared" si="99"/>
        <v>0</v>
      </c>
      <c r="BA25" s="22"/>
      <c r="BB25" s="22"/>
      <c r="BC25" s="22"/>
    </row>
    <row r="26" spans="1:55" ht="15.75" hidden="1" customHeight="1" outlineLevel="1">
      <c r="A26" s="260" t="s">
        <v>363</v>
      </c>
      <c r="B26" s="261" t="s">
        <v>14</v>
      </c>
      <c r="C26" s="258" t="s">
        <v>364</v>
      </c>
      <c r="D26" s="80"/>
      <c r="E26" s="80"/>
      <c r="F26" s="89" t="s">
        <v>381</v>
      </c>
      <c r="G26" s="89" t="s">
        <v>381</v>
      </c>
      <c r="H26" s="80"/>
      <c r="I26" s="37"/>
      <c r="J26" s="37"/>
      <c r="K26" s="37"/>
      <c r="L26" s="31" t="s">
        <v>105</v>
      </c>
      <c r="M26" s="80" t="s">
        <v>343</v>
      </c>
      <c r="N26" s="81"/>
      <c r="O26" s="81" t="s">
        <v>107</v>
      </c>
      <c r="P26" s="81" t="s">
        <v>107</v>
      </c>
      <c r="Q26" s="81" t="s">
        <v>107</v>
      </c>
      <c r="R26" s="81"/>
      <c r="S26" s="81"/>
      <c r="T26" s="81"/>
      <c r="U26" s="81"/>
      <c r="V26" s="31" t="s">
        <v>108</v>
      </c>
      <c r="W26" s="31" t="s">
        <v>271</v>
      </c>
      <c r="X26" s="31"/>
      <c r="Y26" s="31"/>
      <c r="Z26" s="31"/>
      <c r="AB26" s="11">
        <f t="shared" si="0"/>
        <v>0</v>
      </c>
      <c r="AC26" s="11">
        <f t="shared" si="1"/>
        <v>0</v>
      </c>
      <c r="AD26" s="11">
        <f t="shared" si="2"/>
        <v>0</v>
      </c>
      <c r="AF26" s="11">
        <f t="shared" ref="AF26:AG26" si="100">SUMIFS(AH$3:AH$200,$A$3:$A$200,$A26)</f>
        <v>15</v>
      </c>
      <c r="AG26" s="11">
        <f t="shared" si="100"/>
        <v>15</v>
      </c>
      <c r="AH26" s="11">
        <f t="shared" si="4"/>
        <v>1</v>
      </c>
      <c r="AI26" s="22">
        <v>1</v>
      </c>
      <c r="AJ26" s="22"/>
      <c r="AK26" s="82">
        <f t="shared" ref="AK26:AL26" si="101">SUMIFS(AM$3:AM$200,$A$3:$A$200,$A26)</f>
        <v>15</v>
      </c>
      <c r="AL26" s="22">
        <f t="shared" si="101"/>
        <v>15</v>
      </c>
      <c r="AM26" s="22">
        <f t="shared" si="6"/>
        <v>1</v>
      </c>
      <c r="AN26" s="22">
        <v>1</v>
      </c>
      <c r="AO26" s="22"/>
      <c r="AP26" s="22">
        <f t="shared" si="7"/>
        <v>2</v>
      </c>
      <c r="AQ26" s="22">
        <f t="shared" ref="AQ26:AT26" si="102">IF(OR(E26="",E26="TBD",E26="N/A",E26="SDK",E26="SAAS"),0,1)</f>
        <v>0</v>
      </c>
      <c r="AR26" s="22">
        <f t="shared" si="102"/>
        <v>1</v>
      </c>
      <c r="AS26" s="22">
        <f t="shared" si="102"/>
        <v>1</v>
      </c>
      <c r="AT26" s="22">
        <f t="shared" si="102"/>
        <v>0</v>
      </c>
      <c r="AV26" s="82">
        <f t="shared" si="9"/>
        <v>2</v>
      </c>
      <c r="AW26" s="22">
        <f t="shared" ref="AW26:AZ26" si="103">IF(OR(E26="",E26="N/A",E26="SDK",E26="SAAS"),0,1)</f>
        <v>0</v>
      </c>
      <c r="AX26" s="22">
        <f t="shared" si="103"/>
        <v>1</v>
      </c>
      <c r="AY26" s="22">
        <f t="shared" si="103"/>
        <v>1</v>
      </c>
      <c r="AZ26" s="22">
        <f t="shared" si="103"/>
        <v>0</v>
      </c>
      <c r="BA26" s="22"/>
      <c r="BB26" s="22"/>
      <c r="BC26" s="22"/>
    </row>
    <row r="27" spans="1:55" ht="15.75" hidden="1" customHeight="1" outlineLevel="1">
      <c r="A27" s="260" t="s">
        <v>363</v>
      </c>
      <c r="B27" s="261" t="s">
        <v>14</v>
      </c>
      <c r="C27" s="258" t="s">
        <v>364</v>
      </c>
      <c r="D27" s="80"/>
      <c r="E27" s="80"/>
      <c r="F27" s="89" t="s">
        <v>382</v>
      </c>
      <c r="G27" s="89" t="s">
        <v>382</v>
      </c>
      <c r="H27" s="80"/>
      <c r="I27" s="37"/>
      <c r="J27" s="37"/>
      <c r="K27" s="37"/>
      <c r="L27" s="31" t="s">
        <v>105</v>
      </c>
      <c r="M27" s="80" t="s">
        <v>343</v>
      </c>
      <c r="N27" s="81"/>
      <c r="O27" s="81" t="s">
        <v>107</v>
      </c>
      <c r="P27" s="81" t="s">
        <v>107</v>
      </c>
      <c r="Q27" s="81" t="s">
        <v>107</v>
      </c>
      <c r="R27" s="81"/>
      <c r="S27" s="81"/>
      <c r="T27" s="81"/>
      <c r="U27" s="81"/>
      <c r="V27" s="31" t="s">
        <v>108</v>
      </c>
      <c r="W27" s="31" t="s">
        <v>271</v>
      </c>
      <c r="X27" s="31"/>
      <c r="Y27" s="31"/>
      <c r="Z27" s="31"/>
      <c r="AB27" s="11">
        <f t="shared" si="0"/>
        <v>0</v>
      </c>
      <c r="AC27" s="11">
        <f t="shared" si="1"/>
        <v>0</v>
      </c>
      <c r="AD27" s="11">
        <f t="shared" si="2"/>
        <v>0</v>
      </c>
      <c r="AF27" s="11">
        <f t="shared" ref="AF27:AG27" si="104">SUMIFS(AH$3:AH$200,$A$3:$A$200,$A27)</f>
        <v>15</v>
      </c>
      <c r="AG27" s="11">
        <f t="shared" si="104"/>
        <v>15</v>
      </c>
      <c r="AH27" s="11">
        <f t="shared" si="4"/>
        <v>1</v>
      </c>
      <c r="AI27" s="22">
        <v>1</v>
      </c>
      <c r="AJ27" s="22"/>
      <c r="AK27" s="82">
        <f t="shared" ref="AK27:AL27" si="105">SUMIFS(AM$3:AM$200,$A$3:$A$200,$A27)</f>
        <v>15</v>
      </c>
      <c r="AL27" s="22">
        <f t="shared" si="105"/>
        <v>15</v>
      </c>
      <c r="AM27" s="22">
        <f t="shared" si="6"/>
        <v>1</v>
      </c>
      <c r="AN27" s="22">
        <v>1</v>
      </c>
      <c r="AO27" s="22"/>
      <c r="AP27" s="22">
        <f t="shared" si="7"/>
        <v>2</v>
      </c>
      <c r="AQ27" s="22">
        <f t="shared" ref="AQ27:AT27" si="106">IF(OR(E27="",E27="TBD",E27="N/A",E27="SDK",E27="SAAS"),0,1)</f>
        <v>0</v>
      </c>
      <c r="AR27" s="22">
        <f t="shared" si="106"/>
        <v>1</v>
      </c>
      <c r="AS27" s="22">
        <f t="shared" si="106"/>
        <v>1</v>
      </c>
      <c r="AT27" s="22">
        <f t="shared" si="106"/>
        <v>0</v>
      </c>
      <c r="AV27" s="82">
        <f t="shared" si="9"/>
        <v>2</v>
      </c>
      <c r="AW27" s="22">
        <f t="shared" ref="AW27:AZ27" si="107">IF(OR(E27="",E27="N/A",E27="SDK",E27="SAAS"),0,1)</f>
        <v>0</v>
      </c>
      <c r="AX27" s="22">
        <f t="shared" si="107"/>
        <v>1</v>
      </c>
      <c r="AY27" s="22">
        <f t="shared" si="107"/>
        <v>1</v>
      </c>
      <c r="AZ27" s="22">
        <f t="shared" si="107"/>
        <v>0</v>
      </c>
      <c r="BA27" s="22"/>
      <c r="BB27" s="22"/>
      <c r="BC27" s="22"/>
    </row>
    <row r="28" spans="1:55" ht="15.75" customHeight="1">
      <c r="A28" s="260" t="s">
        <v>383</v>
      </c>
      <c r="B28" s="261" t="s">
        <v>14</v>
      </c>
      <c r="C28" s="258" t="s">
        <v>384</v>
      </c>
      <c r="D28" s="80"/>
      <c r="E28" s="80"/>
      <c r="F28" s="80"/>
      <c r="G28" s="80"/>
      <c r="H28" s="80"/>
      <c r="I28" s="37">
        <v>3</v>
      </c>
      <c r="J28" s="37">
        <v>21</v>
      </c>
      <c r="K28" s="37">
        <f>J28*$J$83</f>
        <v>0</v>
      </c>
      <c r="L28" s="31" t="s">
        <v>105</v>
      </c>
      <c r="M28" s="80" t="s">
        <v>343</v>
      </c>
      <c r="N28" s="81"/>
      <c r="O28" s="81"/>
      <c r="P28" s="81"/>
      <c r="Q28" s="81" t="s">
        <v>107</v>
      </c>
      <c r="R28" s="81" t="s">
        <v>107</v>
      </c>
      <c r="S28" s="81"/>
      <c r="T28" s="81"/>
      <c r="U28" s="81"/>
      <c r="V28" s="31" t="s">
        <v>108</v>
      </c>
      <c r="W28" s="31" t="s">
        <v>271</v>
      </c>
      <c r="X28" s="31"/>
      <c r="Y28" s="31"/>
      <c r="Z28" s="31"/>
      <c r="AB28" s="11">
        <f t="shared" si="0"/>
        <v>0</v>
      </c>
      <c r="AC28" s="11">
        <f t="shared" si="1"/>
        <v>1</v>
      </c>
      <c r="AD28" s="11">
        <f t="shared" si="2"/>
        <v>1</v>
      </c>
      <c r="AF28" s="11">
        <f t="shared" ref="AF28:AG28" si="108">SUMIFS(AH$3:AH$200,$A$3:$A$200,$A28)</f>
        <v>0</v>
      </c>
      <c r="AG28" s="11">
        <f t="shared" si="108"/>
        <v>1</v>
      </c>
      <c r="AH28" s="11">
        <f t="shared" si="4"/>
        <v>0</v>
      </c>
      <c r="AI28" s="22">
        <v>1</v>
      </c>
      <c r="AJ28" s="22"/>
      <c r="AK28" s="82">
        <f t="shared" ref="AK28:AL28" si="109">SUMIFS(AM$3:AM$200,$A$3:$A$200,$A28)</f>
        <v>1</v>
      </c>
      <c r="AL28" s="22">
        <f t="shared" si="109"/>
        <v>1</v>
      </c>
      <c r="AM28" s="22">
        <f t="shared" si="6"/>
        <v>1</v>
      </c>
      <c r="AN28" s="22">
        <v>1</v>
      </c>
      <c r="AO28" s="22"/>
      <c r="AP28" s="22">
        <f t="shared" si="7"/>
        <v>0</v>
      </c>
      <c r="AQ28" s="22">
        <f t="shared" ref="AQ28:AT28" si="110">IF(OR(E28="",E28="TBD",E28="N/A",E28="SDK",E28="SAAS"),0,1)</f>
        <v>0</v>
      </c>
      <c r="AR28" s="22">
        <f t="shared" si="110"/>
        <v>0</v>
      </c>
      <c r="AS28" s="22">
        <f t="shared" si="110"/>
        <v>0</v>
      </c>
      <c r="AT28" s="22">
        <f t="shared" si="110"/>
        <v>0</v>
      </c>
      <c r="AV28" s="82">
        <f t="shared" si="9"/>
        <v>0</v>
      </c>
      <c r="AW28" s="22">
        <f t="shared" ref="AW28:AZ28" si="111">IF(OR(E28="",E28="N/A",E28="SDK",E28="SAAS"),0,1)</f>
        <v>0</v>
      </c>
      <c r="AX28" s="22">
        <f t="shared" si="111"/>
        <v>0</v>
      </c>
      <c r="AY28" s="22">
        <f t="shared" si="111"/>
        <v>0</v>
      </c>
      <c r="AZ28" s="22">
        <f t="shared" si="111"/>
        <v>0</v>
      </c>
      <c r="BA28" s="22"/>
      <c r="BB28" s="22"/>
      <c r="BC28" s="22"/>
    </row>
    <row r="29" spans="1:55" ht="15.75" customHeight="1">
      <c r="A29" s="260" t="s">
        <v>385</v>
      </c>
      <c r="B29" s="261" t="s">
        <v>14</v>
      </c>
      <c r="C29" s="262" t="s">
        <v>386</v>
      </c>
      <c r="D29" s="80"/>
      <c r="E29" s="80"/>
      <c r="F29" s="80"/>
      <c r="G29" s="80"/>
      <c r="H29" s="80"/>
      <c r="I29" s="37" t="s">
        <v>362</v>
      </c>
      <c r="J29" s="37" t="s">
        <v>362</v>
      </c>
      <c r="K29" s="37" t="s">
        <v>362</v>
      </c>
      <c r="L29" s="31" t="s">
        <v>105</v>
      </c>
      <c r="M29" s="80" t="s">
        <v>343</v>
      </c>
      <c r="N29" s="81"/>
      <c r="O29" s="81"/>
      <c r="P29" s="81"/>
      <c r="Q29" s="81" t="s">
        <v>107</v>
      </c>
      <c r="R29" s="81" t="s">
        <v>107</v>
      </c>
      <c r="S29" s="81"/>
      <c r="T29" s="81"/>
      <c r="U29" s="81"/>
      <c r="V29" s="31" t="s">
        <v>108</v>
      </c>
      <c r="W29" s="31" t="s">
        <v>271</v>
      </c>
      <c r="X29" s="31"/>
      <c r="Y29" s="31"/>
      <c r="Z29" s="31"/>
      <c r="AB29" s="11">
        <f t="shared" si="0"/>
        <v>0</v>
      </c>
      <c r="AC29" s="11">
        <f t="shared" si="1"/>
        <v>1</v>
      </c>
      <c r="AD29" s="11">
        <f t="shared" si="2"/>
        <v>1</v>
      </c>
      <c r="AF29" s="11">
        <f t="shared" ref="AF29:AG29" si="112">SUMIFS(AH$3:AH$200,$A$3:$A$200,$A29)</f>
        <v>0</v>
      </c>
      <c r="AG29" s="11">
        <f t="shared" si="112"/>
        <v>1</v>
      </c>
      <c r="AH29" s="11">
        <f t="shared" si="4"/>
        <v>0</v>
      </c>
      <c r="AI29" s="22">
        <v>1</v>
      </c>
      <c r="AJ29" s="22"/>
      <c r="AK29" s="82">
        <f t="shared" ref="AK29:AL29" si="113">SUMIFS(AM$3:AM$200,$A$3:$A$200,$A29)</f>
        <v>1</v>
      </c>
      <c r="AL29" s="22">
        <f t="shared" si="113"/>
        <v>1</v>
      </c>
      <c r="AM29" s="22">
        <f t="shared" si="6"/>
        <v>1</v>
      </c>
      <c r="AN29" s="22">
        <v>1</v>
      </c>
      <c r="AO29" s="22"/>
      <c r="AP29" s="22">
        <f t="shared" si="7"/>
        <v>0</v>
      </c>
      <c r="AQ29" s="22">
        <f t="shared" ref="AQ29:AT29" si="114">IF(OR(E29="",E29="TBD",E29="N/A",E29="SDK",E29="SAAS"),0,1)</f>
        <v>0</v>
      </c>
      <c r="AR29" s="22">
        <f t="shared" si="114"/>
        <v>0</v>
      </c>
      <c r="AS29" s="22">
        <f t="shared" si="114"/>
        <v>0</v>
      </c>
      <c r="AT29" s="22">
        <f t="shared" si="114"/>
        <v>0</v>
      </c>
      <c r="AV29" s="82">
        <f t="shared" si="9"/>
        <v>0</v>
      </c>
      <c r="AW29" s="22">
        <f t="shared" ref="AW29:AZ29" si="115">IF(OR(E29="",E29="N/A",E29="SDK",E29="SAAS"),0,1)</f>
        <v>0</v>
      </c>
      <c r="AX29" s="22">
        <f t="shared" si="115"/>
        <v>0</v>
      </c>
      <c r="AY29" s="22">
        <f t="shared" si="115"/>
        <v>0</v>
      </c>
      <c r="AZ29" s="22">
        <f t="shared" si="115"/>
        <v>0</v>
      </c>
      <c r="BA29" s="22"/>
      <c r="BB29" s="22"/>
      <c r="BC29" s="22"/>
    </row>
    <row r="30" spans="1:55" ht="15.75" customHeight="1">
      <c r="A30" s="260" t="s">
        <v>387</v>
      </c>
      <c r="B30" s="261" t="s">
        <v>14</v>
      </c>
      <c r="C30" s="258" t="s">
        <v>388</v>
      </c>
      <c r="D30" s="80"/>
      <c r="E30" s="80"/>
      <c r="F30" s="80"/>
      <c r="G30" s="80"/>
      <c r="H30" s="80"/>
      <c r="I30" s="37">
        <v>5</v>
      </c>
      <c r="J30" s="37">
        <v>32</v>
      </c>
      <c r="K30" s="37">
        <f t="shared" ref="K30:K34" si="116">J30*$J$83</f>
        <v>0</v>
      </c>
      <c r="L30" s="31" t="s">
        <v>105</v>
      </c>
      <c r="M30" s="80" t="s">
        <v>343</v>
      </c>
      <c r="N30" s="81"/>
      <c r="O30" s="81"/>
      <c r="P30" s="81"/>
      <c r="Q30" s="81" t="s">
        <v>107</v>
      </c>
      <c r="R30" s="81"/>
      <c r="S30" s="81"/>
      <c r="T30" s="81"/>
      <c r="U30" s="81"/>
      <c r="V30" s="31" t="s">
        <v>108</v>
      </c>
      <c r="W30" s="31" t="s">
        <v>271</v>
      </c>
      <c r="X30" s="31"/>
      <c r="Y30" s="31"/>
      <c r="Z30" s="31"/>
      <c r="AB30" s="11">
        <f t="shared" si="0"/>
        <v>0</v>
      </c>
      <c r="AC30" s="11">
        <f t="shared" si="1"/>
        <v>1</v>
      </c>
      <c r="AD30" s="11">
        <f t="shared" si="2"/>
        <v>1</v>
      </c>
      <c r="AF30" s="11">
        <f t="shared" ref="AF30:AG30" si="117">SUMIFS(AH$3:AH$200,$A$3:$A$200,$A30)</f>
        <v>0</v>
      </c>
      <c r="AG30" s="11">
        <f t="shared" si="117"/>
        <v>1</v>
      </c>
      <c r="AH30" s="11">
        <f t="shared" si="4"/>
        <v>0</v>
      </c>
      <c r="AI30" s="22">
        <v>1</v>
      </c>
      <c r="AJ30" s="22"/>
      <c r="AK30" s="82">
        <f t="shared" ref="AK30:AL30" si="118">SUMIFS(AM$3:AM$200,$A$3:$A$200,$A30)</f>
        <v>1</v>
      </c>
      <c r="AL30" s="22">
        <f t="shared" si="118"/>
        <v>1</v>
      </c>
      <c r="AM30" s="22">
        <f t="shared" si="6"/>
        <v>1</v>
      </c>
      <c r="AN30" s="22">
        <v>1</v>
      </c>
      <c r="AO30" s="22"/>
      <c r="AP30" s="22">
        <f t="shared" si="7"/>
        <v>0</v>
      </c>
      <c r="AQ30" s="22">
        <f t="shared" ref="AQ30:AT30" si="119">IF(OR(E30="",E30="TBD",E30="N/A",E30="SDK",E30="SAAS"),0,1)</f>
        <v>0</v>
      </c>
      <c r="AR30" s="22">
        <f t="shared" si="119"/>
        <v>0</v>
      </c>
      <c r="AS30" s="22">
        <f t="shared" si="119"/>
        <v>0</v>
      </c>
      <c r="AT30" s="22">
        <f t="shared" si="119"/>
        <v>0</v>
      </c>
      <c r="AV30" s="82">
        <f t="shared" si="9"/>
        <v>0</v>
      </c>
      <c r="AW30" s="22">
        <f t="shared" ref="AW30:AZ30" si="120">IF(OR(E30="",E30="N/A",E30="SDK",E30="SAAS"),0,1)</f>
        <v>0</v>
      </c>
      <c r="AX30" s="22">
        <f t="shared" si="120"/>
        <v>0</v>
      </c>
      <c r="AY30" s="22">
        <f t="shared" si="120"/>
        <v>0</v>
      </c>
      <c r="AZ30" s="22">
        <f t="shared" si="120"/>
        <v>0</v>
      </c>
      <c r="BA30" s="22"/>
      <c r="BB30" s="22"/>
      <c r="BC30" s="22"/>
    </row>
    <row r="31" spans="1:55" ht="15.75" customHeight="1">
      <c r="A31" s="260" t="s">
        <v>389</v>
      </c>
      <c r="B31" s="261" t="s">
        <v>14</v>
      </c>
      <c r="C31" s="258" t="s">
        <v>390</v>
      </c>
      <c r="D31" s="100" t="s">
        <v>391</v>
      </c>
      <c r="E31" s="100" t="s">
        <v>392</v>
      </c>
      <c r="F31" s="80"/>
      <c r="G31" s="100" t="s">
        <v>392</v>
      </c>
      <c r="H31" s="80"/>
      <c r="I31" s="37">
        <v>3</v>
      </c>
      <c r="J31" s="37">
        <v>33</v>
      </c>
      <c r="K31" s="37">
        <f t="shared" si="116"/>
        <v>0</v>
      </c>
      <c r="L31" s="31" t="s">
        <v>105</v>
      </c>
      <c r="M31" s="80" t="s">
        <v>343</v>
      </c>
      <c r="N31" s="81"/>
      <c r="O31" s="81" t="s">
        <v>107</v>
      </c>
      <c r="P31" s="81"/>
      <c r="Q31" s="81" t="s">
        <v>107</v>
      </c>
      <c r="R31" s="81"/>
      <c r="S31" s="81"/>
      <c r="T31" s="81"/>
      <c r="U31" s="81"/>
      <c r="V31" s="31" t="s">
        <v>108</v>
      </c>
      <c r="W31" s="31" t="s">
        <v>271</v>
      </c>
      <c r="X31" s="31"/>
      <c r="Y31" s="31"/>
      <c r="Z31" s="31"/>
      <c r="AB31" s="11">
        <f t="shared" si="0"/>
        <v>1</v>
      </c>
      <c r="AC31" s="11">
        <f t="shared" si="1"/>
        <v>1</v>
      </c>
      <c r="AD31" s="11">
        <f t="shared" si="2"/>
        <v>1</v>
      </c>
      <c r="AF31" s="11">
        <f t="shared" ref="AF31:AG31" si="121">SUMIFS(AH$3:AH$200,$A$3:$A$200,$A31)</f>
        <v>1</v>
      </c>
      <c r="AG31" s="11">
        <f t="shared" si="121"/>
        <v>1</v>
      </c>
      <c r="AH31" s="11">
        <f t="shared" si="4"/>
        <v>1</v>
      </c>
      <c r="AI31" s="22">
        <v>1</v>
      </c>
      <c r="AJ31" s="22"/>
      <c r="AK31" s="82">
        <f t="shared" ref="AK31:AL31" si="122">SUMIFS(AM$3:AM$200,$A$3:$A$200,$A31)</f>
        <v>1</v>
      </c>
      <c r="AL31" s="22">
        <f t="shared" si="122"/>
        <v>1</v>
      </c>
      <c r="AM31" s="22">
        <f t="shared" si="6"/>
        <v>1</v>
      </c>
      <c r="AN31" s="22">
        <v>1</v>
      </c>
      <c r="AO31" s="22"/>
      <c r="AP31" s="22">
        <f t="shared" si="7"/>
        <v>2</v>
      </c>
      <c r="AQ31" s="22">
        <f t="shared" ref="AQ31:AT31" si="123">IF(OR(E31="",E31="TBD",E31="N/A",E31="SDK",E31="SAAS"),0,1)</f>
        <v>1</v>
      </c>
      <c r="AR31" s="22">
        <f t="shared" si="123"/>
        <v>0</v>
      </c>
      <c r="AS31" s="22">
        <f t="shared" si="123"/>
        <v>1</v>
      </c>
      <c r="AT31" s="22">
        <f t="shared" si="123"/>
        <v>0</v>
      </c>
      <c r="AV31" s="82">
        <f t="shared" si="9"/>
        <v>2</v>
      </c>
      <c r="AW31" s="22">
        <f t="shared" ref="AW31:AZ31" si="124">IF(OR(E31="",E31="N/A",E31="SDK",E31="SAAS"),0,1)</f>
        <v>1</v>
      </c>
      <c r="AX31" s="22">
        <f t="shared" si="124"/>
        <v>0</v>
      </c>
      <c r="AY31" s="22">
        <f t="shared" si="124"/>
        <v>1</v>
      </c>
      <c r="AZ31" s="22">
        <f t="shared" si="124"/>
        <v>0</v>
      </c>
      <c r="BA31" s="22"/>
      <c r="BB31" s="22"/>
      <c r="BC31" s="22"/>
    </row>
    <row r="32" spans="1:55" ht="15.75" customHeight="1">
      <c r="A32" s="260" t="s">
        <v>393</v>
      </c>
      <c r="B32" s="261" t="s">
        <v>14</v>
      </c>
      <c r="C32" s="258" t="s">
        <v>394</v>
      </c>
      <c r="D32" s="80"/>
      <c r="E32" s="80"/>
      <c r="F32" s="80"/>
      <c r="G32" s="80"/>
      <c r="H32" s="80"/>
      <c r="I32" s="37">
        <v>4</v>
      </c>
      <c r="J32" s="37">
        <v>25</v>
      </c>
      <c r="K32" s="37">
        <f t="shared" si="116"/>
        <v>0</v>
      </c>
      <c r="L32" s="31" t="s">
        <v>105</v>
      </c>
      <c r="M32" s="80" t="s">
        <v>343</v>
      </c>
      <c r="N32" s="81"/>
      <c r="O32" s="81" t="s">
        <v>107</v>
      </c>
      <c r="P32" s="81"/>
      <c r="Q32" s="81" t="s">
        <v>107</v>
      </c>
      <c r="R32" s="81" t="s">
        <v>107</v>
      </c>
      <c r="S32" s="81"/>
      <c r="T32" s="81"/>
      <c r="U32" s="81"/>
      <c r="V32" s="31" t="s">
        <v>108</v>
      </c>
      <c r="W32" s="31" t="s">
        <v>271</v>
      </c>
      <c r="X32" s="31"/>
      <c r="Y32" s="31"/>
      <c r="Z32" s="31"/>
      <c r="AB32" s="11">
        <f t="shared" si="0"/>
        <v>0</v>
      </c>
      <c r="AC32" s="11">
        <f t="shared" si="1"/>
        <v>1</v>
      </c>
      <c r="AD32" s="11">
        <f t="shared" si="2"/>
        <v>1</v>
      </c>
      <c r="AF32" s="11">
        <f t="shared" ref="AF32:AG32" si="125">SUMIFS(AH$3:AH$200,$A$3:$A$200,$A32)</f>
        <v>0</v>
      </c>
      <c r="AG32" s="11">
        <f t="shared" si="125"/>
        <v>1</v>
      </c>
      <c r="AH32" s="11">
        <f t="shared" si="4"/>
        <v>0</v>
      </c>
      <c r="AI32" s="22">
        <v>1</v>
      </c>
      <c r="AJ32" s="22"/>
      <c r="AK32" s="82">
        <f t="shared" ref="AK32:AL32" si="126">SUMIFS(AM$3:AM$200,$A$3:$A$200,$A32)</f>
        <v>1</v>
      </c>
      <c r="AL32" s="22">
        <f t="shared" si="126"/>
        <v>1</v>
      </c>
      <c r="AM32" s="22">
        <f t="shared" si="6"/>
        <v>1</v>
      </c>
      <c r="AN32" s="22">
        <v>1</v>
      </c>
      <c r="AO32" s="22"/>
      <c r="AP32" s="22">
        <f t="shared" si="7"/>
        <v>0</v>
      </c>
      <c r="AQ32" s="22">
        <f t="shared" ref="AQ32:AT32" si="127">IF(OR(E32="",E32="TBD",E32="N/A",E32="SDK",E32="SAAS"),0,1)</f>
        <v>0</v>
      </c>
      <c r="AR32" s="22">
        <f t="shared" si="127"/>
        <v>0</v>
      </c>
      <c r="AS32" s="22">
        <f t="shared" si="127"/>
        <v>0</v>
      </c>
      <c r="AT32" s="22">
        <f t="shared" si="127"/>
        <v>0</v>
      </c>
      <c r="AV32" s="82">
        <f t="shared" si="9"/>
        <v>0</v>
      </c>
      <c r="AW32" s="22">
        <f t="shared" ref="AW32:AZ32" si="128">IF(OR(E32="",E32="N/A",E32="SDK",E32="SAAS"),0,1)</f>
        <v>0</v>
      </c>
      <c r="AX32" s="22">
        <f t="shared" si="128"/>
        <v>0</v>
      </c>
      <c r="AY32" s="22">
        <f t="shared" si="128"/>
        <v>0</v>
      </c>
      <c r="AZ32" s="22">
        <f t="shared" si="128"/>
        <v>0</v>
      </c>
      <c r="BA32" s="22"/>
      <c r="BB32" s="22"/>
      <c r="BC32" s="22"/>
    </row>
    <row r="33" spans="1:55" ht="15.75" customHeight="1">
      <c r="A33" s="260" t="s">
        <v>395</v>
      </c>
      <c r="B33" s="261" t="s">
        <v>14</v>
      </c>
      <c r="C33" s="262" t="s">
        <v>396</v>
      </c>
      <c r="D33" s="80"/>
      <c r="E33" s="80"/>
      <c r="F33" s="80"/>
      <c r="G33" s="80"/>
      <c r="H33" s="80"/>
      <c r="I33" s="37">
        <v>4</v>
      </c>
      <c r="J33" s="37">
        <v>18</v>
      </c>
      <c r="K33" s="37">
        <f t="shared" si="116"/>
        <v>0</v>
      </c>
      <c r="L33" s="31" t="s">
        <v>105</v>
      </c>
      <c r="M33" s="80" t="s">
        <v>343</v>
      </c>
      <c r="N33" s="81"/>
      <c r="O33" s="81" t="s">
        <v>107</v>
      </c>
      <c r="P33" s="81" t="s">
        <v>107</v>
      </c>
      <c r="Q33" s="81" t="s">
        <v>107</v>
      </c>
      <c r="R33" s="81" t="s">
        <v>107</v>
      </c>
      <c r="S33" s="81"/>
      <c r="T33" s="81"/>
      <c r="U33" s="81"/>
      <c r="V33" s="31" t="s">
        <v>108</v>
      </c>
      <c r="W33" s="31" t="s">
        <v>271</v>
      </c>
      <c r="X33" s="31"/>
      <c r="Y33" s="31"/>
      <c r="Z33" s="31"/>
      <c r="AB33" s="11">
        <f t="shared" si="0"/>
        <v>0</v>
      </c>
      <c r="AC33" s="11">
        <f t="shared" si="1"/>
        <v>1</v>
      </c>
      <c r="AD33" s="11">
        <f t="shared" si="2"/>
        <v>1</v>
      </c>
      <c r="AF33" s="11">
        <f t="shared" ref="AF33:AG33" si="129">SUMIFS(AH$3:AH$200,$A$3:$A$200,$A33)</f>
        <v>0</v>
      </c>
      <c r="AG33" s="11">
        <f t="shared" si="129"/>
        <v>1</v>
      </c>
      <c r="AH33" s="11">
        <f t="shared" si="4"/>
        <v>0</v>
      </c>
      <c r="AI33" s="22">
        <v>1</v>
      </c>
      <c r="AJ33" s="22"/>
      <c r="AK33" s="82">
        <f t="shared" ref="AK33:AL33" si="130">SUMIFS(AM$3:AM$200,$A$3:$A$200,$A33)</f>
        <v>1</v>
      </c>
      <c r="AL33" s="22">
        <f t="shared" si="130"/>
        <v>1</v>
      </c>
      <c r="AM33" s="22">
        <f t="shared" si="6"/>
        <v>1</v>
      </c>
      <c r="AN33" s="22">
        <v>1</v>
      </c>
      <c r="AO33" s="22"/>
      <c r="AP33" s="22">
        <f t="shared" si="7"/>
        <v>0</v>
      </c>
      <c r="AQ33" s="22">
        <f t="shared" ref="AQ33:AT33" si="131">IF(OR(E33="",E33="TBD",E33="N/A",E33="SDK",E33="SAAS"),0,1)</f>
        <v>0</v>
      </c>
      <c r="AR33" s="22">
        <f t="shared" si="131"/>
        <v>0</v>
      </c>
      <c r="AS33" s="22">
        <f t="shared" si="131"/>
        <v>0</v>
      </c>
      <c r="AT33" s="22">
        <f t="shared" si="131"/>
        <v>0</v>
      </c>
      <c r="AV33" s="82">
        <f t="shared" si="9"/>
        <v>0</v>
      </c>
      <c r="AW33" s="22">
        <f t="shared" ref="AW33:AZ33" si="132">IF(OR(E33="",E33="N/A",E33="SDK",E33="SAAS"),0,1)</f>
        <v>0</v>
      </c>
      <c r="AX33" s="22">
        <f t="shared" si="132"/>
        <v>0</v>
      </c>
      <c r="AY33" s="22">
        <f t="shared" si="132"/>
        <v>0</v>
      </c>
      <c r="AZ33" s="22">
        <f t="shared" si="132"/>
        <v>0</v>
      </c>
      <c r="BA33" s="22"/>
      <c r="BB33" s="22"/>
      <c r="BC33" s="22"/>
    </row>
    <row r="34" spans="1:55" ht="15.75" customHeight="1">
      <c r="A34" s="260" t="s">
        <v>397</v>
      </c>
      <c r="B34" s="261" t="s">
        <v>14</v>
      </c>
      <c r="C34" s="262" t="s">
        <v>398</v>
      </c>
      <c r="D34" s="80"/>
      <c r="E34" s="80"/>
      <c r="F34" s="80"/>
      <c r="G34" s="80"/>
      <c r="H34" s="80"/>
      <c r="I34" s="37">
        <v>6</v>
      </c>
      <c r="J34" s="37">
        <v>34</v>
      </c>
      <c r="K34" s="37">
        <f t="shared" si="116"/>
        <v>0</v>
      </c>
      <c r="L34" s="31" t="s">
        <v>105</v>
      </c>
      <c r="M34" s="80" t="s">
        <v>343</v>
      </c>
      <c r="N34" s="81"/>
      <c r="O34" s="81" t="s">
        <v>107</v>
      </c>
      <c r="P34" s="81"/>
      <c r="Q34" s="81" t="s">
        <v>107</v>
      </c>
      <c r="R34" s="81"/>
      <c r="S34" s="81"/>
      <c r="T34" s="81"/>
      <c r="U34" s="81"/>
      <c r="V34" s="31" t="s">
        <v>108</v>
      </c>
      <c r="W34" s="31" t="s">
        <v>109</v>
      </c>
      <c r="X34" s="31"/>
      <c r="Y34" s="31"/>
      <c r="Z34" s="31"/>
      <c r="AB34" s="11">
        <f t="shared" si="0"/>
        <v>0</v>
      </c>
      <c r="AC34" s="11">
        <f t="shared" si="1"/>
        <v>1</v>
      </c>
      <c r="AD34" s="11">
        <f t="shared" si="2"/>
        <v>1</v>
      </c>
      <c r="AF34" s="11">
        <f t="shared" ref="AF34:AG34" si="133">SUMIFS(AH$3:AH$200,$A$3:$A$200,$A34)</f>
        <v>0</v>
      </c>
      <c r="AG34" s="11">
        <f t="shared" si="133"/>
        <v>1</v>
      </c>
      <c r="AH34" s="11">
        <f t="shared" si="4"/>
        <v>0</v>
      </c>
      <c r="AI34" s="22">
        <v>1</v>
      </c>
      <c r="AJ34" s="22"/>
      <c r="AK34" s="82">
        <f t="shared" ref="AK34:AL34" si="134">SUMIFS(AM$3:AM$200,$A$3:$A$200,$A34)</f>
        <v>1</v>
      </c>
      <c r="AL34" s="22">
        <f t="shared" si="134"/>
        <v>1</v>
      </c>
      <c r="AM34" s="22">
        <f t="shared" si="6"/>
        <v>1</v>
      </c>
      <c r="AN34" s="22">
        <v>1</v>
      </c>
      <c r="AO34" s="22"/>
      <c r="AP34" s="22">
        <f t="shared" si="7"/>
        <v>0</v>
      </c>
      <c r="AQ34" s="22">
        <f t="shared" ref="AQ34:AT34" si="135">IF(OR(E34="",E34="TBD",E34="N/A",E34="SDK",E34="SAAS"),0,1)</f>
        <v>0</v>
      </c>
      <c r="AR34" s="22">
        <f t="shared" si="135"/>
        <v>0</v>
      </c>
      <c r="AS34" s="22">
        <f t="shared" si="135"/>
        <v>0</v>
      </c>
      <c r="AT34" s="22">
        <f t="shared" si="135"/>
        <v>0</v>
      </c>
      <c r="AV34" s="82">
        <f t="shared" si="9"/>
        <v>0</v>
      </c>
      <c r="AW34" s="22">
        <f t="shared" ref="AW34:AZ34" si="136">IF(OR(E34="",E34="N/A",E34="SDK",E34="SAAS"),0,1)</f>
        <v>0</v>
      </c>
      <c r="AX34" s="22">
        <f t="shared" si="136"/>
        <v>0</v>
      </c>
      <c r="AY34" s="22">
        <f t="shared" si="136"/>
        <v>0</v>
      </c>
      <c r="AZ34" s="22">
        <f t="shared" si="136"/>
        <v>0</v>
      </c>
      <c r="BA34" s="22"/>
      <c r="BB34" s="22"/>
      <c r="BC34" s="22"/>
    </row>
    <row r="35" spans="1:55" ht="15.75" customHeight="1">
      <c r="A35" s="260" t="s">
        <v>399</v>
      </c>
      <c r="B35" s="261" t="s">
        <v>14</v>
      </c>
      <c r="C35" s="258" t="s">
        <v>400</v>
      </c>
      <c r="D35" s="80"/>
      <c r="E35" s="80"/>
      <c r="F35" s="80"/>
      <c r="G35" s="80"/>
      <c r="H35" s="80"/>
      <c r="I35" s="37" t="s">
        <v>362</v>
      </c>
      <c r="J35" s="37" t="s">
        <v>362</v>
      </c>
      <c r="K35" s="37" t="s">
        <v>362</v>
      </c>
      <c r="L35" s="31" t="s">
        <v>105</v>
      </c>
      <c r="M35" s="80" t="s">
        <v>343</v>
      </c>
      <c r="N35" s="81"/>
      <c r="O35" s="81" t="s">
        <v>107</v>
      </c>
      <c r="P35" s="81" t="s">
        <v>107</v>
      </c>
      <c r="Q35" s="81" t="s">
        <v>107</v>
      </c>
      <c r="R35" s="81" t="s">
        <v>107</v>
      </c>
      <c r="S35" s="81"/>
      <c r="T35" s="81"/>
      <c r="U35" s="81"/>
      <c r="V35" s="31" t="s">
        <v>108</v>
      </c>
      <c r="W35" s="31" t="s">
        <v>271</v>
      </c>
      <c r="X35" s="31"/>
      <c r="Y35" s="31"/>
      <c r="Z35" s="31"/>
      <c r="AB35" s="11">
        <f t="shared" si="0"/>
        <v>0</v>
      </c>
      <c r="AC35" s="11">
        <f t="shared" si="1"/>
        <v>1</v>
      </c>
      <c r="AD35" s="11">
        <f t="shared" si="2"/>
        <v>1</v>
      </c>
      <c r="AF35" s="11">
        <f t="shared" ref="AF35:AG35" si="137">SUMIFS(AH$3:AH$200,$A$3:$A$200,$A35)</f>
        <v>0</v>
      </c>
      <c r="AG35" s="11">
        <f t="shared" si="137"/>
        <v>1</v>
      </c>
      <c r="AH35" s="11">
        <f t="shared" si="4"/>
        <v>0</v>
      </c>
      <c r="AI35" s="22">
        <v>1</v>
      </c>
      <c r="AJ35" s="22"/>
      <c r="AK35" s="82">
        <f t="shared" ref="AK35:AL35" si="138">SUMIFS(AM$3:AM$200,$A$3:$A$200,$A35)</f>
        <v>1</v>
      </c>
      <c r="AL35" s="22">
        <f t="shared" si="138"/>
        <v>1</v>
      </c>
      <c r="AM35" s="22">
        <f t="shared" si="6"/>
        <v>1</v>
      </c>
      <c r="AN35" s="22">
        <v>1</v>
      </c>
      <c r="AO35" s="22"/>
      <c r="AP35" s="22">
        <f t="shared" si="7"/>
        <v>0</v>
      </c>
      <c r="AQ35" s="22">
        <f t="shared" ref="AQ35:AT35" si="139">IF(OR(E35="",E35="TBD",E35="N/A",E35="SDK",E35="SAAS"),0,1)</f>
        <v>0</v>
      </c>
      <c r="AR35" s="22">
        <f t="shared" si="139"/>
        <v>0</v>
      </c>
      <c r="AS35" s="22">
        <f t="shared" si="139"/>
        <v>0</v>
      </c>
      <c r="AT35" s="22">
        <f t="shared" si="139"/>
        <v>0</v>
      </c>
      <c r="AV35" s="82">
        <f t="shared" si="9"/>
        <v>0</v>
      </c>
      <c r="AW35" s="22">
        <f t="shared" ref="AW35:AZ35" si="140">IF(OR(E35="",E35="N/A",E35="SDK",E35="SAAS"),0,1)</f>
        <v>0</v>
      </c>
      <c r="AX35" s="22">
        <f t="shared" si="140"/>
        <v>0</v>
      </c>
      <c r="AY35" s="22">
        <f t="shared" si="140"/>
        <v>0</v>
      </c>
      <c r="AZ35" s="22">
        <f t="shared" si="140"/>
        <v>0</v>
      </c>
      <c r="BA35" s="22"/>
      <c r="BB35" s="22"/>
      <c r="BC35" s="22"/>
    </row>
    <row r="36" spans="1:55" ht="18.75" customHeight="1">
      <c r="A36" s="260" t="s">
        <v>401</v>
      </c>
      <c r="B36" s="261" t="s">
        <v>14</v>
      </c>
      <c r="C36" s="262" t="s">
        <v>402</v>
      </c>
      <c r="D36" s="80"/>
      <c r="E36" s="80"/>
      <c r="F36" s="80"/>
      <c r="G36" s="80"/>
      <c r="H36" s="80"/>
      <c r="I36" s="37">
        <v>4</v>
      </c>
      <c r="J36" s="37">
        <v>14</v>
      </c>
      <c r="K36" s="37">
        <f>J36*$J$83</f>
        <v>0</v>
      </c>
      <c r="L36" s="31" t="s">
        <v>105</v>
      </c>
      <c r="M36" s="80" t="s">
        <v>343</v>
      </c>
      <c r="N36" s="81"/>
      <c r="O36" s="81"/>
      <c r="P36" s="81" t="s">
        <v>107</v>
      </c>
      <c r="Q36" s="81" t="s">
        <v>107</v>
      </c>
      <c r="R36" s="81"/>
      <c r="S36" s="81"/>
      <c r="T36" s="81"/>
      <c r="U36" s="81"/>
      <c r="V36" s="31" t="s">
        <v>108</v>
      </c>
      <c r="W36" s="31" t="s">
        <v>271</v>
      </c>
      <c r="X36" s="31"/>
      <c r="Y36" s="31"/>
      <c r="Z36" s="31"/>
      <c r="AB36" s="11">
        <f t="shared" si="0"/>
        <v>0</v>
      </c>
      <c r="AC36" s="11">
        <f t="shared" si="1"/>
        <v>1</v>
      </c>
      <c r="AD36" s="11">
        <f t="shared" si="2"/>
        <v>1</v>
      </c>
      <c r="AF36" s="11">
        <f t="shared" ref="AF36:AG36" si="141">SUMIFS(AH$3:AH$200,$A$3:$A$200,$A36)</f>
        <v>0</v>
      </c>
      <c r="AG36" s="11">
        <f t="shared" si="141"/>
        <v>1</v>
      </c>
      <c r="AH36" s="11">
        <f t="shared" si="4"/>
        <v>0</v>
      </c>
      <c r="AI36" s="22">
        <v>1</v>
      </c>
      <c r="AJ36" s="22"/>
      <c r="AK36" s="82">
        <f t="shared" ref="AK36:AL36" si="142">SUMIFS(AM$3:AM$200,$A$3:$A$200,$A36)</f>
        <v>1</v>
      </c>
      <c r="AL36" s="22">
        <f t="shared" si="142"/>
        <v>1</v>
      </c>
      <c r="AM36" s="22">
        <f t="shared" si="6"/>
        <v>1</v>
      </c>
      <c r="AN36" s="22">
        <v>1</v>
      </c>
      <c r="AO36" s="22"/>
      <c r="AP36" s="22">
        <f t="shared" si="7"/>
        <v>0</v>
      </c>
      <c r="AQ36" s="22">
        <f t="shared" ref="AQ36:AT36" si="143">IF(OR(E36="",E36="TBD",E36="N/A",E36="SDK",E36="SAAS"),0,1)</f>
        <v>0</v>
      </c>
      <c r="AR36" s="22">
        <f t="shared" si="143"/>
        <v>0</v>
      </c>
      <c r="AS36" s="22">
        <f t="shared" si="143"/>
        <v>0</v>
      </c>
      <c r="AT36" s="22">
        <f t="shared" si="143"/>
        <v>0</v>
      </c>
      <c r="AV36" s="82">
        <f t="shared" si="9"/>
        <v>0</v>
      </c>
      <c r="AW36" s="22">
        <f t="shared" ref="AW36:AZ36" si="144">IF(OR(E36="",E36="N/A",E36="SDK",E36="SAAS"),0,1)</f>
        <v>0</v>
      </c>
      <c r="AX36" s="22">
        <f t="shared" si="144"/>
        <v>0</v>
      </c>
      <c r="AY36" s="22">
        <f t="shared" si="144"/>
        <v>0</v>
      </c>
      <c r="AZ36" s="22">
        <f t="shared" si="144"/>
        <v>0</v>
      </c>
      <c r="BA36" s="22"/>
      <c r="BB36" s="22"/>
      <c r="BC36" s="22"/>
    </row>
    <row r="37" spans="1:55">
      <c r="A37" s="260" t="s">
        <v>403</v>
      </c>
      <c r="B37" s="261" t="s">
        <v>14</v>
      </c>
      <c r="C37" s="258" t="s">
        <v>404</v>
      </c>
      <c r="D37" s="80"/>
      <c r="E37" s="80"/>
      <c r="F37" s="80"/>
      <c r="G37" s="80"/>
      <c r="H37" s="80"/>
      <c r="I37" s="37" t="s">
        <v>362</v>
      </c>
      <c r="J37" s="37" t="s">
        <v>362</v>
      </c>
      <c r="K37" s="37" t="s">
        <v>362</v>
      </c>
      <c r="L37" s="31" t="s">
        <v>105</v>
      </c>
      <c r="M37" s="80" t="s">
        <v>343</v>
      </c>
      <c r="N37" s="81"/>
      <c r="O37" s="81"/>
      <c r="P37" s="81" t="s">
        <v>107</v>
      </c>
      <c r="Q37" s="81" t="s">
        <v>107</v>
      </c>
      <c r="R37" s="81"/>
      <c r="S37" s="81"/>
      <c r="T37" s="81"/>
      <c r="U37" s="81"/>
      <c r="V37" s="31" t="s">
        <v>108</v>
      </c>
      <c r="W37" s="31" t="s">
        <v>271</v>
      </c>
      <c r="X37" s="31"/>
      <c r="Y37" s="31"/>
      <c r="Z37" s="31"/>
      <c r="AB37" s="11">
        <f t="shared" si="0"/>
        <v>0</v>
      </c>
      <c r="AC37" s="11">
        <f t="shared" si="1"/>
        <v>1</v>
      </c>
      <c r="AD37" s="11">
        <f t="shared" si="2"/>
        <v>1</v>
      </c>
      <c r="AF37" s="11">
        <f t="shared" ref="AF37:AG37" si="145">SUMIFS(AH$3:AH$200,$A$3:$A$200,$A37)</f>
        <v>0</v>
      </c>
      <c r="AG37" s="11">
        <f t="shared" si="145"/>
        <v>1</v>
      </c>
      <c r="AH37" s="11">
        <f t="shared" si="4"/>
        <v>0</v>
      </c>
      <c r="AI37" s="22">
        <v>1</v>
      </c>
      <c r="AJ37" s="22"/>
      <c r="AK37" s="82">
        <f t="shared" ref="AK37:AL37" si="146">SUMIFS(AM$3:AM$200,$A$3:$A$200,$A37)</f>
        <v>1</v>
      </c>
      <c r="AL37" s="22">
        <f t="shared" si="146"/>
        <v>1</v>
      </c>
      <c r="AM37" s="22">
        <f t="shared" si="6"/>
        <v>1</v>
      </c>
      <c r="AN37" s="22">
        <v>1</v>
      </c>
      <c r="AO37" s="22"/>
      <c r="AP37" s="22">
        <f t="shared" si="7"/>
        <v>0</v>
      </c>
      <c r="AQ37" s="22">
        <f t="shared" ref="AQ37:AT37" si="147">IF(OR(E37="",E37="TBD",E37="N/A",E37="SDK",E37="SAAS"),0,1)</f>
        <v>0</v>
      </c>
      <c r="AR37" s="22">
        <f t="shared" si="147"/>
        <v>0</v>
      </c>
      <c r="AS37" s="22">
        <f t="shared" si="147"/>
        <v>0</v>
      </c>
      <c r="AT37" s="22">
        <f t="shared" si="147"/>
        <v>0</v>
      </c>
      <c r="AV37" s="82">
        <f t="shared" si="9"/>
        <v>0</v>
      </c>
      <c r="AW37" s="22">
        <f t="shared" ref="AW37:AZ37" si="148">IF(OR(E37="",E37="N/A",E37="SDK",E37="SAAS"),0,1)</f>
        <v>0</v>
      </c>
      <c r="AX37" s="22">
        <f t="shared" si="148"/>
        <v>0</v>
      </c>
      <c r="AY37" s="22">
        <f t="shared" si="148"/>
        <v>0</v>
      </c>
      <c r="AZ37" s="22">
        <f t="shared" si="148"/>
        <v>0</v>
      </c>
      <c r="BA37" s="22"/>
      <c r="BB37" s="22"/>
      <c r="BC37" s="22"/>
    </row>
    <row r="38" spans="1:55">
      <c r="A38" s="260" t="s">
        <v>405</v>
      </c>
      <c r="B38" s="261" t="s">
        <v>14</v>
      </c>
      <c r="C38" s="262" t="s">
        <v>406</v>
      </c>
      <c r="D38" s="80"/>
      <c r="E38" s="80"/>
      <c r="F38" s="80"/>
      <c r="G38" s="80"/>
      <c r="H38" s="80"/>
      <c r="I38" s="37">
        <v>6</v>
      </c>
      <c r="J38" s="37">
        <v>36</v>
      </c>
      <c r="K38" s="37">
        <f t="shared" ref="K38:K41" si="149">J38*$J$83</f>
        <v>0</v>
      </c>
      <c r="L38" s="31" t="s">
        <v>105</v>
      </c>
      <c r="M38" s="80" t="s">
        <v>343</v>
      </c>
      <c r="N38" s="81"/>
      <c r="O38" s="81" t="s">
        <v>107</v>
      </c>
      <c r="P38" s="81" t="s">
        <v>107</v>
      </c>
      <c r="Q38" s="81" t="s">
        <v>107</v>
      </c>
      <c r="R38" s="81" t="s">
        <v>107</v>
      </c>
      <c r="S38" s="81"/>
      <c r="T38" s="81"/>
      <c r="U38" s="81"/>
      <c r="V38" s="31" t="s">
        <v>108</v>
      </c>
      <c r="W38" s="31" t="s">
        <v>271</v>
      </c>
      <c r="X38" s="31"/>
      <c r="Y38" s="31"/>
      <c r="Z38" s="31"/>
      <c r="AB38" s="11">
        <f t="shared" si="0"/>
        <v>0</v>
      </c>
      <c r="AC38" s="11">
        <f t="shared" si="1"/>
        <v>1</v>
      </c>
      <c r="AD38" s="11">
        <f t="shared" si="2"/>
        <v>1</v>
      </c>
      <c r="AF38" s="11">
        <f t="shared" ref="AF38:AG38" si="150">SUMIFS(AH$3:AH$200,$A$3:$A$200,$A38)</f>
        <v>0</v>
      </c>
      <c r="AG38" s="11">
        <f t="shared" si="150"/>
        <v>1</v>
      </c>
      <c r="AH38" s="11">
        <f t="shared" si="4"/>
        <v>0</v>
      </c>
      <c r="AI38" s="22">
        <v>1</v>
      </c>
      <c r="AJ38" s="22"/>
      <c r="AK38" s="82">
        <f t="shared" ref="AK38:AL38" si="151">SUMIFS(AM$3:AM$200,$A$3:$A$200,$A38)</f>
        <v>1</v>
      </c>
      <c r="AL38" s="22">
        <f t="shared" si="151"/>
        <v>1</v>
      </c>
      <c r="AM38" s="22">
        <f t="shared" si="6"/>
        <v>1</v>
      </c>
      <c r="AN38" s="22">
        <v>1</v>
      </c>
      <c r="AO38" s="22"/>
      <c r="AP38" s="22">
        <f t="shared" si="7"/>
        <v>0</v>
      </c>
      <c r="AQ38" s="22">
        <f t="shared" ref="AQ38:AT38" si="152">IF(OR(E38="",E38="TBD",E38="N/A",E38="SDK",E38="SAAS"),0,1)</f>
        <v>0</v>
      </c>
      <c r="AR38" s="22">
        <f t="shared" si="152"/>
        <v>0</v>
      </c>
      <c r="AS38" s="22">
        <f t="shared" si="152"/>
        <v>0</v>
      </c>
      <c r="AT38" s="22">
        <f t="shared" si="152"/>
        <v>0</v>
      </c>
      <c r="AV38" s="82">
        <f t="shared" si="9"/>
        <v>0</v>
      </c>
      <c r="AW38" s="22">
        <f t="shared" ref="AW38:AZ38" si="153">IF(OR(E38="",E38="N/A",E38="SDK",E38="SAAS"),0,1)</f>
        <v>0</v>
      </c>
      <c r="AX38" s="22">
        <f t="shared" si="153"/>
        <v>0</v>
      </c>
      <c r="AY38" s="22">
        <f t="shared" si="153"/>
        <v>0</v>
      </c>
      <c r="AZ38" s="22">
        <f t="shared" si="153"/>
        <v>0</v>
      </c>
      <c r="BA38" s="22"/>
      <c r="BB38" s="22"/>
      <c r="BC38" s="22"/>
    </row>
    <row r="39" spans="1:55">
      <c r="A39" s="260" t="s">
        <v>407</v>
      </c>
      <c r="B39" s="261" t="s">
        <v>14</v>
      </c>
      <c r="C39" s="258" t="s">
        <v>408</v>
      </c>
      <c r="D39" s="80"/>
      <c r="E39" s="80"/>
      <c r="F39" s="80"/>
      <c r="G39" s="80"/>
      <c r="H39" s="80"/>
      <c r="I39" s="37">
        <v>3</v>
      </c>
      <c r="J39" s="37">
        <v>27</v>
      </c>
      <c r="K39" s="37">
        <f t="shared" si="149"/>
        <v>0</v>
      </c>
      <c r="L39" s="31" t="s">
        <v>105</v>
      </c>
      <c r="M39" s="80" t="s">
        <v>343</v>
      </c>
      <c r="N39" s="81"/>
      <c r="O39" s="81" t="s">
        <v>107</v>
      </c>
      <c r="P39" s="81" t="s">
        <v>107</v>
      </c>
      <c r="Q39" s="81" t="s">
        <v>107</v>
      </c>
      <c r="R39" s="81" t="s">
        <v>107</v>
      </c>
      <c r="S39" s="81"/>
      <c r="T39" s="81"/>
      <c r="U39" s="81"/>
      <c r="V39" s="31" t="s">
        <v>108</v>
      </c>
      <c r="W39" s="31" t="s">
        <v>271</v>
      </c>
      <c r="X39" s="31"/>
      <c r="Y39" s="31"/>
      <c r="Z39" s="31"/>
      <c r="AB39" s="11">
        <f t="shared" si="0"/>
        <v>0</v>
      </c>
      <c r="AC39" s="11">
        <f t="shared" si="1"/>
        <v>1</v>
      </c>
      <c r="AD39" s="11">
        <f t="shared" si="2"/>
        <v>1</v>
      </c>
      <c r="AF39" s="11">
        <f t="shared" ref="AF39:AG39" si="154">SUMIFS(AH$3:AH$200,$A$3:$A$200,$A39)</f>
        <v>0</v>
      </c>
      <c r="AG39" s="11">
        <f t="shared" si="154"/>
        <v>1</v>
      </c>
      <c r="AH39" s="11">
        <f t="shared" si="4"/>
        <v>0</v>
      </c>
      <c r="AI39" s="22">
        <v>1</v>
      </c>
      <c r="AJ39" s="22"/>
      <c r="AK39" s="82">
        <f t="shared" ref="AK39:AL39" si="155">SUMIFS(AM$3:AM$200,$A$3:$A$200,$A39)</f>
        <v>1</v>
      </c>
      <c r="AL39" s="22">
        <f t="shared" si="155"/>
        <v>1</v>
      </c>
      <c r="AM39" s="22">
        <f t="shared" si="6"/>
        <v>1</v>
      </c>
      <c r="AN39" s="22">
        <v>1</v>
      </c>
      <c r="AO39" s="22"/>
      <c r="AP39" s="22">
        <f t="shared" si="7"/>
        <v>0</v>
      </c>
      <c r="AQ39" s="22">
        <f t="shared" ref="AQ39:AT39" si="156">IF(OR(E39="",E39="TBD",E39="N/A",E39="SDK",E39="SAAS"),0,1)</f>
        <v>0</v>
      </c>
      <c r="AR39" s="22">
        <f t="shared" si="156"/>
        <v>0</v>
      </c>
      <c r="AS39" s="22">
        <f t="shared" si="156"/>
        <v>0</v>
      </c>
      <c r="AT39" s="22">
        <f t="shared" si="156"/>
        <v>0</v>
      </c>
      <c r="AV39" s="82">
        <f t="shared" si="9"/>
        <v>0</v>
      </c>
      <c r="AW39" s="22">
        <f t="shared" ref="AW39:AZ39" si="157">IF(OR(E39="",E39="N/A",E39="SDK",E39="SAAS"),0,1)</f>
        <v>0</v>
      </c>
      <c r="AX39" s="22">
        <f t="shared" si="157"/>
        <v>0</v>
      </c>
      <c r="AY39" s="22">
        <f t="shared" si="157"/>
        <v>0</v>
      </c>
      <c r="AZ39" s="22">
        <f t="shared" si="157"/>
        <v>0</v>
      </c>
      <c r="BA39" s="22"/>
      <c r="BB39" s="22"/>
      <c r="BC39" s="22"/>
    </row>
    <row r="40" spans="1:55">
      <c r="A40" s="260" t="s">
        <v>409</v>
      </c>
      <c r="B40" s="261" t="s">
        <v>14</v>
      </c>
      <c r="C40" s="262" t="s">
        <v>410</v>
      </c>
      <c r="D40" s="80"/>
      <c r="E40" s="80"/>
      <c r="F40" s="80"/>
      <c r="G40" s="80"/>
      <c r="H40" s="80"/>
      <c r="I40" s="37">
        <v>3</v>
      </c>
      <c r="J40" s="37">
        <v>28</v>
      </c>
      <c r="K40" s="37">
        <f t="shared" si="149"/>
        <v>0</v>
      </c>
      <c r="L40" s="31" t="s">
        <v>105</v>
      </c>
      <c r="M40" s="80" t="s">
        <v>343</v>
      </c>
      <c r="N40" s="81"/>
      <c r="O40" s="81" t="s">
        <v>107</v>
      </c>
      <c r="P40" s="81" t="s">
        <v>107</v>
      </c>
      <c r="Q40" s="81" t="s">
        <v>107</v>
      </c>
      <c r="R40" s="81" t="s">
        <v>107</v>
      </c>
      <c r="S40" s="81"/>
      <c r="T40" s="81"/>
      <c r="U40" s="81"/>
      <c r="V40" s="31" t="s">
        <v>108</v>
      </c>
      <c r="W40" s="31" t="s">
        <v>271</v>
      </c>
      <c r="X40" s="31"/>
      <c r="Y40" s="31"/>
      <c r="Z40" s="31"/>
      <c r="AB40" s="11">
        <f t="shared" si="0"/>
        <v>0</v>
      </c>
      <c r="AC40" s="11">
        <f t="shared" si="1"/>
        <v>1</v>
      </c>
      <c r="AD40" s="11">
        <f t="shared" si="2"/>
        <v>1</v>
      </c>
      <c r="AF40" s="11">
        <f t="shared" ref="AF40:AG40" si="158">SUMIFS(AH$3:AH$200,$A$3:$A$200,$A40)</f>
        <v>0</v>
      </c>
      <c r="AG40" s="11">
        <f t="shared" si="158"/>
        <v>1</v>
      </c>
      <c r="AH40" s="11">
        <f t="shared" si="4"/>
        <v>0</v>
      </c>
      <c r="AI40" s="22">
        <v>1</v>
      </c>
      <c r="AJ40" s="22"/>
      <c r="AK40" s="82">
        <f t="shared" ref="AK40:AL40" si="159">SUMIFS(AM$3:AM$200,$A$3:$A$200,$A40)</f>
        <v>1</v>
      </c>
      <c r="AL40" s="22">
        <f t="shared" si="159"/>
        <v>1</v>
      </c>
      <c r="AM40" s="22">
        <f t="shared" si="6"/>
        <v>1</v>
      </c>
      <c r="AN40" s="22">
        <v>1</v>
      </c>
      <c r="AO40" s="22"/>
      <c r="AP40" s="22">
        <f t="shared" si="7"/>
        <v>0</v>
      </c>
      <c r="AQ40" s="22">
        <f t="shared" ref="AQ40:AT40" si="160">IF(OR(E40="",E40="TBD",E40="N/A",E40="SDK",E40="SAAS"),0,1)</f>
        <v>0</v>
      </c>
      <c r="AR40" s="22">
        <f t="shared" si="160"/>
        <v>0</v>
      </c>
      <c r="AS40" s="22">
        <f t="shared" si="160"/>
        <v>0</v>
      </c>
      <c r="AT40" s="22">
        <f t="shared" si="160"/>
        <v>0</v>
      </c>
      <c r="AV40" s="82">
        <f t="shared" si="9"/>
        <v>0</v>
      </c>
      <c r="AW40" s="22">
        <f t="shared" ref="AW40:AZ40" si="161">IF(OR(E40="",E40="N/A",E40="SDK",E40="SAAS"),0,1)</f>
        <v>0</v>
      </c>
      <c r="AX40" s="22">
        <f t="shared" si="161"/>
        <v>0</v>
      </c>
      <c r="AY40" s="22">
        <f t="shared" si="161"/>
        <v>0</v>
      </c>
      <c r="AZ40" s="22">
        <f t="shared" si="161"/>
        <v>0</v>
      </c>
      <c r="BA40" s="22"/>
      <c r="BB40" s="22"/>
      <c r="BC40" s="22"/>
    </row>
    <row r="41" spans="1:55">
      <c r="A41" s="260" t="s">
        <v>411</v>
      </c>
      <c r="B41" s="261" t="s">
        <v>14</v>
      </c>
      <c r="C41" s="258" t="s">
        <v>412</v>
      </c>
      <c r="D41" s="80"/>
      <c r="E41" s="80"/>
      <c r="F41" s="80"/>
      <c r="G41" s="80"/>
      <c r="H41" s="80"/>
      <c r="I41" s="37">
        <v>3</v>
      </c>
      <c r="J41" s="37">
        <v>21</v>
      </c>
      <c r="K41" s="37">
        <f t="shared" si="149"/>
        <v>0</v>
      </c>
      <c r="L41" s="31" t="s">
        <v>105</v>
      </c>
      <c r="M41" s="80" t="s">
        <v>343</v>
      </c>
      <c r="N41" s="81"/>
      <c r="O41" s="81"/>
      <c r="P41" s="81"/>
      <c r="Q41" s="81" t="s">
        <v>107</v>
      </c>
      <c r="R41" s="81" t="s">
        <v>107</v>
      </c>
      <c r="S41" s="81"/>
      <c r="T41" s="81"/>
      <c r="U41" s="81"/>
      <c r="V41" s="31" t="s">
        <v>108</v>
      </c>
      <c r="W41" s="31" t="s">
        <v>271</v>
      </c>
      <c r="X41" s="31"/>
      <c r="Y41" s="31"/>
      <c r="Z41" s="31"/>
      <c r="AB41" s="11">
        <f t="shared" si="0"/>
        <v>0</v>
      </c>
      <c r="AC41" s="11">
        <f t="shared" si="1"/>
        <v>1</v>
      </c>
      <c r="AD41" s="11">
        <f t="shared" si="2"/>
        <v>1</v>
      </c>
      <c r="AF41" s="11">
        <f t="shared" ref="AF41:AG41" si="162">SUMIFS(AH$3:AH$200,$A$3:$A$200,$A41)</f>
        <v>0</v>
      </c>
      <c r="AG41" s="11">
        <f t="shared" si="162"/>
        <v>1</v>
      </c>
      <c r="AH41" s="11">
        <f t="shared" si="4"/>
        <v>0</v>
      </c>
      <c r="AI41" s="22">
        <v>1</v>
      </c>
      <c r="AJ41" s="22"/>
      <c r="AK41" s="82">
        <f t="shared" ref="AK41:AL41" si="163">SUMIFS(AM$3:AM$200,$A$3:$A$200,$A41)</f>
        <v>1</v>
      </c>
      <c r="AL41" s="22">
        <f t="shared" si="163"/>
        <v>1</v>
      </c>
      <c r="AM41" s="22">
        <f t="shared" si="6"/>
        <v>1</v>
      </c>
      <c r="AN41" s="22">
        <v>1</v>
      </c>
      <c r="AO41" s="22"/>
      <c r="AP41" s="22">
        <f t="shared" si="7"/>
        <v>0</v>
      </c>
      <c r="AQ41" s="22">
        <f t="shared" ref="AQ41:AT41" si="164">IF(OR(E41="",E41="TBD",E41="N/A",E41="SDK",E41="SAAS"),0,1)</f>
        <v>0</v>
      </c>
      <c r="AR41" s="22">
        <f t="shared" si="164"/>
        <v>0</v>
      </c>
      <c r="AS41" s="22">
        <f t="shared" si="164"/>
        <v>0</v>
      </c>
      <c r="AT41" s="22">
        <f t="shared" si="164"/>
        <v>0</v>
      </c>
      <c r="AV41" s="82">
        <f t="shared" si="9"/>
        <v>0</v>
      </c>
      <c r="AW41" s="22">
        <f t="shared" ref="AW41:AZ41" si="165">IF(OR(E41="",E41="N/A",E41="SDK",E41="SAAS"),0,1)</f>
        <v>0</v>
      </c>
      <c r="AX41" s="22">
        <f t="shared" si="165"/>
        <v>0</v>
      </c>
      <c r="AY41" s="22">
        <f t="shared" si="165"/>
        <v>0</v>
      </c>
      <c r="AZ41" s="22">
        <f t="shared" si="165"/>
        <v>0</v>
      </c>
      <c r="BA41" s="22"/>
      <c r="BB41" s="22"/>
      <c r="BC41" s="22"/>
    </row>
    <row r="42" spans="1:55">
      <c r="A42" s="78" t="s">
        <v>413</v>
      </c>
      <c r="B42" s="78" t="s">
        <v>14</v>
      </c>
      <c r="C42" s="259" t="s">
        <v>414</v>
      </c>
      <c r="D42" s="80"/>
      <c r="E42" s="80"/>
      <c r="F42" s="80"/>
      <c r="G42" s="80"/>
      <c r="H42" s="80"/>
      <c r="I42" s="37" t="s">
        <v>362</v>
      </c>
      <c r="J42" s="37" t="s">
        <v>362</v>
      </c>
      <c r="K42" s="37" t="s">
        <v>362</v>
      </c>
      <c r="L42" s="31" t="s">
        <v>105</v>
      </c>
      <c r="M42" s="80" t="s">
        <v>343</v>
      </c>
      <c r="N42" s="81"/>
      <c r="O42" s="31"/>
      <c r="P42" s="81"/>
      <c r="Q42" s="81"/>
      <c r="R42" s="81"/>
      <c r="S42" s="81" t="s">
        <v>107</v>
      </c>
      <c r="T42" s="81"/>
      <c r="U42" s="81"/>
      <c r="V42" s="31" t="s">
        <v>108</v>
      </c>
      <c r="W42" s="31" t="s">
        <v>109</v>
      </c>
      <c r="X42" s="31"/>
      <c r="Y42" s="31"/>
      <c r="Z42" s="31"/>
      <c r="AB42" s="11">
        <f t="shared" si="0"/>
        <v>0</v>
      </c>
      <c r="AC42" s="11">
        <f t="shared" si="1"/>
        <v>1</v>
      </c>
      <c r="AD42" s="11">
        <f t="shared" si="2"/>
        <v>1</v>
      </c>
      <c r="AF42" s="11">
        <f t="shared" ref="AF42:AG42" si="166">SUMIFS(AH$3:AH$200,$A$3:$A$200,$A42)</f>
        <v>0</v>
      </c>
      <c r="AG42" s="11">
        <f t="shared" si="166"/>
        <v>1</v>
      </c>
      <c r="AH42" s="11">
        <f t="shared" si="4"/>
        <v>0</v>
      </c>
      <c r="AI42" s="22">
        <v>1</v>
      </c>
      <c r="AK42" s="82">
        <f t="shared" ref="AK42:AL42" si="167">SUMIFS(AM$3:AM$200,$A$3:$A$200,$A42)</f>
        <v>1</v>
      </c>
      <c r="AL42" s="22">
        <f t="shared" si="167"/>
        <v>1</v>
      </c>
      <c r="AM42" s="22">
        <f t="shared" si="6"/>
        <v>1</v>
      </c>
      <c r="AN42" s="22">
        <v>1</v>
      </c>
      <c r="AP42" s="22">
        <f t="shared" si="7"/>
        <v>0</v>
      </c>
      <c r="AQ42" s="22">
        <f t="shared" ref="AQ42:AT42" si="168">IF(OR(E42="",E42="TBD",E42="N/A",E42="SDK",E42="SAAS"),0,1)</f>
        <v>0</v>
      </c>
      <c r="AR42" s="22">
        <f t="shared" si="168"/>
        <v>0</v>
      </c>
      <c r="AS42" s="22">
        <f t="shared" si="168"/>
        <v>0</v>
      </c>
      <c r="AT42" s="22">
        <f t="shared" si="168"/>
        <v>0</v>
      </c>
      <c r="AV42" s="82">
        <f t="shared" si="9"/>
        <v>0</v>
      </c>
      <c r="AW42" s="22">
        <f t="shared" ref="AW42:AZ42" si="169">IF(OR(E42="",E42="N/A",E42="SDK",E42="SAAS"),0,1)</f>
        <v>0</v>
      </c>
      <c r="AX42" s="22">
        <f t="shared" si="169"/>
        <v>0</v>
      </c>
      <c r="AY42" s="22">
        <f t="shared" si="169"/>
        <v>0</v>
      </c>
      <c r="AZ42" s="22">
        <f t="shared" si="169"/>
        <v>0</v>
      </c>
      <c r="BA42" s="22"/>
      <c r="BB42" s="22"/>
      <c r="BC42" s="22"/>
    </row>
    <row r="43" spans="1:55">
      <c r="A43" s="78" t="s">
        <v>415</v>
      </c>
      <c r="B43" s="78" t="s">
        <v>14</v>
      </c>
      <c r="C43" s="259" t="s">
        <v>416</v>
      </c>
      <c r="D43" s="80"/>
      <c r="E43" s="80"/>
      <c r="F43" s="80"/>
      <c r="G43" s="80"/>
      <c r="H43" s="80"/>
      <c r="I43" s="37" t="s">
        <v>362</v>
      </c>
      <c r="J43" s="37" t="s">
        <v>362</v>
      </c>
      <c r="K43" s="37" t="s">
        <v>362</v>
      </c>
      <c r="L43" s="31" t="s">
        <v>105</v>
      </c>
      <c r="M43" s="80" t="s">
        <v>343</v>
      </c>
      <c r="N43" s="81"/>
      <c r="O43" s="31"/>
      <c r="P43" s="81"/>
      <c r="Q43" s="81"/>
      <c r="R43" s="81"/>
      <c r="S43" s="81" t="s">
        <v>107</v>
      </c>
      <c r="T43" s="81"/>
      <c r="U43" s="81"/>
      <c r="V43" s="31" t="s">
        <v>108</v>
      </c>
      <c r="W43" s="31" t="s">
        <v>109</v>
      </c>
      <c r="X43" s="31"/>
      <c r="Y43" s="31"/>
      <c r="Z43" s="31"/>
      <c r="AB43" s="11">
        <f t="shared" si="0"/>
        <v>0</v>
      </c>
      <c r="AC43" s="11">
        <f t="shared" si="1"/>
        <v>1</v>
      </c>
      <c r="AD43" s="11">
        <f t="shared" si="2"/>
        <v>1</v>
      </c>
      <c r="AF43" s="11">
        <f t="shared" ref="AF43:AG43" si="170">SUMIFS(AH$3:AH$200,$A$3:$A$200,$A43)</f>
        <v>0</v>
      </c>
      <c r="AG43" s="11">
        <f t="shared" si="170"/>
        <v>1</v>
      </c>
      <c r="AH43" s="11">
        <f t="shared" si="4"/>
        <v>0</v>
      </c>
      <c r="AI43" s="22">
        <v>1</v>
      </c>
      <c r="AK43" s="82">
        <f t="shared" ref="AK43:AL43" si="171">SUMIFS(AM$3:AM$200,$A$3:$A$200,$A43)</f>
        <v>1</v>
      </c>
      <c r="AL43" s="22">
        <f t="shared" si="171"/>
        <v>1</v>
      </c>
      <c r="AM43" s="22">
        <f t="shared" si="6"/>
        <v>1</v>
      </c>
      <c r="AN43" s="22">
        <v>1</v>
      </c>
      <c r="AP43" s="22">
        <f t="shared" si="7"/>
        <v>0</v>
      </c>
      <c r="AQ43" s="22">
        <f t="shared" ref="AQ43:AT43" si="172">IF(OR(E43="",E43="TBD",E43="N/A",E43="SDK",E43="SAAS"),0,1)</f>
        <v>0</v>
      </c>
      <c r="AR43" s="22">
        <f t="shared" si="172"/>
        <v>0</v>
      </c>
      <c r="AS43" s="22">
        <f t="shared" si="172"/>
        <v>0</v>
      </c>
      <c r="AT43" s="22">
        <f t="shared" si="172"/>
        <v>0</v>
      </c>
      <c r="AV43" s="82">
        <f t="shared" si="9"/>
        <v>0</v>
      </c>
      <c r="AW43" s="22">
        <f t="shared" ref="AW43:AZ43" si="173">IF(OR(E43="",E43="N/A",E43="SDK",E43="SAAS"),0,1)</f>
        <v>0</v>
      </c>
      <c r="AX43" s="22">
        <f t="shared" si="173"/>
        <v>0</v>
      </c>
      <c r="AY43" s="22">
        <f t="shared" si="173"/>
        <v>0</v>
      </c>
      <c r="AZ43" s="22">
        <f t="shared" si="173"/>
        <v>0</v>
      </c>
      <c r="BA43" s="22"/>
      <c r="BB43" s="22"/>
      <c r="BC43" s="22"/>
    </row>
    <row r="44" spans="1:55">
      <c r="A44" s="78" t="s">
        <v>417</v>
      </c>
      <c r="B44" s="78" t="s">
        <v>14</v>
      </c>
      <c r="C44" s="259" t="s">
        <v>418</v>
      </c>
      <c r="D44" s="80"/>
      <c r="E44" s="80"/>
      <c r="F44" s="80"/>
      <c r="G44" s="80"/>
      <c r="H44" s="80"/>
      <c r="I44" s="37">
        <v>4</v>
      </c>
      <c r="J44" s="37">
        <v>48</v>
      </c>
      <c r="K44" s="37">
        <f>J44*$J$83</f>
        <v>0</v>
      </c>
      <c r="L44" s="31" t="s">
        <v>105</v>
      </c>
      <c r="M44" s="80" t="s">
        <v>343</v>
      </c>
      <c r="N44" s="81"/>
      <c r="O44" s="31"/>
      <c r="P44" s="81"/>
      <c r="Q44" s="81"/>
      <c r="R44" s="81"/>
      <c r="S44" s="81" t="s">
        <v>107</v>
      </c>
      <c r="T44" s="81"/>
      <c r="U44" s="81"/>
      <c r="V44" s="31" t="s">
        <v>108</v>
      </c>
      <c r="W44" s="31" t="s">
        <v>109</v>
      </c>
      <c r="X44" s="31"/>
      <c r="Y44" s="31"/>
      <c r="Z44" s="31"/>
      <c r="AB44" s="11">
        <f t="shared" si="0"/>
        <v>0</v>
      </c>
      <c r="AC44" s="11">
        <f t="shared" si="1"/>
        <v>1</v>
      </c>
      <c r="AD44" s="11">
        <f t="shared" si="2"/>
        <v>1</v>
      </c>
      <c r="AF44" s="11">
        <f t="shared" ref="AF44:AG44" si="174">SUMIFS(AH$3:AH$200,$A$3:$A$200,$A44)</f>
        <v>0</v>
      </c>
      <c r="AG44" s="11">
        <f t="shared" si="174"/>
        <v>1</v>
      </c>
      <c r="AH44" s="11">
        <f t="shared" si="4"/>
        <v>0</v>
      </c>
      <c r="AI44" s="22">
        <v>1</v>
      </c>
      <c r="AK44" s="82">
        <f t="shared" ref="AK44:AL44" si="175">SUMIFS(AM$3:AM$200,$A$3:$A$200,$A44)</f>
        <v>1</v>
      </c>
      <c r="AL44" s="22">
        <f t="shared" si="175"/>
        <v>1</v>
      </c>
      <c r="AM44" s="22">
        <f t="shared" si="6"/>
        <v>1</v>
      </c>
      <c r="AN44" s="22">
        <v>1</v>
      </c>
      <c r="AP44" s="22">
        <f t="shared" si="7"/>
        <v>0</v>
      </c>
      <c r="AQ44" s="22">
        <f t="shared" ref="AQ44:AT44" si="176">IF(OR(E44="",E44="TBD",E44="N/A",E44="SDK",E44="SAAS"),0,1)</f>
        <v>0</v>
      </c>
      <c r="AR44" s="22">
        <f t="shared" si="176"/>
        <v>0</v>
      </c>
      <c r="AS44" s="22">
        <f t="shared" si="176"/>
        <v>0</v>
      </c>
      <c r="AT44" s="22">
        <f t="shared" si="176"/>
        <v>0</v>
      </c>
      <c r="AV44" s="82">
        <f t="shared" si="9"/>
        <v>0</v>
      </c>
      <c r="AW44" s="22">
        <f t="shared" ref="AW44:AZ44" si="177">IF(OR(E44="",E44="N/A",E44="SDK",E44="SAAS"),0,1)</f>
        <v>0</v>
      </c>
      <c r="AX44" s="22">
        <f t="shared" si="177"/>
        <v>0</v>
      </c>
      <c r="AY44" s="22">
        <f t="shared" si="177"/>
        <v>0</v>
      </c>
      <c r="AZ44" s="22">
        <f t="shared" si="177"/>
        <v>0</v>
      </c>
      <c r="BA44" s="22"/>
      <c r="BB44" s="22"/>
      <c r="BC44" s="22"/>
    </row>
    <row r="45" spans="1:55">
      <c r="A45" s="79" t="s">
        <v>419</v>
      </c>
      <c r="B45" s="79" t="s">
        <v>14</v>
      </c>
      <c r="C45" s="259" t="s">
        <v>420</v>
      </c>
      <c r="D45" s="80"/>
      <c r="E45" s="80"/>
      <c r="F45" s="80"/>
      <c r="G45" s="80"/>
      <c r="H45" s="80"/>
      <c r="I45" s="37" t="s">
        <v>362</v>
      </c>
      <c r="J45" s="37" t="s">
        <v>362</v>
      </c>
      <c r="K45" s="37" t="s">
        <v>362</v>
      </c>
      <c r="L45" s="31" t="s">
        <v>105</v>
      </c>
      <c r="M45" s="80" t="s">
        <v>343</v>
      </c>
      <c r="N45" s="81"/>
      <c r="O45" s="31"/>
      <c r="P45" s="81"/>
      <c r="Q45" s="81"/>
      <c r="R45" s="81"/>
      <c r="S45" s="81" t="s">
        <v>107</v>
      </c>
      <c r="T45" s="81"/>
      <c r="U45" s="81"/>
      <c r="V45" s="31" t="s">
        <v>108</v>
      </c>
      <c r="W45" s="31" t="s">
        <v>109</v>
      </c>
      <c r="X45" s="31"/>
      <c r="Y45" s="31"/>
      <c r="Z45" s="31"/>
      <c r="AB45" s="11">
        <f t="shared" si="0"/>
        <v>0</v>
      </c>
      <c r="AC45" s="11">
        <f t="shared" si="1"/>
        <v>1</v>
      </c>
      <c r="AD45" s="11">
        <f t="shared" si="2"/>
        <v>1</v>
      </c>
      <c r="AF45" s="11">
        <f t="shared" ref="AF45:AG45" si="178">SUMIFS(AH$3:AH$200,$A$3:$A$200,$A45)</f>
        <v>0</v>
      </c>
      <c r="AG45" s="11">
        <f t="shared" si="178"/>
        <v>1</v>
      </c>
      <c r="AH45" s="11">
        <f t="shared" si="4"/>
        <v>0</v>
      </c>
      <c r="AI45" s="22">
        <v>1</v>
      </c>
      <c r="AK45" s="82">
        <f t="shared" ref="AK45:AL45" si="179">SUMIFS(AM$3:AM$200,$A$3:$A$200,$A45)</f>
        <v>1</v>
      </c>
      <c r="AL45" s="22">
        <f t="shared" si="179"/>
        <v>1</v>
      </c>
      <c r="AM45" s="22">
        <f t="shared" si="6"/>
        <v>1</v>
      </c>
      <c r="AN45" s="22">
        <v>1</v>
      </c>
      <c r="AP45" s="22">
        <f t="shared" si="7"/>
        <v>0</v>
      </c>
      <c r="AQ45" s="22">
        <f t="shared" ref="AQ45:AT45" si="180">IF(OR(E45="",E45="TBD",E45="N/A",E45="SDK",E45="SAAS"),0,1)</f>
        <v>0</v>
      </c>
      <c r="AR45" s="22">
        <f t="shared" si="180"/>
        <v>0</v>
      </c>
      <c r="AS45" s="22">
        <f t="shared" si="180"/>
        <v>0</v>
      </c>
      <c r="AT45" s="22">
        <f t="shared" si="180"/>
        <v>0</v>
      </c>
      <c r="AV45" s="82">
        <f t="shared" si="9"/>
        <v>0</v>
      </c>
      <c r="AW45" s="22">
        <f t="shared" ref="AW45:AZ45" si="181">IF(OR(E45="",E45="N/A",E45="SDK",E45="SAAS"),0,1)</f>
        <v>0</v>
      </c>
      <c r="AX45" s="22">
        <f t="shared" si="181"/>
        <v>0</v>
      </c>
      <c r="AY45" s="22">
        <f t="shared" si="181"/>
        <v>0</v>
      </c>
      <c r="AZ45" s="22">
        <f t="shared" si="181"/>
        <v>0</v>
      </c>
      <c r="BA45" s="22"/>
      <c r="BB45" s="22"/>
      <c r="BC45" s="22"/>
    </row>
    <row r="46" spans="1:55">
      <c r="A46" s="79" t="s">
        <v>421</v>
      </c>
      <c r="B46" s="79" t="s">
        <v>14</v>
      </c>
      <c r="C46" s="262" t="s">
        <v>422</v>
      </c>
      <c r="D46" s="80"/>
      <c r="E46" s="80"/>
      <c r="F46" s="80"/>
      <c r="G46" s="80"/>
      <c r="H46" s="80"/>
      <c r="I46" s="37" t="s">
        <v>362</v>
      </c>
      <c r="J46" s="37" t="s">
        <v>362</v>
      </c>
      <c r="K46" s="37" t="s">
        <v>362</v>
      </c>
      <c r="L46" s="31" t="s">
        <v>105</v>
      </c>
      <c r="M46" s="80" t="s">
        <v>343</v>
      </c>
      <c r="N46" s="81"/>
      <c r="O46" s="31"/>
      <c r="P46" s="81"/>
      <c r="Q46" s="81"/>
      <c r="R46" s="81"/>
      <c r="S46" s="81"/>
      <c r="T46" s="81" t="s">
        <v>107</v>
      </c>
      <c r="U46" s="81"/>
      <c r="V46" s="31" t="s">
        <v>108</v>
      </c>
      <c r="W46" s="31" t="s">
        <v>109</v>
      </c>
      <c r="X46" s="31"/>
      <c r="Y46" s="31"/>
      <c r="Z46" s="31"/>
      <c r="AB46" s="11">
        <f t="shared" si="0"/>
        <v>0</v>
      </c>
      <c r="AC46" s="11">
        <f t="shared" si="1"/>
        <v>1</v>
      </c>
      <c r="AD46" s="11">
        <f t="shared" si="2"/>
        <v>1</v>
      </c>
      <c r="AF46" s="11">
        <f t="shared" ref="AF46:AG46" si="182">SUMIFS(AH$3:AH$200,$A$3:$A$200,$A46)</f>
        <v>0</v>
      </c>
      <c r="AG46" s="11">
        <f t="shared" si="182"/>
        <v>1</v>
      </c>
      <c r="AH46" s="11">
        <f t="shared" si="4"/>
        <v>0</v>
      </c>
      <c r="AI46" s="22">
        <v>1</v>
      </c>
      <c r="AK46" s="82">
        <f t="shared" ref="AK46:AL46" si="183">SUMIFS(AM$3:AM$200,$A$3:$A$200,$A46)</f>
        <v>1</v>
      </c>
      <c r="AL46" s="22">
        <f t="shared" si="183"/>
        <v>1</v>
      </c>
      <c r="AM46" s="22">
        <f t="shared" si="6"/>
        <v>1</v>
      </c>
      <c r="AN46" s="22">
        <v>1</v>
      </c>
      <c r="AP46" s="22">
        <f t="shared" si="7"/>
        <v>0</v>
      </c>
      <c r="AQ46" s="22">
        <f t="shared" ref="AQ46:AT46" si="184">IF(OR(E46="",E46="TBD",E46="N/A",E46="SDK",E46="SAAS"),0,1)</f>
        <v>0</v>
      </c>
      <c r="AR46" s="22">
        <f t="shared" si="184"/>
        <v>0</v>
      </c>
      <c r="AS46" s="22">
        <f t="shared" si="184"/>
        <v>0</v>
      </c>
      <c r="AT46" s="22">
        <f t="shared" si="184"/>
        <v>0</v>
      </c>
      <c r="AV46" s="82">
        <f t="shared" si="9"/>
        <v>0</v>
      </c>
      <c r="AW46" s="22">
        <f t="shared" ref="AW46:AZ46" si="185">IF(OR(E46="",E46="N/A",E46="SDK",E46="SAAS"),0,1)</f>
        <v>0</v>
      </c>
      <c r="AX46" s="22">
        <f t="shared" si="185"/>
        <v>0</v>
      </c>
      <c r="AY46" s="22">
        <f t="shared" si="185"/>
        <v>0</v>
      </c>
      <c r="AZ46" s="22">
        <f t="shared" si="185"/>
        <v>0</v>
      </c>
      <c r="BA46" s="22"/>
      <c r="BB46" s="22"/>
      <c r="BC46" s="22"/>
    </row>
    <row r="47" spans="1:55">
      <c r="A47" s="79" t="s">
        <v>423</v>
      </c>
      <c r="B47" s="79" t="s">
        <v>14</v>
      </c>
      <c r="C47" s="262" t="s">
        <v>424</v>
      </c>
      <c r="D47" s="80"/>
      <c r="E47" s="80"/>
      <c r="F47" s="80"/>
      <c r="G47" s="80"/>
      <c r="H47" s="80"/>
      <c r="I47" s="37" t="s">
        <v>362</v>
      </c>
      <c r="J47" s="37" t="s">
        <v>362</v>
      </c>
      <c r="K47" s="37" t="s">
        <v>362</v>
      </c>
      <c r="L47" s="31" t="s">
        <v>105</v>
      </c>
      <c r="M47" s="80" t="s">
        <v>343</v>
      </c>
      <c r="N47" s="81"/>
      <c r="O47" s="31"/>
      <c r="P47" s="81"/>
      <c r="Q47" s="81"/>
      <c r="R47" s="81"/>
      <c r="S47" s="81"/>
      <c r="T47" s="81" t="s">
        <v>107</v>
      </c>
      <c r="U47" s="81"/>
      <c r="V47" s="31" t="s">
        <v>108</v>
      </c>
      <c r="W47" s="31" t="s">
        <v>109</v>
      </c>
      <c r="X47" s="31"/>
      <c r="Y47" s="31"/>
      <c r="Z47" s="31"/>
      <c r="AB47" s="11">
        <f t="shared" si="0"/>
        <v>0</v>
      </c>
      <c r="AC47" s="11">
        <f t="shared" si="1"/>
        <v>1</v>
      </c>
      <c r="AD47" s="11">
        <f t="shared" si="2"/>
        <v>1</v>
      </c>
      <c r="AF47" s="11">
        <f t="shared" ref="AF47:AG47" si="186">SUMIFS(AH$3:AH$200,$A$3:$A$200,$A47)</f>
        <v>0</v>
      </c>
      <c r="AG47" s="11">
        <f t="shared" si="186"/>
        <v>1</v>
      </c>
      <c r="AH47" s="11">
        <f t="shared" si="4"/>
        <v>0</v>
      </c>
      <c r="AI47" s="22">
        <v>1</v>
      </c>
      <c r="AK47" s="82">
        <f t="shared" ref="AK47:AL47" si="187">SUMIFS(AM$3:AM$200,$A$3:$A$200,$A47)</f>
        <v>1</v>
      </c>
      <c r="AL47" s="22">
        <f t="shared" si="187"/>
        <v>1</v>
      </c>
      <c r="AM47" s="22">
        <f t="shared" si="6"/>
        <v>1</v>
      </c>
      <c r="AN47" s="22">
        <v>1</v>
      </c>
      <c r="AP47" s="22">
        <f t="shared" si="7"/>
        <v>0</v>
      </c>
      <c r="AQ47" s="22">
        <f t="shared" ref="AQ47:AT47" si="188">IF(OR(E47="",E47="TBD",E47="N/A",E47="SDK",E47="SAAS"),0,1)</f>
        <v>0</v>
      </c>
      <c r="AR47" s="22">
        <f t="shared" si="188"/>
        <v>0</v>
      </c>
      <c r="AS47" s="22">
        <f t="shared" si="188"/>
        <v>0</v>
      </c>
      <c r="AT47" s="22">
        <f t="shared" si="188"/>
        <v>0</v>
      </c>
      <c r="AV47" s="82">
        <f t="shared" si="9"/>
        <v>0</v>
      </c>
      <c r="AW47" s="22">
        <f t="shared" ref="AW47:AZ47" si="189">IF(OR(E47="",E47="N/A",E47="SDK",E47="SAAS"),0,1)</f>
        <v>0</v>
      </c>
      <c r="AX47" s="22">
        <f t="shared" si="189"/>
        <v>0</v>
      </c>
      <c r="AY47" s="22">
        <f t="shared" si="189"/>
        <v>0</v>
      </c>
      <c r="AZ47" s="22">
        <f t="shared" si="189"/>
        <v>0</v>
      </c>
      <c r="BA47" s="22"/>
      <c r="BB47" s="22"/>
      <c r="BC47" s="22"/>
    </row>
    <row r="48" spans="1:55">
      <c r="A48" s="79" t="s">
        <v>425</v>
      </c>
      <c r="B48" s="79" t="s">
        <v>14</v>
      </c>
      <c r="C48" s="262" t="s">
        <v>426</v>
      </c>
      <c r="D48" s="80"/>
      <c r="E48" s="80"/>
      <c r="F48" s="80"/>
      <c r="G48" s="80"/>
      <c r="H48" s="80"/>
      <c r="I48" s="37" t="s">
        <v>362</v>
      </c>
      <c r="J48" s="37" t="s">
        <v>362</v>
      </c>
      <c r="K48" s="37" t="s">
        <v>362</v>
      </c>
      <c r="L48" s="31" t="s">
        <v>105</v>
      </c>
      <c r="M48" s="80" t="s">
        <v>343</v>
      </c>
      <c r="N48" s="81"/>
      <c r="O48" s="31"/>
      <c r="P48" s="81"/>
      <c r="Q48" s="81"/>
      <c r="R48" s="81"/>
      <c r="S48" s="81"/>
      <c r="T48" s="81" t="s">
        <v>107</v>
      </c>
      <c r="U48" s="81"/>
      <c r="V48" s="31" t="s">
        <v>108</v>
      </c>
      <c r="W48" s="31" t="s">
        <v>109</v>
      </c>
      <c r="X48" s="31"/>
      <c r="Y48" s="31"/>
      <c r="Z48" s="31"/>
      <c r="AB48" s="11">
        <f t="shared" si="0"/>
        <v>0</v>
      </c>
      <c r="AC48" s="11">
        <f t="shared" si="1"/>
        <v>1</v>
      </c>
      <c r="AD48" s="11">
        <f t="shared" si="2"/>
        <v>1</v>
      </c>
      <c r="AF48" s="11">
        <f t="shared" ref="AF48:AG48" si="190">SUMIFS(AH$3:AH$200,$A$3:$A$200,$A48)</f>
        <v>0</v>
      </c>
      <c r="AG48" s="11">
        <f t="shared" si="190"/>
        <v>1</v>
      </c>
      <c r="AH48" s="11">
        <f t="shared" si="4"/>
        <v>0</v>
      </c>
      <c r="AI48" s="22">
        <v>1</v>
      </c>
      <c r="AK48" s="82">
        <f t="shared" ref="AK48:AL48" si="191">SUMIFS(AM$3:AM$200,$A$3:$A$200,$A48)</f>
        <v>1</v>
      </c>
      <c r="AL48" s="22">
        <f t="shared" si="191"/>
        <v>1</v>
      </c>
      <c r="AM48" s="22">
        <f t="shared" si="6"/>
        <v>1</v>
      </c>
      <c r="AN48" s="22">
        <v>1</v>
      </c>
      <c r="AP48" s="22">
        <f t="shared" si="7"/>
        <v>0</v>
      </c>
      <c r="AQ48" s="22">
        <f t="shared" ref="AQ48:AT48" si="192">IF(OR(E48="",E48="TBD",E48="N/A",E48="SDK",E48="SAAS"),0,1)</f>
        <v>0</v>
      </c>
      <c r="AR48" s="22">
        <f t="shared" si="192"/>
        <v>0</v>
      </c>
      <c r="AS48" s="22">
        <f t="shared" si="192"/>
        <v>0</v>
      </c>
      <c r="AT48" s="22">
        <f t="shared" si="192"/>
        <v>0</v>
      </c>
      <c r="AV48" s="82">
        <f t="shared" si="9"/>
        <v>0</v>
      </c>
      <c r="AW48" s="22">
        <f t="shared" ref="AW48:AZ48" si="193">IF(OR(E48="",E48="N/A",E48="SDK",E48="SAAS"),0,1)</f>
        <v>0</v>
      </c>
      <c r="AX48" s="22">
        <f t="shared" si="193"/>
        <v>0</v>
      </c>
      <c r="AY48" s="22">
        <f t="shared" si="193"/>
        <v>0</v>
      </c>
      <c r="AZ48" s="22">
        <f t="shared" si="193"/>
        <v>0</v>
      </c>
      <c r="BA48" s="22"/>
      <c r="BB48" s="22"/>
      <c r="BC48" s="22"/>
    </row>
    <row r="49" spans="1:55">
      <c r="A49" s="260" t="s">
        <v>363</v>
      </c>
      <c r="B49" s="261" t="s">
        <v>14</v>
      </c>
      <c r="C49" s="262" t="s">
        <v>364</v>
      </c>
      <c r="D49" s="89" t="s">
        <v>427</v>
      </c>
      <c r="E49" s="89" t="s">
        <v>369</v>
      </c>
      <c r="F49" s="89" t="s">
        <v>427</v>
      </c>
      <c r="G49" s="89" t="s">
        <v>427</v>
      </c>
      <c r="H49" s="80"/>
      <c r="I49" s="37">
        <v>5</v>
      </c>
      <c r="J49" s="37">
        <v>32</v>
      </c>
      <c r="K49" s="37">
        <f>J49*$J$83</f>
        <v>0</v>
      </c>
      <c r="L49" s="31" t="s">
        <v>105</v>
      </c>
      <c r="M49" s="80" t="s">
        <v>343</v>
      </c>
      <c r="N49" s="81"/>
      <c r="O49" s="81" t="s">
        <v>107</v>
      </c>
      <c r="P49" s="81" t="s">
        <v>107</v>
      </c>
      <c r="Q49" s="81" t="s">
        <v>107</v>
      </c>
      <c r="R49" s="81"/>
      <c r="S49" s="81"/>
      <c r="T49" s="81"/>
      <c r="U49" s="81"/>
      <c r="V49" s="31" t="s">
        <v>108</v>
      </c>
      <c r="W49" s="31" t="s">
        <v>271</v>
      </c>
      <c r="X49" s="31"/>
      <c r="Y49" s="31"/>
      <c r="Z49" s="31"/>
      <c r="AB49" s="11">
        <f t="shared" si="0"/>
        <v>0</v>
      </c>
      <c r="AC49" s="11">
        <f t="shared" si="1"/>
        <v>0</v>
      </c>
      <c r="AD49" s="11">
        <f t="shared" si="2"/>
        <v>0</v>
      </c>
      <c r="AF49" s="11">
        <f t="shared" ref="AF49:AG49" si="194">SUMIFS(AH$3:AH$200,$A$3:$A$200,$A49)</f>
        <v>15</v>
      </c>
      <c r="AG49" s="11">
        <f t="shared" si="194"/>
        <v>15</v>
      </c>
      <c r="AH49" s="11">
        <f t="shared" si="4"/>
        <v>1</v>
      </c>
      <c r="AI49" s="22">
        <v>1</v>
      </c>
      <c r="AJ49" s="22"/>
      <c r="AK49" s="82">
        <f t="shared" ref="AK49:AL49" si="195">SUMIFS(AM$3:AM$200,$A$3:$A$200,$A49)</f>
        <v>15</v>
      </c>
      <c r="AL49" s="22">
        <f t="shared" si="195"/>
        <v>15</v>
      </c>
      <c r="AM49" s="22">
        <f t="shared" si="6"/>
        <v>1</v>
      </c>
      <c r="AN49" s="22">
        <v>1</v>
      </c>
      <c r="AO49" s="22"/>
      <c r="AP49" s="22">
        <f t="shared" si="7"/>
        <v>3</v>
      </c>
      <c r="AQ49" s="22">
        <f t="shared" ref="AQ49:AT49" si="196">IF(OR(E49="",E49="TBD",E49="N/A",E49="SDK",E49="SAAS"),0,1)</f>
        <v>1</v>
      </c>
      <c r="AR49" s="22">
        <f t="shared" si="196"/>
        <v>1</v>
      </c>
      <c r="AS49" s="22">
        <f t="shared" si="196"/>
        <v>1</v>
      </c>
      <c r="AT49" s="22">
        <f t="shared" si="196"/>
        <v>0</v>
      </c>
      <c r="AV49" s="82">
        <f t="shared" si="9"/>
        <v>3</v>
      </c>
      <c r="AW49" s="22">
        <f t="shared" ref="AW49:AZ49" si="197">IF(OR(E49="",E49="N/A",E49="SDK",E49="SAAS"),0,1)</f>
        <v>1</v>
      </c>
      <c r="AX49" s="22">
        <f t="shared" si="197"/>
        <v>1</v>
      </c>
      <c r="AY49" s="22">
        <f t="shared" si="197"/>
        <v>1</v>
      </c>
      <c r="AZ49" s="22">
        <f t="shared" si="197"/>
        <v>0</v>
      </c>
      <c r="BA49" s="22"/>
      <c r="BB49" s="22"/>
      <c r="BC49" s="22"/>
    </row>
    <row r="50" spans="1:55">
      <c r="A50" s="260" t="s">
        <v>428</v>
      </c>
      <c r="B50" s="261" t="s">
        <v>14</v>
      </c>
      <c r="C50" s="258" t="s">
        <v>429</v>
      </c>
      <c r="D50" s="80"/>
      <c r="E50" s="80"/>
      <c r="F50" s="80"/>
      <c r="G50" s="80"/>
      <c r="H50" s="80"/>
      <c r="I50" s="37" t="s">
        <v>362</v>
      </c>
      <c r="J50" s="37" t="s">
        <v>362</v>
      </c>
      <c r="K50" s="37" t="s">
        <v>362</v>
      </c>
      <c r="L50" s="31" t="s">
        <v>105</v>
      </c>
      <c r="M50" s="80" t="s">
        <v>343</v>
      </c>
      <c r="N50" s="81"/>
      <c r="O50" s="81" t="s">
        <v>107</v>
      </c>
      <c r="P50" s="81" t="s">
        <v>107</v>
      </c>
      <c r="Q50" s="81"/>
      <c r="R50" s="81"/>
      <c r="S50" s="81"/>
      <c r="T50" s="81"/>
      <c r="U50" s="81"/>
      <c r="V50" s="31" t="s">
        <v>108</v>
      </c>
      <c r="W50" s="31" t="s">
        <v>271</v>
      </c>
      <c r="X50" s="31"/>
      <c r="Y50" s="31"/>
      <c r="Z50" s="31"/>
      <c r="AB50" s="11">
        <f t="shared" si="0"/>
        <v>0</v>
      </c>
      <c r="AC50" s="11">
        <f t="shared" si="1"/>
        <v>1</v>
      </c>
      <c r="AD50" s="11">
        <f t="shared" si="2"/>
        <v>1</v>
      </c>
      <c r="AF50" s="11">
        <f t="shared" ref="AF50:AG50" si="198">SUMIFS(AH$3:AH$200,$A$3:$A$200,$A50)</f>
        <v>0</v>
      </c>
      <c r="AG50" s="11">
        <f t="shared" si="198"/>
        <v>1</v>
      </c>
      <c r="AH50" s="11">
        <f t="shared" si="4"/>
        <v>0</v>
      </c>
      <c r="AI50" s="22">
        <v>1</v>
      </c>
      <c r="AJ50" s="22"/>
      <c r="AK50" s="82">
        <f t="shared" ref="AK50:AL50" si="199">SUMIFS(AM$3:AM$200,$A$3:$A$200,$A50)</f>
        <v>1</v>
      </c>
      <c r="AL50" s="22">
        <f t="shared" si="199"/>
        <v>1</v>
      </c>
      <c r="AM50" s="22">
        <f t="shared" si="6"/>
        <v>1</v>
      </c>
      <c r="AN50" s="22">
        <v>1</v>
      </c>
      <c r="AO50" s="22"/>
      <c r="AP50" s="22">
        <f t="shared" si="7"/>
        <v>0</v>
      </c>
      <c r="AQ50" s="22">
        <f t="shared" ref="AQ50:AT50" si="200">IF(OR(E50="",E50="TBD",E50="N/A",E50="SDK",E50="SAAS"),0,1)</f>
        <v>0</v>
      </c>
      <c r="AR50" s="22">
        <f t="shared" si="200"/>
        <v>0</v>
      </c>
      <c r="AS50" s="22">
        <f t="shared" si="200"/>
        <v>0</v>
      </c>
      <c r="AT50" s="22">
        <f t="shared" si="200"/>
        <v>0</v>
      </c>
      <c r="AV50" s="82">
        <f t="shared" si="9"/>
        <v>0</v>
      </c>
      <c r="AW50" s="22">
        <f t="shared" ref="AW50:AZ50" si="201">IF(OR(E50="",E50="N/A",E50="SDK",E50="SAAS"),0,1)</f>
        <v>0</v>
      </c>
      <c r="AX50" s="22">
        <f t="shared" si="201"/>
        <v>0</v>
      </c>
      <c r="AY50" s="22">
        <f t="shared" si="201"/>
        <v>0</v>
      </c>
      <c r="AZ50" s="22">
        <f t="shared" si="201"/>
        <v>0</v>
      </c>
      <c r="BA50" s="22"/>
      <c r="BB50" s="22"/>
      <c r="BC50" s="22"/>
    </row>
    <row r="51" spans="1:55">
      <c r="A51" s="260" t="s">
        <v>430</v>
      </c>
      <c r="B51" s="261" t="s">
        <v>14</v>
      </c>
      <c r="C51" s="262" t="s">
        <v>431</v>
      </c>
      <c r="D51" s="80" t="s">
        <v>432</v>
      </c>
      <c r="E51" s="104" t="s">
        <v>432</v>
      </c>
      <c r="F51" s="80"/>
      <c r="G51" s="104" t="s">
        <v>432</v>
      </c>
      <c r="H51" s="80"/>
      <c r="I51" s="37" t="s">
        <v>362</v>
      </c>
      <c r="J51" s="37" t="s">
        <v>362</v>
      </c>
      <c r="K51" s="37" t="s">
        <v>362</v>
      </c>
      <c r="L51" s="31" t="s">
        <v>105</v>
      </c>
      <c r="M51" s="80" t="s">
        <v>343</v>
      </c>
      <c r="N51" s="81"/>
      <c r="O51" s="81" t="s">
        <v>107</v>
      </c>
      <c r="P51" s="81"/>
      <c r="Q51" s="81"/>
      <c r="R51" s="81"/>
      <c r="S51" s="81"/>
      <c r="T51" s="81"/>
      <c r="U51" s="81"/>
      <c r="V51" s="31" t="s">
        <v>108</v>
      </c>
      <c r="W51" s="31" t="s">
        <v>271</v>
      </c>
      <c r="X51" s="31"/>
      <c r="Y51" s="31"/>
      <c r="Z51" s="31"/>
      <c r="AB51" s="11">
        <f t="shared" si="0"/>
        <v>1</v>
      </c>
      <c r="AC51" s="11">
        <f t="shared" si="1"/>
        <v>1</v>
      </c>
      <c r="AD51" s="11">
        <f t="shared" si="2"/>
        <v>1</v>
      </c>
      <c r="AF51" s="11">
        <f t="shared" ref="AF51:AG51" si="202">SUMIFS(AH$3:AH$200,$A$3:$A$200,$A51)</f>
        <v>9</v>
      </c>
      <c r="AG51" s="11">
        <f t="shared" si="202"/>
        <v>9</v>
      </c>
      <c r="AH51" s="11">
        <f t="shared" si="4"/>
        <v>1</v>
      </c>
      <c r="AI51" s="22">
        <v>1</v>
      </c>
      <c r="AJ51" s="22"/>
      <c r="AK51" s="82">
        <f t="shared" ref="AK51:AL51" si="203">SUMIFS(AM$3:AM$200,$A$3:$A$200,$A51)</f>
        <v>9</v>
      </c>
      <c r="AL51" s="22">
        <f t="shared" si="203"/>
        <v>9</v>
      </c>
      <c r="AM51" s="22">
        <f t="shared" si="6"/>
        <v>1</v>
      </c>
      <c r="AN51" s="22">
        <v>1</v>
      </c>
      <c r="AO51" s="22"/>
      <c r="AP51" s="22">
        <f t="shared" si="7"/>
        <v>2</v>
      </c>
      <c r="AQ51" s="22">
        <f t="shared" ref="AQ51:AT51" si="204">IF(OR(E51="",E51="TBD",E51="N/A",E51="SDK",E51="SAAS"),0,1)</f>
        <v>1</v>
      </c>
      <c r="AR51" s="22">
        <f t="shared" si="204"/>
        <v>0</v>
      </c>
      <c r="AS51" s="22">
        <f t="shared" si="204"/>
        <v>1</v>
      </c>
      <c r="AT51" s="22">
        <f t="shared" si="204"/>
        <v>0</v>
      </c>
      <c r="AV51" s="82">
        <f t="shared" si="9"/>
        <v>2</v>
      </c>
      <c r="AW51" s="22">
        <f t="shared" ref="AW51:AZ51" si="205">IF(OR(E51="",E51="N/A",E51="SDK",E51="SAAS"),0,1)</f>
        <v>1</v>
      </c>
      <c r="AX51" s="22">
        <f t="shared" si="205"/>
        <v>0</v>
      </c>
      <c r="AY51" s="22">
        <f t="shared" si="205"/>
        <v>1</v>
      </c>
      <c r="AZ51" s="22">
        <f t="shared" si="205"/>
        <v>0</v>
      </c>
      <c r="BA51" s="22"/>
      <c r="BB51" s="22"/>
      <c r="BC51" s="22"/>
    </row>
    <row r="52" spans="1:55" collapsed="1">
      <c r="A52" s="260" t="s">
        <v>433</v>
      </c>
      <c r="B52" s="261" t="s">
        <v>14</v>
      </c>
      <c r="C52" s="259" t="s">
        <v>434</v>
      </c>
      <c r="D52" s="80"/>
      <c r="E52" s="80"/>
      <c r="F52" s="80"/>
      <c r="G52" s="80"/>
      <c r="H52" s="80"/>
      <c r="I52" s="37" t="s">
        <v>362</v>
      </c>
      <c r="J52" s="37" t="s">
        <v>362</v>
      </c>
      <c r="K52" s="37" t="s">
        <v>362</v>
      </c>
      <c r="L52" s="31" t="s">
        <v>105</v>
      </c>
      <c r="M52" s="80" t="s">
        <v>343</v>
      </c>
      <c r="N52" s="81"/>
      <c r="O52" s="81" t="s">
        <v>107</v>
      </c>
      <c r="P52" s="81"/>
      <c r="Q52" s="81"/>
      <c r="R52" s="81"/>
      <c r="S52" s="81"/>
      <c r="T52" s="81"/>
      <c r="U52" s="81"/>
      <c r="V52" s="31" t="s">
        <v>108</v>
      </c>
      <c r="W52" s="31" t="s">
        <v>109</v>
      </c>
      <c r="X52" s="31"/>
      <c r="Y52" s="31"/>
      <c r="Z52" s="31"/>
      <c r="AB52" s="11">
        <f t="shared" si="0"/>
        <v>0</v>
      </c>
      <c r="AC52" s="11">
        <f t="shared" si="1"/>
        <v>1</v>
      </c>
      <c r="AD52" s="11">
        <f t="shared" si="2"/>
        <v>1</v>
      </c>
      <c r="AF52" s="11">
        <f t="shared" ref="AF52:AG52" si="206">SUMIFS(AH$3:AH$200,$A$3:$A$200,$A52)</f>
        <v>0</v>
      </c>
      <c r="AG52" s="11">
        <f t="shared" si="206"/>
        <v>1</v>
      </c>
      <c r="AH52" s="11">
        <f t="shared" si="4"/>
        <v>0</v>
      </c>
      <c r="AI52" s="22">
        <v>1</v>
      </c>
      <c r="AJ52" s="22"/>
      <c r="AK52" s="82">
        <f t="shared" ref="AK52:AL52" si="207">SUMIFS(AM$3:AM$200,$A$3:$A$200,$A52)</f>
        <v>1</v>
      </c>
      <c r="AL52" s="22">
        <f t="shared" si="207"/>
        <v>1</v>
      </c>
      <c r="AM52" s="22">
        <f t="shared" si="6"/>
        <v>1</v>
      </c>
      <c r="AN52" s="22">
        <v>1</v>
      </c>
      <c r="AO52" s="22"/>
      <c r="AP52" s="22">
        <f t="shared" si="7"/>
        <v>0</v>
      </c>
      <c r="AQ52" s="22">
        <f t="shared" ref="AQ52:AT52" si="208">IF(OR(E52="",E52="TBD",E52="N/A",E52="SDK",E52="SAAS"),0,1)</f>
        <v>0</v>
      </c>
      <c r="AR52" s="22">
        <f t="shared" si="208"/>
        <v>0</v>
      </c>
      <c r="AS52" s="22">
        <f t="shared" si="208"/>
        <v>0</v>
      </c>
      <c r="AT52" s="22">
        <f t="shared" si="208"/>
        <v>0</v>
      </c>
      <c r="AV52" s="82">
        <f t="shared" si="9"/>
        <v>0</v>
      </c>
      <c r="AW52" s="22">
        <f t="shared" ref="AW52:AZ52" si="209">IF(OR(E52="",E52="N/A",E52="SDK",E52="SAAS"),0,1)</f>
        <v>0</v>
      </c>
      <c r="AX52" s="22">
        <f t="shared" si="209"/>
        <v>0</v>
      </c>
      <c r="AY52" s="22">
        <f t="shared" si="209"/>
        <v>0</v>
      </c>
      <c r="AZ52" s="22">
        <f t="shared" si="209"/>
        <v>0</v>
      </c>
      <c r="BA52" s="22"/>
      <c r="BB52" s="22"/>
      <c r="BC52" s="22"/>
    </row>
    <row r="53" spans="1:55" hidden="1" outlineLevel="1">
      <c r="A53" s="260" t="s">
        <v>430</v>
      </c>
      <c r="B53" s="261" t="s">
        <v>14</v>
      </c>
      <c r="C53" s="263" t="s">
        <v>431</v>
      </c>
      <c r="D53" s="80" t="s">
        <v>391</v>
      </c>
      <c r="E53" s="80" t="s">
        <v>435</v>
      </c>
      <c r="F53" s="80"/>
      <c r="G53" s="80" t="s">
        <v>436</v>
      </c>
      <c r="H53" s="80"/>
      <c r="I53" s="37"/>
      <c r="J53" s="37"/>
      <c r="K53" s="37"/>
      <c r="L53" s="31" t="s">
        <v>105</v>
      </c>
      <c r="M53" s="80" t="s">
        <v>343</v>
      </c>
      <c r="N53" s="81"/>
      <c r="O53" s="81" t="s">
        <v>107</v>
      </c>
      <c r="P53" s="81"/>
      <c r="Q53" s="81"/>
      <c r="R53" s="81"/>
      <c r="S53" s="81"/>
      <c r="T53" s="81"/>
      <c r="U53" s="81"/>
      <c r="V53" s="31" t="s">
        <v>108</v>
      </c>
      <c r="W53" s="31" t="s">
        <v>271</v>
      </c>
      <c r="X53" s="31"/>
      <c r="Y53" s="31"/>
      <c r="Z53" s="31"/>
      <c r="AB53" s="11">
        <f t="shared" si="0"/>
        <v>0</v>
      </c>
      <c r="AC53" s="11">
        <f t="shared" si="1"/>
        <v>0</v>
      </c>
      <c r="AD53" s="11">
        <f t="shared" si="2"/>
        <v>0</v>
      </c>
      <c r="AF53" s="11">
        <f t="shared" ref="AF53:AG53" si="210">SUMIFS(AH$3:AH$200,$A$3:$A$200,$A53)</f>
        <v>9</v>
      </c>
      <c r="AG53" s="11">
        <f t="shared" si="210"/>
        <v>9</v>
      </c>
      <c r="AH53" s="11">
        <f t="shared" si="4"/>
        <v>1</v>
      </c>
      <c r="AI53" s="22">
        <v>1</v>
      </c>
      <c r="AJ53" s="22"/>
      <c r="AK53" s="82">
        <f t="shared" ref="AK53:AL53" si="211">SUMIFS(AM$3:AM$200,$A$3:$A$200,$A53)</f>
        <v>9</v>
      </c>
      <c r="AL53" s="22">
        <f t="shared" si="211"/>
        <v>9</v>
      </c>
      <c r="AM53" s="22">
        <f t="shared" si="6"/>
        <v>1</v>
      </c>
      <c r="AN53" s="22">
        <v>1</v>
      </c>
      <c r="AO53" s="22"/>
      <c r="AP53" s="22">
        <f t="shared" si="7"/>
        <v>2</v>
      </c>
      <c r="AQ53" s="22">
        <f t="shared" ref="AQ53:AT53" si="212">IF(OR(E53="",E53="TBD",E53="N/A",E53="SDK",E53="SAAS"),0,1)</f>
        <v>1</v>
      </c>
      <c r="AR53" s="22">
        <f t="shared" si="212"/>
        <v>0</v>
      </c>
      <c r="AS53" s="22">
        <f t="shared" si="212"/>
        <v>1</v>
      </c>
      <c r="AT53" s="22">
        <f t="shared" si="212"/>
        <v>0</v>
      </c>
      <c r="AV53" s="82">
        <f t="shared" si="9"/>
        <v>2</v>
      </c>
      <c r="AW53" s="22">
        <f t="shared" ref="AW53:AZ53" si="213">IF(OR(E53="",E53="N/A",E53="SDK",E53="SAAS"),0,1)</f>
        <v>1</v>
      </c>
      <c r="AX53" s="22">
        <f t="shared" si="213"/>
        <v>0</v>
      </c>
      <c r="AY53" s="22">
        <f t="shared" si="213"/>
        <v>1</v>
      </c>
      <c r="AZ53" s="22">
        <f t="shared" si="213"/>
        <v>0</v>
      </c>
      <c r="BA53" s="22"/>
      <c r="BB53" s="22"/>
      <c r="BC53" s="22"/>
    </row>
    <row r="54" spans="1:55" hidden="1" outlineLevel="1">
      <c r="A54" s="260" t="s">
        <v>430</v>
      </c>
      <c r="B54" s="261" t="s">
        <v>14</v>
      </c>
      <c r="C54" s="263" t="s">
        <v>431</v>
      </c>
      <c r="D54" s="80" t="s">
        <v>437</v>
      </c>
      <c r="E54" s="80" t="s">
        <v>438</v>
      </c>
      <c r="F54" s="80"/>
      <c r="G54" s="80" t="s">
        <v>439</v>
      </c>
      <c r="H54" s="80"/>
      <c r="I54" s="37"/>
      <c r="J54" s="37"/>
      <c r="K54" s="37"/>
      <c r="L54" s="31" t="s">
        <v>105</v>
      </c>
      <c r="M54" s="80" t="s">
        <v>343</v>
      </c>
      <c r="N54" s="81"/>
      <c r="O54" s="81" t="s">
        <v>107</v>
      </c>
      <c r="P54" s="81"/>
      <c r="Q54" s="81"/>
      <c r="R54" s="81"/>
      <c r="S54" s="81"/>
      <c r="T54" s="81"/>
      <c r="U54" s="81"/>
      <c r="V54" s="31" t="s">
        <v>108</v>
      </c>
      <c r="W54" s="31" t="s">
        <v>271</v>
      </c>
      <c r="X54" s="31"/>
      <c r="Y54" s="31"/>
      <c r="Z54" s="31"/>
      <c r="AB54" s="11">
        <f t="shared" si="0"/>
        <v>0</v>
      </c>
      <c r="AC54" s="11">
        <f t="shared" si="1"/>
        <v>0</v>
      </c>
      <c r="AD54" s="11">
        <f t="shared" si="2"/>
        <v>0</v>
      </c>
      <c r="AF54" s="11">
        <f t="shared" ref="AF54:AG54" si="214">SUMIFS(AH$3:AH$200,$A$3:$A$200,$A54)</f>
        <v>9</v>
      </c>
      <c r="AG54" s="11">
        <f t="shared" si="214"/>
        <v>9</v>
      </c>
      <c r="AH54" s="11">
        <f t="shared" si="4"/>
        <v>1</v>
      </c>
      <c r="AI54" s="22">
        <v>1</v>
      </c>
      <c r="AJ54" s="22"/>
      <c r="AK54" s="82">
        <f t="shared" ref="AK54:AL54" si="215">SUMIFS(AM$3:AM$200,$A$3:$A$200,$A54)</f>
        <v>9</v>
      </c>
      <c r="AL54" s="22">
        <f t="shared" si="215"/>
        <v>9</v>
      </c>
      <c r="AM54" s="22">
        <f t="shared" si="6"/>
        <v>1</v>
      </c>
      <c r="AN54" s="22">
        <v>1</v>
      </c>
      <c r="AO54" s="22"/>
      <c r="AP54" s="22">
        <f t="shared" si="7"/>
        <v>2</v>
      </c>
      <c r="AQ54" s="22">
        <f t="shared" ref="AQ54:AT54" si="216">IF(OR(E54="",E54="TBD",E54="N/A",E54="SDK",E54="SAAS"),0,1)</f>
        <v>1</v>
      </c>
      <c r="AR54" s="22">
        <f t="shared" si="216"/>
        <v>0</v>
      </c>
      <c r="AS54" s="22">
        <f t="shared" si="216"/>
        <v>1</v>
      </c>
      <c r="AT54" s="22">
        <f t="shared" si="216"/>
        <v>0</v>
      </c>
      <c r="AV54" s="82">
        <f t="shared" si="9"/>
        <v>2</v>
      </c>
      <c r="AW54" s="22">
        <f t="shared" ref="AW54:AZ54" si="217">IF(OR(E54="",E54="N/A",E54="SDK",E54="SAAS"),0,1)</f>
        <v>1</v>
      </c>
      <c r="AX54" s="22">
        <f t="shared" si="217"/>
        <v>0</v>
      </c>
      <c r="AY54" s="22">
        <f t="shared" si="217"/>
        <v>1</v>
      </c>
      <c r="AZ54" s="22">
        <f t="shared" si="217"/>
        <v>0</v>
      </c>
      <c r="BA54" s="22"/>
      <c r="BB54" s="22"/>
      <c r="BC54" s="22"/>
    </row>
    <row r="55" spans="1:55" hidden="1" outlineLevel="1">
      <c r="A55" s="260" t="s">
        <v>430</v>
      </c>
      <c r="B55" s="261" t="s">
        <v>14</v>
      </c>
      <c r="C55" s="263" t="s">
        <v>431</v>
      </c>
      <c r="D55" s="80" t="s">
        <v>440</v>
      </c>
      <c r="E55" s="104" t="s">
        <v>391</v>
      </c>
      <c r="F55" s="80"/>
      <c r="G55" s="104" t="s">
        <v>391</v>
      </c>
      <c r="H55" s="80"/>
      <c r="I55" s="37"/>
      <c r="J55" s="37"/>
      <c r="K55" s="37"/>
      <c r="L55" s="31" t="s">
        <v>105</v>
      </c>
      <c r="M55" s="80" t="s">
        <v>343</v>
      </c>
      <c r="N55" s="81"/>
      <c r="O55" s="81" t="s">
        <v>107</v>
      </c>
      <c r="P55" s="81"/>
      <c r="Q55" s="81"/>
      <c r="R55" s="81"/>
      <c r="S55" s="81"/>
      <c r="T55" s="81"/>
      <c r="U55" s="81"/>
      <c r="V55" s="31" t="s">
        <v>108</v>
      </c>
      <c r="W55" s="31" t="s">
        <v>271</v>
      </c>
      <c r="X55" s="31"/>
      <c r="Y55" s="31"/>
      <c r="Z55" s="31"/>
      <c r="AB55" s="11">
        <f t="shared" si="0"/>
        <v>0</v>
      </c>
      <c r="AC55" s="11">
        <f t="shared" si="1"/>
        <v>0</v>
      </c>
      <c r="AD55" s="11">
        <f t="shared" si="2"/>
        <v>0</v>
      </c>
      <c r="AF55" s="11">
        <f t="shared" ref="AF55:AG55" si="218">SUMIFS(AH$3:AH$200,$A$3:$A$200,$A55)</f>
        <v>9</v>
      </c>
      <c r="AG55" s="11">
        <f t="shared" si="218"/>
        <v>9</v>
      </c>
      <c r="AH55" s="11">
        <f t="shared" si="4"/>
        <v>1</v>
      </c>
      <c r="AI55" s="22">
        <v>1</v>
      </c>
      <c r="AJ55" s="22"/>
      <c r="AK55" s="82">
        <f t="shared" ref="AK55:AL55" si="219">SUMIFS(AM$3:AM$200,$A$3:$A$200,$A55)</f>
        <v>9</v>
      </c>
      <c r="AL55" s="22">
        <f t="shared" si="219"/>
        <v>9</v>
      </c>
      <c r="AM55" s="22">
        <f t="shared" si="6"/>
        <v>1</v>
      </c>
      <c r="AN55" s="22">
        <v>1</v>
      </c>
      <c r="AO55" s="22"/>
      <c r="AP55" s="22">
        <f t="shared" si="7"/>
        <v>2</v>
      </c>
      <c r="AQ55" s="22">
        <f t="shared" ref="AQ55:AT55" si="220">IF(OR(E55="",E55="TBD",E55="N/A",E55="SDK",E55="SAAS"),0,1)</f>
        <v>1</v>
      </c>
      <c r="AR55" s="22">
        <f t="shared" si="220"/>
        <v>0</v>
      </c>
      <c r="AS55" s="22">
        <f t="shared" si="220"/>
        <v>1</v>
      </c>
      <c r="AT55" s="22">
        <f t="shared" si="220"/>
        <v>0</v>
      </c>
      <c r="AV55" s="82">
        <f t="shared" si="9"/>
        <v>2</v>
      </c>
      <c r="AW55" s="22">
        <f t="shared" ref="AW55:AZ55" si="221">IF(OR(E55="",E55="N/A",E55="SDK",E55="SAAS"),0,1)</f>
        <v>1</v>
      </c>
      <c r="AX55" s="22">
        <f t="shared" si="221"/>
        <v>0</v>
      </c>
      <c r="AY55" s="22">
        <f t="shared" si="221"/>
        <v>1</v>
      </c>
      <c r="AZ55" s="22">
        <f t="shared" si="221"/>
        <v>0</v>
      </c>
      <c r="BA55" s="22"/>
      <c r="BB55" s="22"/>
      <c r="BC55" s="22"/>
    </row>
    <row r="56" spans="1:55" hidden="1" outlineLevel="1">
      <c r="A56" s="260" t="s">
        <v>430</v>
      </c>
      <c r="B56" s="261" t="s">
        <v>14</v>
      </c>
      <c r="C56" s="263" t="s">
        <v>431</v>
      </c>
      <c r="D56" s="80"/>
      <c r="E56" s="80" t="s">
        <v>441</v>
      </c>
      <c r="F56" s="80"/>
      <c r="G56" s="80" t="s">
        <v>441</v>
      </c>
      <c r="H56" s="80"/>
      <c r="I56" s="37"/>
      <c r="J56" s="37"/>
      <c r="K56" s="37"/>
      <c r="L56" s="31" t="s">
        <v>105</v>
      </c>
      <c r="M56" s="80" t="s">
        <v>343</v>
      </c>
      <c r="N56" s="81"/>
      <c r="O56" s="81" t="s">
        <v>107</v>
      </c>
      <c r="P56" s="81"/>
      <c r="Q56" s="81"/>
      <c r="R56" s="81"/>
      <c r="S56" s="81"/>
      <c r="T56" s="81"/>
      <c r="U56" s="81"/>
      <c r="V56" s="31" t="s">
        <v>108</v>
      </c>
      <c r="W56" s="31" t="s">
        <v>271</v>
      </c>
      <c r="X56" s="31"/>
      <c r="Y56" s="31"/>
      <c r="Z56" s="31"/>
      <c r="AB56" s="11">
        <f t="shared" si="0"/>
        <v>0</v>
      </c>
      <c r="AC56" s="11">
        <f t="shared" si="1"/>
        <v>0</v>
      </c>
      <c r="AD56" s="11">
        <f t="shared" si="2"/>
        <v>0</v>
      </c>
      <c r="AF56" s="11">
        <f t="shared" ref="AF56:AG56" si="222">SUMIFS(AH$3:AH$200,$A$3:$A$200,$A56)</f>
        <v>9</v>
      </c>
      <c r="AG56" s="11">
        <f t="shared" si="222"/>
        <v>9</v>
      </c>
      <c r="AH56" s="11">
        <f t="shared" si="4"/>
        <v>1</v>
      </c>
      <c r="AI56" s="22">
        <v>1</v>
      </c>
      <c r="AJ56" s="22"/>
      <c r="AK56" s="82">
        <f t="shared" ref="AK56:AL56" si="223">SUMIFS(AM$3:AM$200,$A$3:$A$200,$A56)</f>
        <v>9</v>
      </c>
      <c r="AL56" s="22">
        <f t="shared" si="223"/>
        <v>9</v>
      </c>
      <c r="AM56" s="22">
        <f t="shared" si="6"/>
        <v>1</v>
      </c>
      <c r="AN56" s="22">
        <v>1</v>
      </c>
      <c r="AO56" s="22"/>
      <c r="AP56" s="22">
        <f t="shared" si="7"/>
        <v>2</v>
      </c>
      <c r="AQ56" s="22">
        <f t="shared" ref="AQ56:AT56" si="224">IF(OR(E56="",E56="TBD",E56="N/A",E56="SDK",E56="SAAS"),0,1)</f>
        <v>1</v>
      </c>
      <c r="AR56" s="22">
        <f t="shared" si="224"/>
        <v>0</v>
      </c>
      <c r="AS56" s="22">
        <f t="shared" si="224"/>
        <v>1</v>
      </c>
      <c r="AT56" s="22">
        <f t="shared" si="224"/>
        <v>0</v>
      </c>
      <c r="AV56" s="82">
        <f t="shared" si="9"/>
        <v>2</v>
      </c>
      <c r="AW56" s="22">
        <f t="shared" ref="AW56:AZ56" si="225">IF(OR(E56="",E56="N/A",E56="SDK",E56="SAAS"),0,1)</f>
        <v>1</v>
      </c>
      <c r="AX56" s="22">
        <f t="shared" si="225"/>
        <v>0</v>
      </c>
      <c r="AY56" s="22">
        <f t="shared" si="225"/>
        <v>1</v>
      </c>
      <c r="AZ56" s="22">
        <f t="shared" si="225"/>
        <v>0</v>
      </c>
      <c r="BA56" s="22"/>
      <c r="BB56" s="22"/>
      <c r="BC56" s="22"/>
    </row>
    <row r="57" spans="1:55" hidden="1" outlineLevel="1">
      <c r="A57" s="260" t="s">
        <v>430</v>
      </c>
      <c r="B57" s="261" t="s">
        <v>14</v>
      </c>
      <c r="C57" s="263" t="s">
        <v>431</v>
      </c>
      <c r="D57" s="80"/>
      <c r="E57" s="104" t="s">
        <v>437</v>
      </c>
      <c r="F57" s="80"/>
      <c r="G57" s="104" t="s">
        <v>437</v>
      </c>
      <c r="H57" s="80"/>
      <c r="I57" s="37"/>
      <c r="J57" s="37"/>
      <c r="K57" s="37"/>
      <c r="L57" s="31" t="s">
        <v>105</v>
      </c>
      <c r="M57" s="80" t="s">
        <v>343</v>
      </c>
      <c r="N57" s="81"/>
      <c r="O57" s="81" t="s">
        <v>107</v>
      </c>
      <c r="P57" s="81"/>
      <c r="Q57" s="81"/>
      <c r="R57" s="81"/>
      <c r="S57" s="81"/>
      <c r="T57" s="81"/>
      <c r="U57" s="81"/>
      <c r="V57" s="31" t="s">
        <v>108</v>
      </c>
      <c r="W57" s="31" t="s">
        <v>271</v>
      </c>
      <c r="X57" s="31"/>
      <c r="Y57" s="31"/>
      <c r="Z57" s="31"/>
      <c r="AB57" s="11">
        <f t="shared" si="0"/>
        <v>0</v>
      </c>
      <c r="AC57" s="11">
        <f t="shared" si="1"/>
        <v>0</v>
      </c>
      <c r="AD57" s="11">
        <f t="shared" si="2"/>
        <v>0</v>
      </c>
      <c r="AF57" s="11">
        <f t="shared" ref="AF57:AG57" si="226">SUMIFS(AH$3:AH$200,$A$3:$A$200,$A57)</f>
        <v>9</v>
      </c>
      <c r="AG57" s="11">
        <f t="shared" si="226"/>
        <v>9</v>
      </c>
      <c r="AH57" s="11">
        <f t="shared" si="4"/>
        <v>1</v>
      </c>
      <c r="AI57" s="22">
        <v>1</v>
      </c>
      <c r="AJ57" s="22"/>
      <c r="AK57" s="82">
        <f t="shared" ref="AK57:AL57" si="227">SUMIFS(AM$3:AM$200,$A$3:$A$200,$A57)</f>
        <v>9</v>
      </c>
      <c r="AL57" s="22">
        <f t="shared" si="227"/>
        <v>9</v>
      </c>
      <c r="AM57" s="22">
        <f t="shared" si="6"/>
        <v>1</v>
      </c>
      <c r="AN57" s="22">
        <v>1</v>
      </c>
      <c r="AO57" s="22"/>
      <c r="AP57" s="22">
        <f t="shared" si="7"/>
        <v>2</v>
      </c>
      <c r="AQ57" s="22">
        <f t="shared" ref="AQ57:AT57" si="228">IF(OR(E57="",E57="TBD",E57="N/A",E57="SDK",E57="SAAS"),0,1)</f>
        <v>1</v>
      </c>
      <c r="AR57" s="22">
        <f t="shared" si="228"/>
        <v>0</v>
      </c>
      <c r="AS57" s="22">
        <f t="shared" si="228"/>
        <v>1</v>
      </c>
      <c r="AT57" s="22">
        <f t="shared" si="228"/>
        <v>0</v>
      </c>
      <c r="AV57" s="82">
        <f t="shared" si="9"/>
        <v>2</v>
      </c>
      <c r="AW57" s="22">
        <f t="shared" ref="AW57:AZ57" si="229">IF(OR(E57="",E57="N/A",E57="SDK",E57="SAAS"),0,1)</f>
        <v>1</v>
      </c>
      <c r="AX57" s="22">
        <f t="shared" si="229"/>
        <v>0</v>
      </c>
      <c r="AY57" s="22">
        <f t="shared" si="229"/>
        <v>1</v>
      </c>
      <c r="AZ57" s="22">
        <f t="shared" si="229"/>
        <v>0</v>
      </c>
      <c r="BA57" s="22"/>
      <c r="BB57" s="22"/>
      <c r="BC57" s="22"/>
    </row>
    <row r="58" spans="1:55" hidden="1" outlineLevel="1">
      <c r="A58" s="260" t="s">
        <v>430</v>
      </c>
      <c r="B58" s="261" t="s">
        <v>14</v>
      </c>
      <c r="C58" s="263" t="s">
        <v>431</v>
      </c>
      <c r="D58" s="80"/>
      <c r="E58" s="80" t="s">
        <v>442</v>
      </c>
      <c r="F58" s="80"/>
      <c r="G58" s="80" t="s">
        <v>443</v>
      </c>
      <c r="H58" s="80"/>
      <c r="I58" s="37"/>
      <c r="J58" s="37"/>
      <c r="K58" s="37"/>
      <c r="L58" s="31" t="s">
        <v>105</v>
      </c>
      <c r="M58" s="80" t="s">
        <v>343</v>
      </c>
      <c r="N58" s="81"/>
      <c r="O58" s="81" t="s">
        <v>107</v>
      </c>
      <c r="P58" s="81"/>
      <c r="Q58" s="81"/>
      <c r="R58" s="81"/>
      <c r="S58" s="81"/>
      <c r="T58" s="81"/>
      <c r="U58" s="81"/>
      <c r="V58" s="31" t="s">
        <v>108</v>
      </c>
      <c r="W58" s="31" t="s">
        <v>271</v>
      </c>
      <c r="X58" s="31"/>
      <c r="Y58" s="31"/>
      <c r="Z58" s="31"/>
      <c r="AB58" s="11">
        <f t="shared" si="0"/>
        <v>0</v>
      </c>
      <c r="AC58" s="11">
        <f t="shared" si="1"/>
        <v>0</v>
      </c>
      <c r="AD58" s="11">
        <f t="shared" si="2"/>
        <v>0</v>
      </c>
      <c r="AF58" s="11">
        <f t="shared" ref="AF58:AG58" si="230">SUMIFS(AH$3:AH$200,$A$3:$A$200,$A58)</f>
        <v>9</v>
      </c>
      <c r="AG58" s="11">
        <f t="shared" si="230"/>
        <v>9</v>
      </c>
      <c r="AH58" s="11">
        <f t="shared" si="4"/>
        <v>1</v>
      </c>
      <c r="AI58" s="22">
        <v>1</v>
      </c>
      <c r="AJ58" s="22"/>
      <c r="AK58" s="82">
        <f t="shared" ref="AK58:AL58" si="231">SUMIFS(AM$3:AM$200,$A$3:$A$200,$A58)</f>
        <v>9</v>
      </c>
      <c r="AL58" s="22">
        <f t="shared" si="231"/>
        <v>9</v>
      </c>
      <c r="AM58" s="22">
        <f t="shared" si="6"/>
        <v>1</v>
      </c>
      <c r="AN58" s="22">
        <v>1</v>
      </c>
      <c r="AO58" s="22"/>
      <c r="AP58" s="22">
        <f t="shared" si="7"/>
        <v>2</v>
      </c>
      <c r="AQ58" s="22">
        <f t="shared" ref="AQ58:AT58" si="232">IF(OR(E58="",E58="TBD",E58="N/A",E58="SDK",E58="SAAS"),0,1)</f>
        <v>1</v>
      </c>
      <c r="AR58" s="22">
        <f t="shared" si="232"/>
        <v>0</v>
      </c>
      <c r="AS58" s="22">
        <f t="shared" si="232"/>
        <v>1</v>
      </c>
      <c r="AT58" s="22">
        <f t="shared" si="232"/>
        <v>0</v>
      </c>
      <c r="AV58" s="82">
        <f t="shared" si="9"/>
        <v>2</v>
      </c>
      <c r="AW58" s="22">
        <f t="shared" ref="AW58:AZ58" si="233">IF(OR(E58="",E58="N/A",E58="SDK",E58="SAAS"),0,1)</f>
        <v>1</v>
      </c>
      <c r="AX58" s="22">
        <f t="shared" si="233"/>
        <v>0</v>
      </c>
      <c r="AY58" s="22">
        <f t="shared" si="233"/>
        <v>1</v>
      </c>
      <c r="AZ58" s="22">
        <f t="shared" si="233"/>
        <v>0</v>
      </c>
      <c r="BA58" s="22"/>
      <c r="BB58" s="22"/>
      <c r="BC58" s="22"/>
    </row>
    <row r="59" spans="1:55" hidden="1" outlineLevel="1">
      <c r="A59" s="260" t="s">
        <v>430</v>
      </c>
      <c r="B59" s="261" t="s">
        <v>14</v>
      </c>
      <c r="C59" s="263" t="s">
        <v>431</v>
      </c>
      <c r="D59" s="80"/>
      <c r="E59" s="104" t="s">
        <v>440</v>
      </c>
      <c r="F59" s="80"/>
      <c r="G59" s="104" t="s">
        <v>440</v>
      </c>
      <c r="H59" s="80"/>
      <c r="I59" s="37"/>
      <c r="J59" s="37"/>
      <c r="K59" s="37"/>
      <c r="L59" s="31" t="s">
        <v>105</v>
      </c>
      <c r="M59" s="80" t="s">
        <v>343</v>
      </c>
      <c r="N59" s="81"/>
      <c r="O59" s="81" t="s">
        <v>107</v>
      </c>
      <c r="P59" s="81"/>
      <c r="Q59" s="81"/>
      <c r="R59" s="81"/>
      <c r="S59" s="81"/>
      <c r="T59" s="81"/>
      <c r="U59" s="81"/>
      <c r="V59" s="31" t="s">
        <v>108</v>
      </c>
      <c r="W59" s="31" t="s">
        <v>271</v>
      </c>
      <c r="X59" s="31"/>
      <c r="Y59" s="31"/>
      <c r="Z59" s="31"/>
      <c r="AB59" s="11">
        <f t="shared" si="0"/>
        <v>0</v>
      </c>
      <c r="AC59" s="11">
        <f t="shared" si="1"/>
        <v>0</v>
      </c>
      <c r="AD59" s="11">
        <f t="shared" si="2"/>
        <v>0</v>
      </c>
      <c r="AF59" s="11">
        <f t="shared" ref="AF59:AG59" si="234">SUMIFS(AH$3:AH$200,$A$3:$A$200,$A59)</f>
        <v>9</v>
      </c>
      <c r="AG59" s="11">
        <f t="shared" si="234"/>
        <v>9</v>
      </c>
      <c r="AH59" s="11">
        <f t="shared" si="4"/>
        <v>1</v>
      </c>
      <c r="AI59" s="22">
        <v>1</v>
      </c>
      <c r="AJ59" s="22"/>
      <c r="AK59" s="82">
        <f t="shared" ref="AK59:AL59" si="235">SUMIFS(AM$3:AM$200,$A$3:$A$200,$A59)</f>
        <v>9</v>
      </c>
      <c r="AL59" s="22">
        <f t="shared" si="235"/>
        <v>9</v>
      </c>
      <c r="AM59" s="22">
        <f t="shared" si="6"/>
        <v>1</v>
      </c>
      <c r="AN59" s="22">
        <v>1</v>
      </c>
      <c r="AO59" s="22"/>
      <c r="AP59" s="22">
        <f t="shared" si="7"/>
        <v>2</v>
      </c>
      <c r="AQ59" s="22">
        <f t="shared" ref="AQ59:AT59" si="236">IF(OR(E59="",E59="TBD",E59="N/A",E59="SDK",E59="SAAS"),0,1)</f>
        <v>1</v>
      </c>
      <c r="AR59" s="22">
        <f t="shared" si="236"/>
        <v>0</v>
      </c>
      <c r="AS59" s="22">
        <f t="shared" si="236"/>
        <v>1</v>
      </c>
      <c r="AT59" s="22">
        <f t="shared" si="236"/>
        <v>0</v>
      </c>
      <c r="AV59" s="82">
        <f t="shared" si="9"/>
        <v>2</v>
      </c>
      <c r="AW59" s="22">
        <f t="shared" ref="AW59:AZ59" si="237">IF(OR(E59="",E59="N/A",E59="SDK",E59="SAAS"),0,1)</f>
        <v>1</v>
      </c>
      <c r="AX59" s="22">
        <f t="shared" si="237"/>
        <v>0</v>
      </c>
      <c r="AY59" s="22">
        <f t="shared" si="237"/>
        <v>1</v>
      </c>
      <c r="AZ59" s="22">
        <f t="shared" si="237"/>
        <v>0</v>
      </c>
      <c r="BA59" s="22"/>
      <c r="BB59" s="22"/>
      <c r="BC59" s="22"/>
    </row>
    <row r="60" spans="1:55" hidden="1" outlineLevel="1">
      <c r="A60" s="260" t="s">
        <v>430</v>
      </c>
      <c r="B60" s="261" t="s">
        <v>14</v>
      </c>
      <c r="C60" s="263" t="s">
        <v>431</v>
      </c>
      <c r="D60" s="80"/>
      <c r="E60" s="80" t="s">
        <v>444</v>
      </c>
      <c r="F60" s="80"/>
      <c r="G60" s="80" t="s">
        <v>445</v>
      </c>
      <c r="H60" s="80"/>
      <c r="I60" s="37"/>
      <c r="J60" s="37"/>
      <c r="K60" s="37"/>
      <c r="L60" s="31" t="s">
        <v>105</v>
      </c>
      <c r="M60" s="80" t="s">
        <v>343</v>
      </c>
      <c r="N60" s="81"/>
      <c r="O60" s="81" t="s">
        <v>107</v>
      </c>
      <c r="P60" s="81"/>
      <c r="Q60" s="81"/>
      <c r="R60" s="81"/>
      <c r="S60" s="81"/>
      <c r="T60" s="81"/>
      <c r="U60" s="81"/>
      <c r="V60" s="31" t="s">
        <v>108</v>
      </c>
      <c r="W60" s="31" t="s">
        <v>271</v>
      </c>
      <c r="X60" s="31"/>
      <c r="Y60" s="31"/>
      <c r="Z60" s="31"/>
      <c r="AB60" s="11">
        <f t="shared" si="0"/>
        <v>0</v>
      </c>
      <c r="AC60" s="11">
        <f t="shared" si="1"/>
        <v>0</v>
      </c>
      <c r="AD60" s="11">
        <f t="shared" si="2"/>
        <v>0</v>
      </c>
      <c r="AF60" s="11">
        <f t="shared" ref="AF60:AG60" si="238">SUMIFS(AH$3:AH$200,$A$3:$A$200,$A60)</f>
        <v>9</v>
      </c>
      <c r="AG60" s="11">
        <f t="shared" si="238"/>
        <v>9</v>
      </c>
      <c r="AH60" s="11">
        <f t="shared" si="4"/>
        <v>1</v>
      </c>
      <c r="AI60" s="22">
        <v>1</v>
      </c>
      <c r="AJ60" s="22"/>
      <c r="AK60" s="82">
        <f t="shared" ref="AK60:AL60" si="239">SUMIFS(AM$3:AM$200,$A$3:$A$200,$A60)</f>
        <v>9</v>
      </c>
      <c r="AL60" s="22">
        <f t="shared" si="239"/>
        <v>9</v>
      </c>
      <c r="AM60" s="22">
        <f t="shared" si="6"/>
        <v>1</v>
      </c>
      <c r="AN60" s="22">
        <v>1</v>
      </c>
      <c r="AO60" s="22"/>
      <c r="AP60" s="22">
        <f t="shared" si="7"/>
        <v>2</v>
      </c>
      <c r="AQ60" s="22">
        <f t="shared" ref="AQ60:AT60" si="240">IF(OR(E60="",E60="TBD",E60="N/A",E60="SDK",E60="SAAS"),0,1)</f>
        <v>1</v>
      </c>
      <c r="AR60" s="22">
        <f t="shared" si="240"/>
        <v>0</v>
      </c>
      <c r="AS60" s="22">
        <f t="shared" si="240"/>
        <v>1</v>
      </c>
      <c r="AT60" s="22">
        <f t="shared" si="240"/>
        <v>0</v>
      </c>
      <c r="AV60" s="82">
        <f t="shared" si="9"/>
        <v>2</v>
      </c>
      <c r="AW60" s="22">
        <f t="shared" ref="AW60:AZ60" si="241">IF(OR(E60="",E60="N/A",E60="SDK",E60="SAAS"),0,1)</f>
        <v>1</v>
      </c>
      <c r="AX60" s="22">
        <f t="shared" si="241"/>
        <v>0</v>
      </c>
      <c r="AY60" s="22">
        <f t="shared" si="241"/>
        <v>1</v>
      </c>
      <c r="AZ60" s="22">
        <f t="shared" si="241"/>
        <v>0</v>
      </c>
      <c r="BA60" s="22"/>
      <c r="BB60" s="22"/>
      <c r="BC60" s="22"/>
    </row>
    <row r="61" spans="1:55">
      <c r="A61" s="260" t="s">
        <v>446</v>
      </c>
      <c r="B61" s="261" t="s">
        <v>14</v>
      </c>
      <c r="C61" s="259" t="s">
        <v>447</v>
      </c>
      <c r="D61" s="80"/>
      <c r="E61" s="80"/>
      <c r="F61" s="80"/>
      <c r="G61" s="80"/>
      <c r="H61" s="80"/>
      <c r="I61" s="37" t="s">
        <v>362</v>
      </c>
      <c r="J61" s="37" t="s">
        <v>362</v>
      </c>
      <c r="K61" s="37" t="s">
        <v>362</v>
      </c>
      <c r="L61" s="31" t="s">
        <v>105</v>
      </c>
      <c r="M61" s="80" t="s">
        <v>343</v>
      </c>
      <c r="N61" s="81"/>
      <c r="O61" s="81" t="s">
        <v>107</v>
      </c>
      <c r="P61" s="81"/>
      <c r="Q61" s="81"/>
      <c r="R61" s="81"/>
      <c r="S61" s="81"/>
      <c r="T61" s="81"/>
      <c r="U61" s="81"/>
      <c r="V61" s="31" t="s">
        <v>108</v>
      </c>
      <c r="W61" s="31" t="s">
        <v>109</v>
      </c>
      <c r="X61" s="31"/>
      <c r="Y61" s="31"/>
      <c r="Z61" s="31"/>
      <c r="AB61" s="11">
        <f t="shared" si="0"/>
        <v>0</v>
      </c>
      <c r="AC61" s="11">
        <f t="shared" si="1"/>
        <v>1</v>
      </c>
      <c r="AD61" s="11">
        <f t="shared" si="2"/>
        <v>1</v>
      </c>
      <c r="AF61" s="11">
        <f t="shared" ref="AF61:AG61" si="242">SUMIFS(AH$3:AH$200,$A$3:$A$200,$A61)</f>
        <v>0</v>
      </c>
      <c r="AG61" s="11">
        <f t="shared" si="242"/>
        <v>1</v>
      </c>
      <c r="AH61" s="11">
        <f t="shared" si="4"/>
        <v>0</v>
      </c>
      <c r="AI61" s="22">
        <v>1</v>
      </c>
      <c r="AJ61" s="22"/>
      <c r="AK61" s="82">
        <f t="shared" ref="AK61:AL61" si="243">SUMIFS(AM$3:AM$200,$A$3:$A$200,$A61)</f>
        <v>1</v>
      </c>
      <c r="AL61" s="22">
        <f t="shared" si="243"/>
        <v>1</v>
      </c>
      <c r="AM61" s="22">
        <f t="shared" si="6"/>
        <v>1</v>
      </c>
      <c r="AN61" s="22">
        <v>1</v>
      </c>
      <c r="AO61" s="22"/>
      <c r="AP61" s="22">
        <f t="shared" si="7"/>
        <v>0</v>
      </c>
      <c r="AQ61" s="22">
        <f t="shared" ref="AQ61:AT61" si="244">IF(OR(E61="",E61="TBD",E61="N/A",E61="SDK",E61="SAAS"),0,1)</f>
        <v>0</v>
      </c>
      <c r="AR61" s="22">
        <f t="shared" si="244"/>
        <v>0</v>
      </c>
      <c r="AS61" s="22">
        <f t="shared" si="244"/>
        <v>0</v>
      </c>
      <c r="AT61" s="22">
        <f t="shared" si="244"/>
        <v>0</v>
      </c>
      <c r="AV61" s="82">
        <f t="shared" si="9"/>
        <v>0</v>
      </c>
      <c r="AW61" s="22">
        <f t="shared" ref="AW61:AZ61" si="245">IF(OR(E61="",E61="N/A",E61="SDK",E61="SAAS"),0,1)</f>
        <v>0</v>
      </c>
      <c r="AX61" s="22">
        <f t="shared" si="245"/>
        <v>0</v>
      </c>
      <c r="AY61" s="22">
        <f t="shared" si="245"/>
        <v>0</v>
      </c>
      <c r="AZ61" s="22">
        <f t="shared" si="245"/>
        <v>0</v>
      </c>
      <c r="BA61" s="22"/>
      <c r="BB61" s="22"/>
      <c r="BC61" s="22"/>
    </row>
    <row r="62" spans="1:55">
      <c r="A62" s="260" t="s">
        <v>448</v>
      </c>
      <c r="B62" s="261" t="s">
        <v>14</v>
      </c>
      <c r="C62" s="262" t="s">
        <v>449</v>
      </c>
      <c r="D62" s="80" t="s">
        <v>432</v>
      </c>
      <c r="E62" s="104" t="s">
        <v>432</v>
      </c>
      <c r="F62" s="129"/>
      <c r="G62" s="104" t="s">
        <v>432</v>
      </c>
      <c r="H62" s="80"/>
      <c r="I62" s="37" t="s">
        <v>362</v>
      </c>
      <c r="J62" s="37" t="s">
        <v>362</v>
      </c>
      <c r="K62" s="37" t="s">
        <v>362</v>
      </c>
      <c r="L62" s="31" t="s">
        <v>105</v>
      </c>
      <c r="M62" s="80" t="s">
        <v>343</v>
      </c>
      <c r="N62" s="81"/>
      <c r="O62" s="81" t="s">
        <v>107</v>
      </c>
      <c r="P62" s="81" t="s">
        <v>107</v>
      </c>
      <c r="Q62" s="81" t="s">
        <v>107</v>
      </c>
      <c r="R62" s="81" t="s">
        <v>107</v>
      </c>
      <c r="S62" s="81"/>
      <c r="T62" s="81"/>
      <c r="U62" s="81"/>
      <c r="V62" s="31" t="s">
        <v>108</v>
      </c>
      <c r="W62" s="31" t="s">
        <v>271</v>
      </c>
      <c r="X62" s="31"/>
      <c r="Y62" s="31"/>
      <c r="Z62" s="31"/>
      <c r="AB62" s="11">
        <f t="shared" si="0"/>
        <v>1</v>
      </c>
      <c r="AC62" s="11">
        <f t="shared" si="1"/>
        <v>1</v>
      </c>
      <c r="AD62" s="11">
        <f t="shared" si="2"/>
        <v>1</v>
      </c>
      <c r="AF62" s="11">
        <f t="shared" ref="AF62:AG62" si="246">SUMIFS(AH$3:AH$200,$A$3:$A$200,$A62)</f>
        <v>6</v>
      </c>
      <c r="AG62" s="11">
        <f t="shared" si="246"/>
        <v>6</v>
      </c>
      <c r="AH62" s="11">
        <f t="shared" si="4"/>
        <v>1</v>
      </c>
      <c r="AI62" s="22">
        <v>1</v>
      </c>
      <c r="AJ62" s="22"/>
      <c r="AK62" s="82">
        <f t="shared" ref="AK62:AL62" si="247">SUMIFS(AM$3:AM$200,$A$3:$A$200,$A62)</f>
        <v>6</v>
      </c>
      <c r="AL62" s="22">
        <f t="shared" si="247"/>
        <v>6</v>
      </c>
      <c r="AM62" s="22">
        <f t="shared" si="6"/>
        <v>1</v>
      </c>
      <c r="AN62" s="22">
        <v>1</v>
      </c>
      <c r="AO62" s="22"/>
      <c r="AP62" s="22">
        <f t="shared" si="7"/>
        <v>2</v>
      </c>
      <c r="AQ62" s="22">
        <f t="shared" ref="AQ62:AT62" si="248">IF(OR(E62="",E62="TBD",E62="N/A",E62="SDK",E62="SAAS"),0,1)</f>
        <v>1</v>
      </c>
      <c r="AR62" s="22">
        <f t="shared" si="248"/>
        <v>0</v>
      </c>
      <c r="AS62" s="22">
        <f t="shared" si="248"/>
        <v>1</v>
      </c>
      <c r="AT62" s="22">
        <f t="shared" si="248"/>
        <v>0</v>
      </c>
      <c r="AV62" s="82">
        <f t="shared" si="9"/>
        <v>2</v>
      </c>
      <c r="AW62" s="22">
        <f t="shared" ref="AW62:AZ62" si="249">IF(OR(E62="",E62="N/A",E62="SDK",E62="SAAS"),0,1)</f>
        <v>1</v>
      </c>
      <c r="AX62" s="22">
        <f t="shared" si="249"/>
        <v>0</v>
      </c>
      <c r="AY62" s="22">
        <f t="shared" si="249"/>
        <v>1</v>
      </c>
      <c r="AZ62" s="22">
        <f t="shared" si="249"/>
        <v>0</v>
      </c>
      <c r="BA62" s="22"/>
      <c r="BB62" s="22"/>
      <c r="BC62" s="22"/>
    </row>
    <row r="63" spans="1:55">
      <c r="A63" s="260" t="s">
        <v>448</v>
      </c>
      <c r="B63" s="261" t="s">
        <v>14</v>
      </c>
      <c r="C63" s="262" t="s">
        <v>449</v>
      </c>
      <c r="D63" s="80" t="s">
        <v>440</v>
      </c>
      <c r="E63" s="80" t="s">
        <v>436</v>
      </c>
      <c r="F63" s="80"/>
      <c r="G63" s="80" t="s">
        <v>435</v>
      </c>
      <c r="H63" s="80"/>
      <c r="I63" s="37"/>
      <c r="J63" s="37"/>
      <c r="K63" s="37"/>
      <c r="L63" s="31" t="s">
        <v>105</v>
      </c>
      <c r="M63" s="80" t="s">
        <v>343</v>
      </c>
      <c r="N63" s="81"/>
      <c r="O63" s="81" t="s">
        <v>107</v>
      </c>
      <c r="P63" s="81" t="s">
        <v>107</v>
      </c>
      <c r="Q63" s="81" t="s">
        <v>107</v>
      </c>
      <c r="R63" s="81" t="s">
        <v>107</v>
      </c>
      <c r="S63" s="81"/>
      <c r="T63" s="81"/>
      <c r="U63" s="81"/>
      <c r="V63" s="31" t="s">
        <v>108</v>
      </c>
      <c r="W63" s="31" t="s">
        <v>271</v>
      </c>
      <c r="X63" s="31"/>
      <c r="Y63" s="31"/>
      <c r="Z63" s="31"/>
      <c r="AB63" s="11">
        <f t="shared" si="0"/>
        <v>0</v>
      </c>
      <c r="AC63" s="11">
        <f t="shared" si="1"/>
        <v>0</v>
      </c>
      <c r="AD63" s="11">
        <f t="shared" si="2"/>
        <v>0</v>
      </c>
      <c r="AF63" s="11">
        <f t="shared" ref="AF63:AG63" si="250">SUMIFS(AH$3:AH$200,$A$3:$A$200,$A63)</f>
        <v>6</v>
      </c>
      <c r="AG63" s="11">
        <f t="shared" si="250"/>
        <v>6</v>
      </c>
      <c r="AH63" s="11">
        <f t="shared" si="4"/>
        <v>1</v>
      </c>
      <c r="AI63" s="22">
        <v>1</v>
      </c>
      <c r="AJ63" s="22"/>
      <c r="AK63" s="82">
        <f t="shared" ref="AK63:AL63" si="251">SUMIFS(AM$3:AM$200,$A$3:$A$200,$A63)</f>
        <v>6</v>
      </c>
      <c r="AL63" s="22">
        <f t="shared" si="251"/>
        <v>6</v>
      </c>
      <c r="AM63" s="22">
        <f t="shared" si="6"/>
        <v>1</v>
      </c>
      <c r="AN63" s="22">
        <v>1</v>
      </c>
      <c r="AO63" s="22"/>
      <c r="AP63" s="22">
        <f t="shared" si="7"/>
        <v>2</v>
      </c>
      <c r="AQ63" s="22">
        <f t="shared" ref="AQ63:AT63" si="252">IF(OR(E63="",E63="TBD",E63="N/A",E63="SDK",E63="SAAS"),0,1)</f>
        <v>1</v>
      </c>
      <c r="AR63" s="22">
        <f t="shared" si="252"/>
        <v>0</v>
      </c>
      <c r="AS63" s="22">
        <f t="shared" si="252"/>
        <v>1</v>
      </c>
      <c r="AT63" s="22">
        <f t="shared" si="252"/>
        <v>0</v>
      </c>
      <c r="AV63" s="82">
        <f t="shared" si="9"/>
        <v>2</v>
      </c>
      <c r="AW63" s="22">
        <f t="shared" ref="AW63:AZ63" si="253">IF(OR(E63="",E63="N/A",E63="SDK",E63="SAAS"),0,1)</f>
        <v>1</v>
      </c>
      <c r="AX63" s="22">
        <f t="shared" si="253"/>
        <v>0</v>
      </c>
      <c r="AY63" s="22">
        <f t="shared" si="253"/>
        <v>1</v>
      </c>
      <c r="AZ63" s="22">
        <f t="shared" si="253"/>
        <v>0</v>
      </c>
      <c r="BA63" s="22"/>
      <c r="BB63" s="22"/>
      <c r="BC63" s="22"/>
    </row>
    <row r="64" spans="1:55">
      <c r="A64" s="260" t="s">
        <v>448</v>
      </c>
      <c r="B64" s="261" t="s">
        <v>14</v>
      </c>
      <c r="C64" s="262" t="s">
        <v>449</v>
      </c>
      <c r="D64" s="80" t="s">
        <v>437</v>
      </c>
      <c r="E64" s="104" t="s">
        <v>440</v>
      </c>
      <c r="F64" s="80"/>
      <c r="G64" s="104" t="s">
        <v>440</v>
      </c>
      <c r="H64" s="80"/>
      <c r="I64" s="37"/>
      <c r="J64" s="37"/>
      <c r="K64" s="37"/>
      <c r="L64" s="31" t="s">
        <v>105</v>
      </c>
      <c r="M64" s="80" t="s">
        <v>343</v>
      </c>
      <c r="N64" s="81"/>
      <c r="O64" s="81" t="s">
        <v>107</v>
      </c>
      <c r="P64" s="81" t="s">
        <v>107</v>
      </c>
      <c r="Q64" s="81" t="s">
        <v>107</v>
      </c>
      <c r="R64" s="81" t="s">
        <v>107</v>
      </c>
      <c r="S64" s="81"/>
      <c r="T64" s="81"/>
      <c r="U64" s="81"/>
      <c r="V64" s="31" t="s">
        <v>108</v>
      </c>
      <c r="W64" s="31" t="s">
        <v>271</v>
      </c>
      <c r="X64" s="31"/>
      <c r="Y64" s="31"/>
      <c r="Z64" s="31"/>
      <c r="AB64" s="11">
        <f t="shared" si="0"/>
        <v>0</v>
      </c>
      <c r="AC64" s="11">
        <f t="shared" si="1"/>
        <v>0</v>
      </c>
      <c r="AD64" s="11">
        <f t="shared" si="2"/>
        <v>0</v>
      </c>
      <c r="AF64" s="11">
        <f t="shared" ref="AF64:AG64" si="254">SUMIFS(AH$3:AH$200,$A$3:$A$200,$A64)</f>
        <v>6</v>
      </c>
      <c r="AG64" s="11">
        <f t="shared" si="254"/>
        <v>6</v>
      </c>
      <c r="AH64" s="11">
        <f t="shared" si="4"/>
        <v>1</v>
      </c>
      <c r="AI64" s="22">
        <v>1</v>
      </c>
      <c r="AJ64" s="22"/>
      <c r="AK64" s="82">
        <f t="shared" ref="AK64:AL64" si="255">SUMIFS(AM$3:AM$200,$A$3:$A$200,$A64)</f>
        <v>6</v>
      </c>
      <c r="AL64" s="22">
        <f t="shared" si="255"/>
        <v>6</v>
      </c>
      <c r="AM64" s="22">
        <f t="shared" si="6"/>
        <v>1</v>
      </c>
      <c r="AN64" s="22">
        <v>1</v>
      </c>
      <c r="AO64" s="22"/>
      <c r="AP64" s="22">
        <f t="shared" si="7"/>
        <v>2</v>
      </c>
      <c r="AQ64" s="22">
        <f t="shared" ref="AQ64:AT64" si="256">IF(OR(E64="",E64="TBD",E64="N/A",E64="SDK",E64="SAAS"),0,1)</f>
        <v>1</v>
      </c>
      <c r="AR64" s="22">
        <f t="shared" si="256"/>
        <v>0</v>
      </c>
      <c r="AS64" s="22">
        <f t="shared" si="256"/>
        <v>1</v>
      </c>
      <c r="AT64" s="22">
        <f t="shared" si="256"/>
        <v>0</v>
      </c>
      <c r="AV64" s="82">
        <f t="shared" si="9"/>
        <v>2</v>
      </c>
      <c r="AW64" s="22">
        <f t="shared" ref="AW64:AZ64" si="257">IF(OR(E64="",E64="N/A",E64="SDK",E64="SAAS"),0,1)</f>
        <v>1</v>
      </c>
      <c r="AX64" s="22">
        <f t="shared" si="257"/>
        <v>0</v>
      </c>
      <c r="AY64" s="22">
        <f t="shared" si="257"/>
        <v>1</v>
      </c>
      <c r="AZ64" s="22">
        <f t="shared" si="257"/>
        <v>0</v>
      </c>
      <c r="BA64" s="22"/>
      <c r="BB64" s="22"/>
      <c r="BC64" s="22"/>
    </row>
    <row r="65" spans="1:52">
      <c r="A65" s="260" t="s">
        <v>448</v>
      </c>
      <c r="B65" s="261" t="s">
        <v>14</v>
      </c>
      <c r="C65" s="262" t="s">
        <v>449</v>
      </c>
      <c r="D65" s="80"/>
      <c r="E65" s="80" t="s">
        <v>450</v>
      </c>
      <c r="F65" s="80"/>
      <c r="G65" s="80" t="s">
        <v>451</v>
      </c>
      <c r="H65" s="80"/>
      <c r="I65" s="37"/>
      <c r="J65" s="37"/>
      <c r="K65" s="37"/>
      <c r="L65" s="31" t="s">
        <v>105</v>
      </c>
      <c r="M65" s="80" t="s">
        <v>343</v>
      </c>
      <c r="N65" s="81"/>
      <c r="O65" s="81" t="s">
        <v>107</v>
      </c>
      <c r="P65" s="81" t="s">
        <v>107</v>
      </c>
      <c r="Q65" s="81" t="s">
        <v>107</v>
      </c>
      <c r="R65" s="81" t="s">
        <v>107</v>
      </c>
      <c r="S65" s="81"/>
      <c r="T65" s="81"/>
      <c r="U65" s="81"/>
      <c r="V65" s="31" t="s">
        <v>108</v>
      </c>
      <c r="W65" s="31" t="s">
        <v>271</v>
      </c>
      <c r="X65" s="31"/>
      <c r="Y65" s="31"/>
      <c r="Z65" s="31"/>
      <c r="AB65" s="11">
        <f t="shared" si="0"/>
        <v>0</v>
      </c>
      <c r="AC65" s="11">
        <f t="shared" si="1"/>
        <v>0</v>
      </c>
      <c r="AD65" s="11">
        <f t="shared" si="2"/>
        <v>0</v>
      </c>
      <c r="AF65" s="11">
        <f t="shared" ref="AF65:AG65" si="258">SUMIFS(AH$3:AH$200,$A$3:$A$200,$A65)</f>
        <v>6</v>
      </c>
      <c r="AG65" s="11">
        <f t="shared" si="258"/>
        <v>6</v>
      </c>
      <c r="AH65" s="11">
        <f t="shared" si="4"/>
        <v>1</v>
      </c>
      <c r="AI65" s="22">
        <v>1</v>
      </c>
      <c r="AJ65" s="22"/>
      <c r="AK65" s="82">
        <f t="shared" ref="AK65:AL65" si="259">SUMIFS(AM$3:AM$200,$A$3:$A$200,$A65)</f>
        <v>6</v>
      </c>
      <c r="AL65" s="22">
        <f t="shared" si="259"/>
        <v>6</v>
      </c>
      <c r="AM65" s="22">
        <f t="shared" si="6"/>
        <v>1</v>
      </c>
      <c r="AN65" s="22">
        <v>1</v>
      </c>
      <c r="AO65" s="22"/>
      <c r="AP65" s="22">
        <f t="shared" si="7"/>
        <v>2</v>
      </c>
      <c r="AQ65" s="22">
        <f t="shared" ref="AQ65:AT65" si="260">IF(OR(E65="",E65="TBD",E65="N/A",E65="SDK",E65="SAAS"),0,1)</f>
        <v>1</v>
      </c>
      <c r="AR65" s="22">
        <f t="shared" si="260"/>
        <v>0</v>
      </c>
      <c r="AS65" s="22">
        <f t="shared" si="260"/>
        <v>1</v>
      </c>
      <c r="AT65" s="22">
        <f t="shared" si="260"/>
        <v>0</v>
      </c>
      <c r="AV65" s="82">
        <f t="shared" si="9"/>
        <v>2</v>
      </c>
      <c r="AW65" s="22">
        <f t="shared" ref="AW65:AZ65" si="261">IF(OR(E65="",E65="N/A",E65="SDK",E65="SAAS"),0,1)</f>
        <v>1</v>
      </c>
      <c r="AX65" s="22">
        <f t="shared" si="261"/>
        <v>0</v>
      </c>
      <c r="AY65" s="22">
        <f t="shared" si="261"/>
        <v>1</v>
      </c>
      <c r="AZ65" s="22">
        <f t="shared" si="261"/>
        <v>0</v>
      </c>
    </row>
    <row r="66" spans="1:52">
      <c r="A66" s="260" t="s">
        <v>448</v>
      </c>
      <c r="B66" s="261" t="s">
        <v>14</v>
      </c>
      <c r="C66" s="262" t="s">
        <v>449</v>
      </c>
      <c r="D66" s="80"/>
      <c r="E66" s="104" t="s">
        <v>437</v>
      </c>
      <c r="F66" s="80"/>
      <c r="G66" s="104" t="s">
        <v>437</v>
      </c>
      <c r="H66" s="80"/>
      <c r="I66" s="37"/>
      <c r="J66" s="37"/>
      <c r="K66" s="37"/>
      <c r="L66" s="31" t="s">
        <v>105</v>
      </c>
      <c r="M66" s="80" t="s">
        <v>343</v>
      </c>
      <c r="N66" s="81"/>
      <c r="O66" s="81" t="s">
        <v>107</v>
      </c>
      <c r="P66" s="81" t="s">
        <v>107</v>
      </c>
      <c r="Q66" s="81" t="s">
        <v>107</v>
      </c>
      <c r="R66" s="81" t="s">
        <v>107</v>
      </c>
      <c r="S66" s="81"/>
      <c r="T66" s="81"/>
      <c r="U66" s="81"/>
      <c r="V66" s="31" t="s">
        <v>108</v>
      </c>
      <c r="W66" s="31" t="s">
        <v>271</v>
      </c>
      <c r="X66" s="31"/>
      <c r="Y66" s="31"/>
      <c r="Z66" s="31"/>
      <c r="AB66" s="11">
        <f t="shared" si="0"/>
        <v>0</v>
      </c>
      <c r="AC66" s="11">
        <f t="shared" si="1"/>
        <v>0</v>
      </c>
      <c r="AD66" s="11">
        <f t="shared" si="2"/>
        <v>0</v>
      </c>
      <c r="AF66" s="11">
        <f t="shared" ref="AF66:AG66" si="262">SUMIFS(AH$3:AH$200,$A$3:$A$200,$A66)</f>
        <v>6</v>
      </c>
      <c r="AG66" s="11">
        <f t="shared" si="262"/>
        <v>6</v>
      </c>
      <c r="AH66" s="11">
        <f t="shared" si="4"/>
        <v>1</v>
      </c>
      <c r="AI66" s="22">
        <v>1</v>
      </c>
      <c r="AJ66" s="22"/>
      <c r="AK66" s="82">
        <f t="shared" ref="AK66:AL66" si="263">SUMIFS(AM$3:AM$200,$A$3:$A$200,$A66)</f>
        <v>6</v>
      </c>
      <c r="AL66" s="22">
        <f t="shared" si="263"/>
        <v>6</v>
      </c>
      <c r="AM66" s="22">
        <f t="shared" si="6"/>
        <v>1</v>
      </c>
      <c r="AN66" s="22">
        <v>1</v>
      </c>
      <c r="AO66" s="22"/>
      <c r="AP66" s="22">
        <f t="shared" si="7"/>
        <v>2</v>
      </c>
      <c r="AQ66" s="22">
        <f t="shared" ref="AQ66:AT66" si="264">IF(OR(E66="",E66="TBD",E66="N/A",E66="SDK",E66="SAAS"),0,1)</f>
        <v>1</v>
      </c>
      <c r="AR66" s="22">
        <f t="shared" si="264"/>
        <v>0</v>
      </c>
      <c r="AS66" s="22">
        <f t="shared" si="264"/>
        <v>1</v>
      </c>
      <c r="AT66" s="22">
        <f t="shared" si="264"/>
        <v>0</v>
      </c>
      <c r="AV66" s="82">
        <f t="shared" si="9"/>
        <v>2</v>
      </c>
      <c r="AW66" s="22">
        <f t="shared" ref="AW66:AZ66" si="265">IF(OR(E66="",E66="N/A",E66="SDK",E66="SAAS"),0,1)</f>
        <v>1</v>
      </c>
      <c r="AX66" s="22">
        <f t="shared" si="265"/>
        <v>0</v>
      </c>
      <c r="AY66" s="22">
        <f t="shared" si="265"/>
        <v>1</v>
      </c>
      <c r="AZ66" s="22">
        <f t="shared" si="265"/>
        <v>0</v>
      </c>
    </row>
    <row r="67" spans="1:52">
      <c r="A67" s="260" t="s">
        <v>448</v>
      </c>
      <c r="B67" s="261" t="s">
        <v>14</v>
      </c>
      <c r="C67" s="262" t="s">
        <v>449</v>
      </c>
      <c r="D67" s="80"/>
      <c r="E67" s="80" t="s">
        <v>443</v>
      </c>
      <c r="F67" s="80"/>
      <c r="G67" s="80" t="s">
        <v>442</v>
      </c>
      <c r="H67" s="80"/>
      <c r="I67" s="37"/>
      <c r="J67" s="37"/>
      <c r="K67" s="37"/>
      <c r="L67" s="31" t="s">
        <v>105</v>
      </c>
      <c r="M67" s="80" t="s">
        <v>343</v>
      </c>
      <c r="N67" s="81"/>
      <c r="O67" s="81" t="s">
        <v>107</v>
      </c>
      <c r="P67" s="81" t="s">
        <v>107</v>
      </c>
      <c r="Q67" s="81" t="s">
        <v>107</v>
      </c>
      <c r="R67" s="81" t="s">
        <v>107</v>
      </c>
      <c r="S67" s="81"/>
      <c r="T67" s="81"/>
      <c r="U67" s="81"/>
      <c r="V67" s="31" t="s">
        <v>108</v>
      </c>
      <c r="W67" s="31" t="s">
        <v>271</v>
      </c>
      <c r="X67" s="31"/>
      <c r="Y67" s="31"/>
      <c r="Z67" s="31"/>
      <c r="AB67" s="11">
        <f t="shared" si="0"/>
        <v>0</v>
      </c>
      <c r="AC67" s="11">
        <f t="shared" si="1"/>
        <v>0</v>
      </c>
      <c r="AD67" s="11">
        <f t="shared" si="2"/>
        <v>0</v>
      </c>
      <c r="AF67" s="11">
        <f t="shared" ref="AF67:AG67" si="266">SUMIFS(AH$3:AH$200,$A$3:$A$200,$A67)</f>
        <v>6</v>
      </c>
      <c r="AG67" s="11">
        <f t="shared" si="266"/>
        <v>6</v>
      </c>
      <c r="AH67" s="11">
        <f t="shared" si="4"/>
        <v>1</v>
      </c>
      <c r="AI67" s="22">
        <v>1</v>
      </c>
      <c r="AJ67" s="22"/>
      <c r="AK67" s="82">
        <f t="shared" ref="AK67:AL67" si="267">SUMIFS(AM$3:AM$200,$A$3:$A$200,$A67)</f>
        <v>6</v>
      </c>
      <c r="AL67" s="22">
        <f t="shared" si="267"/>
        <v>6</v>
      </c>
      <c r="AM67" s="22">
        <f t="shared" si="6"/>
        <v>1</v>
      </c>
      <c r="AN67" s="22">
        <v>1</v>
      </c>
      <c r="AO67" s="22"/>
      <c r="AP67" s="22">
        <f t="shared" si="7"/>
        <v>2</v>
      </c>
      <c r="AQ67" s="22">
        <f t="shared" ref="AQ67:AT67" si="268">IF(OR(E67="",E67="TBD",E67="N/A",E67="SDK",E67="SAAS"),0,1)</f>
        <v>1</v>
      </c>
      <c r="AR67" s="22">
        <f t="shared" si="268"/>
        <v>0</v>
      </c>
      <c r="AS67" s="22">
        <f t="shared" si="268"/>
        <v>1</v>
      </c>
      <c r="AT67" s="22">
        <f t="shared" si="268"/>
        <v>0</v>
      </c>
      <c r="AV67" s="82">
        <f t="shared" si="9"/>
        <v>2</v>
      </c>
      <c r="AW67" s="22">
        <f t="shared" ref="AW67:AZ67" si="269">IF(OR(E67="",E67="N/A",E67="SDK",E67="SAAS"),0,1)</f>
        <v>1</v>
      </c>
      <c r="AX67" s="22">
        <f t="shared" si="269"/>
        <v>0</v>
      </c>
      <c r="AY67" s="22">
        <f t="shared" si="269"/>
        <v>1</v>
      </c>
      <c r="AZ67" s="22">
        <f t="shared" si="269"/>
        <v>0</v>
      </c>
    </row>
    <row r="68" spans="1:52">
      <c r="A68" s="260" t="s">
        <v>452</v>
      </c>
      <c r="B68" s="261" t="s">
        <v>14</v>
      </c>
      <c r="C68" s="258" t="s">
        <v>453</v>
      </c>
      <c r="D68" s="80"/>
      <c r="E68" s="80"/>
      <c r="F68" s="80"/>
      <c r="G68" s="80"/>
      <c r="H68" s="80"/>
      <c r="I68" s="37" t="s">
        <v>362</v>
      </c>
      <c r="J68" s="37" t="s">
        <v>362</v>
      </c>
      <c r="K68" s="37" t="s">
        <v>362</v>
      </c>
      <c r="L68" s="31" t="s">
        <v>105</v>
      </c>
      <c r="M68" s="80" t="s">
        <v>343</v>
      </c>
      <c r="N68" s="81"/>
      <c r="O68" s="81" t="s">
        <v>107</v>
      </c>
      <c r="P68" s="81" t="s">
        <v>107</v>
      </c>
      <c r="Q68" s="81" t="s">
        <v>107</v>
      </c>
      <c r="R68" s="81" t="s">
        <v>107</v>
      </c>
      <c r="S68" s="81"/>
      <c r="T68" s="81"/>
      <c r="U68" s="81"/>
      <c r="V68" s="31" t="s">
        <v>108</v>
      </c>
      <c r="W68" s="31" t="s">
        <v>271</v>
      </c>
      <c r="X68" s="31"/>
      <c r="Y68" s="31"/>
      <c r="Z68" s="31"/>
      <c r="AB68" s="11">
        <f t="shared" si="0"/>
        <v>0</v>
      </c>
      <c r="AC68" s="11">
        <f t="shared" si="1"/>
        <v>1</v>
      </c>
      <c r="AD68" s="11">
        <f t="shared" si="2"/>
        <v>1</v>
      </c>
      <c r="AF68" s="11">
        <f t="shared" ref="AF68:AG68" si="270">SUMIFS(AH$3:AH$200,$A$3:$A$200,$A68)</f>
        <v>0</v>
      </c>
      <c r="AG68" s="11">
        <f t="shared" si="270"/>
        <v>1</v>
      </c>
      <c r="AH68" s="11">
        <f t="shared" si="4"/>
        <v>0</v>
      </c>
      <c r="AI68" s="22">
        <v>1</v>
      </c>
      <c r="AJ68" s="22"/>
      <c r="AK68" s="82">
        <f t="shared" ref="AK68:AL68" si="271">SUMIFS(AM$3:AM$200,$A$3:$A$200,$A68)</f>
        <v>1</v>
      </c>
      <c r="AL68" s="22">
        <f t="shared" si="271"/>
        <v>1</v>
      </c>
      <c r="AM68" s="22">
        <f t="shared" si="6"/>
        <v>1</v>
      </c>
      <c r="AN68" s="22">
        <v>1</v>
      </c>
      <c r="AO68" s="22"/>
      <c r="AP68" s="22">
        <f t="shared" si="7"/>
        <v>0</v>
      </c>
      <c r="AQ68" s="22">
        <f t="shared" ref="AQ68:AT68" si="272">IF(OR(E68="",E68="TBD",E68="N/A",E68="SDK",E68="SAAS"),0,1)</f>
        <v>0</v>
      </c>
      <c r="AR68" s="22">
        <f t="shared" si="272"/>
        <v>0</v>
      </c>
      <c r="AS68" s="22">
        <f t="shared" si="272"/>
        <v>0</v>
      </c>
      <c r="AT68" s="22">
        <f t="shared" si="272"/>
        <v>0</v>
      </c>
      <c r="AV68" s="82">
        <f t="shared" si="9"/>
        <v>0</v>
      </c>
      <c r="AW68" s="22">
        <f t="shared" ref="AW68:AZ68" si="273">IF(OR(E68="",E68="N/A",E68="SDK",E68="SAAS"),0,1)</f>
        <v>0</v>
      </c>
      <c r="AX68" s="22">
        <f t="shared" si="273"/>
        <v>0</v>
      </c>
      <c r="AY68" s="22">
        <f t="shared" si="273"/>
        <v>0</v>
      </c>
      <c r="AZ68" s="22">
        <f t="shared" si="273"/>
        <v>0</v>
      </c>
    </row>
    <row r="69" spans="1:52">
      <c r="A69" s="260" t="s">
        <v>454</v>
      </c>
      <c r="B69" s="261" t="s">
        <v>14</v>
      </c>
      <c r="C69" s="259" t="s">
        <v>455</v>
      </c>
      <c r="D69" s="80"/>
      <c r="E69" s="80"/>
      <c r="F69" s="80"/>
      <c r="G69" s="80"/>
      <c r="H69" s="80"/>
      <c r="I69" s="37">
        <v>3</v>
      </c>
      <c r="J69" s="37">
        <v>23</v>
      </c>
      <c r="K69" s="37">
        <f>J69*$J$83</f>
        <v>0</v>
      </c>
      <c r="L69" s="31" t="s">
        <v>105</v>
      </c>
      <c r="M69" s="80" t="s">
        <v>343</v>
      </c>
      <c r="N69" s="81"/>
      <c r="O69" s="81" t="s">
        <v>107</v>
      </c>
      <c r="P69" s="81"/>
      <c r="Q69" s="81"/>
      <c r="R69" s="81"/>
      <c r="S69" s="81"/>
      <c r="T69" s="81"/>
      <c r="U69" s="81"/>
      <c r="V69" s="31" t="s">
        <v>108</v>
      </c>
      <c r="W69" s="31" t="s">
        <v>109</v>
      </c>
      <c r="X69" s="31"/>
      <c r="Y69" s="31"/>
      <c r="Z69" s="31"/>
      <c r="AB69" s="11">
        <f t="shared" si="0"/>
        <v>0</v>
      </c>
      <c r="AC69" s="11">
        <f t="shared" si="1"/>
        <v>1</v>
      </c>
      <c r="AD69" s="11">
        <f t="shared" si="2"/>
        <v>1</v>
      </c>
      <c r="AF69" s="11">
        <f t="shared" ref="AF69:AG69" si="274">SUMIFS(AH$3:AH$200,$A$3:$A$200,$A69)</f>
        <v>0</v>
      </c>
      <c r="AG69" s="11">
        <f t="shared" si="274"/>
        <v>1</v>
      </c>
      <c r="AH69" s="11">
        <f t="shared" si="4"/>
        <v>0</v>
      </c>
      <c r="AI69" s="22">
        <v>1</v>
      </c>
      <c r="AJ69" s="22"/>
      <c r="AK69" s="82">
        <f t="shared" ref="AK69:AL69" si="275">SUMIFS(AM$3:AM$200,$A$3:$A$200,$A69)</f>
        <v>1</v>
      </c>
      <c r="AL69" s="22">
        <f t="shared" si="275"/>
        <v>1</v>
      </c>
      <c r="AM69" s="22">
        <f t="shared" si="6"/>
        <v>1</v>
      </c>
      <c r="AN69" s="22">
        <v>1</v>
      </c>
      <c r="AO69" s="22"/>
      <c r="AP69" s="22">
        <f t="shared" si="7"/>
        <v>0</v>
      </c>
      <c r="AQ69" s="22">
        <f t="shared" ref="AQ69:AT69" si="276">IF(OR(E69="",E69="TBD",E69="N/A",E69="SDK",E69="SAAS"),0,1)</f>
        <v>0</v>
      </c>
      <c r="AR69" s="22">
        <f t="shared" si="276"/>
        <v>0</v>
      </c>
      <c r="AS69" s="22">
        <f t="shared" si="276"/>
        <v>0</v>
      </c>
      <c r="AT69" s="22">
        <f t="shared" si="276"/>
        <v>0</v>
      </c>
      <c r="AV69" s="82">
        <f t="shared" si="9"/>
        <v>0</v>
      </c>
      <c r="AW69" s="22">
        <f t="shared" ref="AW69:AZ69" si="277">IF(OR(E69="",E69="N/A",E69="SDK",E69="SAAS"),0,1)</f>
        <v>0</v>
      </c>
      <c r="AX69" s="22">
        <f t="shared" si="277"/>
        <v>0</v>
      </c>
      <c r="AY69" s="22">
        <f t="shared" si="277"/>
        <v>0</v>
      </c>
      <c r="AZ69" s="22">
        <f t="shared" si="277"/>
        <v>0</v>
      </c>
    </row>
    <row r="70" spans="1:52">
      <c r="A70" s="260" t="s">
        <v>456</v>
      </c>
      <c r="B70" s="261" t="s">
        <v>14</v>
      </c>
      <c r="C70" s="258" t="s">
        <v>457</v>
      </c>
      <c r="D70" s="80"/>
      <c r="E70" s="80"/>
      <c r="F70" s="80"/>
      <c r="G70" s="80"/>
      <c r="H70" s="80"/>
      <c r="I70" s="37" t="s">
        <v>362</v>
      </c>
      <c r="J70" s="37" t="s">
        <v>362</v>
      </c>
      <c r="K70" s="37" t="s">
        <v>362</v>
      </c>
      <c r="L70" s="31" t="s">
        <v>105</v>
      </c>
      <c r="M70" s="80" t="s">
        <v>343</v>
      </c>
      <c r="N70" s="81"/>
      <c r="O70" s="81" t="s">
        <v>107</v>
      </c>
      <c r="P70" s="81"/>
      <c r="Q70" s="81"/>
      <c r="R70" s="81"/>
      <c r="S70" s="81"/>
      <c r="T70" s="81"/>
      <c r="U70" s="81"/>
      <c r="V70" s="31" t="s">
        <v>108</v>
      </c>
      <c r="W70" s="31" t="s">
        <v>271</v>
      </c>
      <c r="X70" s="31"/>
      <c r="Y70" s="31"/>
      <c r="Z70" s="31"/>
      <c r="AB70" s="11">
        <f t="shared" si="0"/>
        <v>0</v>
      </c>
      <c r="AC70" s="11">
        <f t="shared" si="1"/>
        <v>1</v>
      </c>
      <c r="AD70" s="11">
        <f t="shared" si="2"/>
        <v>1</v>
      </c>
      <c r="AF70" s="11">
        <f t="shared" ref="AF70:AG70" si="278">SUMIFS(AH$3:AH$200,$A$3:$A$200,$A70)</f>
        <v>0</v>
      </c>
      <c r="AG70" s="11">
        <f t="shared" si="278"/>
        <v>1</v>
      </c>
      <c r="AH70" s="11">
        <f t="shared" si="4"/>
        <v>0</v>
      </c>
      <c r="AI70" s="22">
        <v>1</v>
      </c>
      <c r="AJ70" s="22"/>
      <c r="AK70" s="82">
        <f t="shared" ref="AK70:AL70" si="279">SUMIFS(AM$3:AM$200,$A$3:$A$200,$A70)</f>
        <v>1</v>
      </c>
      <c r="AL70" s="22">
        <f t="shared" si="279"/>
        <v>1</v>
      </c>
      <c r="AM70" s="22">
        <f t="shared" si="6"/>
        <v>1</v>
      </c>
      <c r="AN70" s="22">
        <v>1</v>
      </c>
      <c r="AO70" s="22"/>
      <c r="AP70" s="22">
        <f t="shared" si="7"/>
        <v>0</v>
      </c>
      <c r="AQ70" s="22">
        <f t="shared" ref="AQ70:AT70" si="280">IF(OR(E70="",E70="TBD",E70="N/A",E70="SDK",E70="SAAS"),0,1)</f>
        <v>0</v>
      </c>
      <c r="AR70" s="22">
        <f t="shared" si="280"/>
        <v>0</v>
      </c>
      <c r="AS70" s="22">
        <f t="shared" si="280"/>
        <v>0</v>
      </c>
      <c r="AT70" s="22">
        <f t="shared" si="280"/>
        <v>0</v>
      </c>
      <c r="AV70" s="82">
        <f t="shared" si="9"/>
        <v>0</v>
      </c>
      <c r="AW70" s="22">
        <f t="shared" ref="AW70:AZ70" si="281">IF(OR(E70="",E70="N/A",E70="SDK",E70="SAAS"),0,1)</f>
        <v>0</v>
      </c>
      <c r="AX70" s="22">
        <f t="shared" si="281"/>
        <v>0</v>
      </c>
      <c r="AY70" s="22">
        <f t="shared" si="281"/>
        <v>0</v>
      </c>
      <c r="AZ70" s="22">
        <f t="shared" si="281"/>
        <v>0</v>
      </c>
    </row>
    <row r="71" spans="1:52">
      <c r="A71" s="260" t="s">
        <v>458</v>
      </c>
      <c r="B71" s="261" t="s">
        <v>14</v>
      </c>
      <c r="C71" s="258" t="s">
        <v>459</v>
      </c>
      <c r="D71" s="80"/>
      <c r="E71" s="80"/>
      <c r="F71" s="80"/>
      <c r="G71" s="80"/>
      <c r="H71" s="80"/>
      <c r="I71" s="37" t="s">
        <v>362</v>
      </c>
      <c r="J71" s="37" t="s">
        <v>362</v>
      </c>
      <c r="K71" s="37" t="s">
        <v>362</v>
      </c>
      <c r="L71" s="31" t="s">
        <v>105</v>
      </c>
      <c r="M71" s="80" t="s">
        <v>343</v>
      </c>
      <c r="N71" s="81"/>
      <c r="O71" s="81" t="s">
        <v>107</v>
      </c>
      <c r="P71" s="81" t="s">
        <v>107</v>
      </c>
      <c r="Q71" s="81" t="s">
        <v>107</v>
      </c>
      <c r="R71" s="81" t="s">
        <v>107</v>
      </c>
      <c r="S71" s="81"/>
      <c r="T71" s="81"/>
      <c r="U71" s="81"/>
      <c r="V71" s="31" t="s">
        <v>108</v>
      </c>
      <c r="W71" s="31" t="s">
        <v>109</v>
      </c>
      <c r="X71" s="31"/>
      <c r="Y71" s="31"/>
      <c r="Z71" s="31"/>
      <c r="AB71" s="11">
        <f t="shared" si="0"/>
        <v>0</v>
      </c>
      <c r="AC71" s="11">
        <f t="shared" si="1"/>
        <v>1</v>
      </c>
      <c r="AD71" s="11">
        <f t="shared" si="2"/>
        <v>1</v>
      </c>
      <c r="AF71" s="11">
        <f t="shared" ref="AF71:AG71" si="282">SUMIFS(AH$3:AH$200,$A$3:$A$200,$A71)</f>
        <v>0</v>
      </c>
      <c r="AG71" s="11">
        <f t="shared" si="282"/>
        <v>1</v>
      </c>
      <c r="AH71" s="11">
        <f t="shared" si="4"/>
        <v>0</v>
      </c>
      <c r="AI71" s="22">
        <v>1</v>
      </c>
      <c r="AJ71" s="22"/>
      <c r="AK71" s="82">
        <f t="shared" ref="AK71:AL71" si="283">SUMIFS(AM$3:AM$200,$A$3:$A$200,$A71)</f>
        <v>1</v>
      </c>
      <c r="AL71" s="22">
        <f t="shared" si="283"/>
        <v>1</v>
      </c>
      <c r="AM71" s="22">
        <f t="shared" si="6"/>
        <v>1</v>
      </c>
      <c r="AN71" s="22">
        <v>1</v>
      </c>
      <c r="AO71" s="22"/>
      <c r="AP71" s="22">
        <f t="shared" si="7"/>
        <v>0</v>
      </c>
      <c r="AQ71" s="22">
        <f t="shared" ref="AQ71:AT71" si="284">IF(OR(E71="",E71="TBD",E71="N/A",E71="SDK",E71="SAAS"),0,1)</f>
        <v>0</v>
      </c>
      <c r="AR71" s="22">
        <f t="shared" si="284"/>
        <v>0</v>
      </c>
      <c r="AS71" s="22">
        <f t="shared" si="284"/>
        <v>0</v>
      </c>
      <c r="AT71" s="22">
        <f t="shared" si="284"/>
        <v>0</v>
      </c>
      <c r="AV71" s="82">
        <f t="shared" si="9"/>
        <v>0</v>
      </c>
      <c r="AW71" s="22">
        <f t="shared" ref="AW71:AZ71" si="285">IF(OR(E71="",E71="N/A",E71="SDK",E71="SAAS"),0,1)</f>
        <v>0</v>
      </c>
      <c r="AX71" s="22">
        <f t="shared" si="285"/>
        <v>0</v>
      </c>
      <c r="AY71" s="22">
        <f t="shared" si="285"/>
        <v>0</v>
      </c>
      <c r="AZ71" s="22">
        <f t="shared" si="285"/>
        <v>0</v>
      </c>
    </row>
    <row r="72" spans="1:52">
      <c r="A72" s="260" t="s">
        <v>460</v>
      </c>
      <c r="B72" s="261" t="s">
        <v>14</v>
      </c>
      <c r="C72" s="258" t="s">
        <v>461</v>
      </c>
      <c r="D72" s="80"/>
      <c r="E72" s="80"/>
      <c r="F72" s="80"/>
      <c r="G72" s="80"/>
      <c r="H72" s="80"/>
      <c r="I72" s="37">
        <v>4</v>
      </c>
      <c r="J72" s="37">
        <v>35</v>
      </c>
      <c r="K72" s="37">
        <f t="shared" ref="K72:K74" si="286">J72*$J$83</f>
        <v>0</v>
      </c>
      <c r="L72" s="31" t="s">
        <v>105</v>
      </c>
      <c r="M72" s="80" t="s">
        <v>343</v>
      </c>
      <c r="N72" s="81"/>
      <c r="O72" s="81" t="s">
        <v>107</v>
      </c>
      <c r="P72" s="81"/>
      <c r="Q72" s="81"/>
      <c r="R72" s="81"/>
      <c r="S72" s="81"/>
      <c r="T72" s="81"/>
      <c r="U72" s="81"/>
      <c r="V72" s="31" t="s">
        <v>108</v>
      </c>
      <c r="W72" s="31" t="s">
        <v>271</v>
      </c>
      <c r="X72" s="31"/>
      <c r="Y72" s="31"/>
      <c r="Z72" s="31"/>
      <c r="AB72" s="11">
        <f t="shared" si="0"/>
        <v>0</v>
      </c>
      <c r="AC72" s="11">
        <f t="shared" si="1"/>
        <v>1</v>
      </c>
      <c r="AD72" s="11">
        <f t="shared" si="2"/>
        <v>1</v>
      </c>
      <c r="AF72" s="11">
        <f t="shared" ref="AF72:AG72" si="287">SUMIFS(AH$3:AH$200,$A$3:$A$200,$A72)</f>
        <v>0</v>
      </c>
      <c r="AG72" s="11">
        <f t="shared" si="287"/>
        <v>1</v>
      </c>
      <c r="AH72" s="11">
        <f t="shared" si="4"/>
        <v>0</v>
      </c>
      <c r="AI72" s="22">
        <v>1</v>
      </c>
      <c r="AJ72" s="22"/>
      <c r="AK72" s="82">
        <f t="shared" ref="AK72:AL72" si="288">SUMIFS(AM$3:AM$200,$A$3:$A$200,$A72)</f>
        <v>1</v>
      </c>
      <c r="AL72" s="22">
        <f t="shared" si="288"/>
        <v>1</v>
      </c>
      <c r="AM72" s="22">
        <f t="shared" si="6"/>
        <v>1</v>
      </c>
      <c r="AN72" s="22">
        <v>1</v>
      </c>
      <c r="AO72" s="22"/>
      <c r="AP72" s="22">
        <f t="shared" si="7"/>
        <v>0</v>
      </c>
      <c r="AQ72" s="22">
        <f t="shared" ref="AQ72:AT72" si="289">IF(OR(E72="",E72="TBD",E72="N/A",E72="SDK",E72="SAAS"),0,1)</f>
        <v>0</v>
      </c>
      <c r="AR72" s="22">
        <f t="shared" si="289"/>
        <v>0</v>
      </c>
      <c r="AS72" s="22">
        <f t="shared" si="289"/>
        <v>0</v>
      </c>
      <c r="AT72" s="22">
        <f t="shared" si="289"/>
        <v>0</v>
      </c>
      <c r="AV72" s="82">
        <f t="shared" si="9"/>
        <v>0</v>
      </c>
      <c r="AW72" s="22">
        <f t="shared" ref="AW72:AZ72" si="290">IF(OR(E72="",E72="N/A",E72="SDK",E72="SAAS"),0,1)</f>
        <v>0</v>
      </c>
      <c r="AX72" s="22">
        <f t="shared" si="290"/>
        <v>0</v>
      </c>
      <c r="AY72" s="22">
        <f t="shared" si="290"/>
        <v>0</v>
      </c>
      <c r="AZ72" s="22">
        <f t="shared" si="290"/>
        <v>0</v>
      </c>
    </row>
    <row r="73" spans="1:52">
      <c r="A73" s="78" t="s">
        <v>462</v>
      </c>
      <c r="B73" s="78" t="s">
        <v>14</v>
      </c>
      <c r="C73" s="258" t="s">
        <v>463</v>
      </c>
      <c r="D73" s="80"/>
      <c r="E73" s="80"/>
      <c r="F73" s="80"/>
      <c r="G73" s="80"/>
      <c r="H73" s="80"/>
      <c r="I73" s="37">
        <v>4</v>
      </c>
      <c r="J73" s="37">
        <v>10</v>
      </c>
      <c r="K73" s="37">
        <f t="shared" si="286"/>
        <v>0</v>
      </c>
      <c r="L73" s="31" t="s">
        <v>105</v>
      </c>
      <c r="M73" s="80" t="s">
        <v>343</v>
      </c>
      <c r="N73" s="81"/>
      <c r="O73" s="81" t="s">
        <v>107</v>
      </c>
      <c r="P73" s="81"/>
      <c r="Q73" s="81"/>
      <c r="R73" s="81"/>
      <c r="S73" s="81"/>
      <c r="T73" s="81"/>
      <c r="U73" s="81"/>
      <c r="V73" s="31" t="s">
        <v>108</v>
      </c>
      <c r="W73" s="31" t="s">
        <v>109</v>
      </c>
      <c r="X73" s="31"/>
      <c r="Y73" s="31"/>
      <c r="Z73" s="31"/>
      <c r="AB73" s="11">
        <f t="shared" si="0"/>
        <v>0</v>
      </c>
      <c r="AC73" s="11">
        <f t="shared" si="1"/>
        <v>1</v>
      </c>
      <c r="AD73" s="11">
        <f t="shared" si="2"/>
        <v>1</v>
      </c>
      <c r="AF73" s="11">
        <f t="shared" ref="AF73:AG73" si="291">SUMIFS(AH$3:AH$200,$A$3:$A$200,$A73)</f>
        <v>0</v>
      </c>
      <c r="AG73" s="11">
        <f t="shared" si="291"/>
        <v>1</v>
      </c>
      <c r="AH73" s="11">
        <f t="shared" si="4"/>
        <v>0</v>
      </c>
      <c r="AI73" s="22">
        <v>1</v>
      </c>
      <c r="AJ73" s="22"/>
      <c r="AK73" s="82">
        <f t="shared" ref="AK73:AL73" si="292">SUMIFS(AM$3:AM$200,$A$3:$A$200,$A73)</f>
        <v>1</v>
      </c>
      <c r="AL73" s="22">
        <f t="shared" si="292"/>
        <v>1</v>
      </c>
      <c r="AM73" s="22">
        <f t="shared" si="6"/>
        <v>1</v>
      </c>
      <c r="AN73" s="22">
        <v>1</v>
      </c>
      <c r="AO73" s="22"/>
      <c r="AP73" s="22">
        <f t="shared" si="7"/>
        <v>0</v>
      </c>
      <c r="AQ73" s="22">
        <f t="shared" ref="AQ73:AT73" si="293">IF(OR(E73="",E73="TBD",E73="N/A",E73="SDK",E73="SAAS"),0,1)</f>
        <v>0</v>
      </c>
      <c r="AR73" s="22">
        <f t="shared" si="293"/>
        <v>0</v>
      </c>
      <c r="AS73" s="22">
        <f t="shared" si="293"/>
        <v>0</v>
      </c>
      <c r="AT73" s="22">
        <f t="shared" si="293"/>
        <v>0</v>
      </c>
      <c r="AV73" s="82">
        <f t="shared" si="9"/>
        <v>0</v>
      </c>
      <c r="AW73" s="22">
        <f t="shared" ref="AW73:AZ73" si="294">IF(OR(E73="",E73="N/A",E73="SDK",E73="SAAS"),0,1)</f>
        <v>0</v>
      </c>
      <c r="AX73" s="22">
        <f t="shared" si="294"/>
        <v>0</v>
      </c>
      <c r="AY73" s="22">
        <f t="shared" si="294"/>
        <v>0</v>
      </c>
      <c r="AZ73" s="22">
        <f t="shared" si="294"/>
        <v>0</v>
      </c>
    </row>
    <row r="74" spans="1:52">
      <c r="A74" s="260" t="s">
        <v>464</v>
      </c>
      <c r="B74" s="261" t="s">
        <v>14</v>
      </c>
      <c r="C74" s="262" t="s">
        <v>465</v>
      </c>
      <c r="D74" s="80"/>
      <c r="E74" s="80"/>
      <c r="F74" s="80"/>
      <c r="G74" s="80"/>
      <c r="H74" s="80"/>
      <c r="I74" s="37">
        <v>4</v>
      </c>
      <c r="J74" s="37">
        <v>31</v>
      </c>
      <c r="K74" s="37">
        <f t="shared" si="286"/>
        <v>0</v>
      </c>
      <c r="L74" s="31" t="s">
        <v>105</v>
      </c>
      <c r="M74" s="80" t="s">
        <v>343</v>
      </c>
      <c r="N74" s="81"/>
      <c r="O74" s="81" t="s">
        <v>107</v>
      </c>
      <c r="P74" s="81"/>
      <c r="Q74" s="81"/>
      <c r="R74" s="81"/>
      <c r="S74" s="81"/>
      <c r="T74" s="81"/>
      <c r="U74" s="81"/>
      <c r="V74" s="31" t="s">
        <v>108</v>
      </c>
      <c r="W74" s="31" t="s">
        <v>271</v>
      </c>
      <c r="X74" s="31"/>
      <c r="Y74" s="31"/>
      <c r="Z74" s="31"/>
      <c r="AB74" s="11">
        <f t="shared" si="0"/>
        <v>0</v>
      </c>
      <c r="AC74" s="11">
        <f t="shared" si="1"/>
        <v>1</v>
      </c>
      <c r="AD74" s="11">
        <f t="shared" si="2"/>
        <v>1</v>
      </c>
      <c r="AF74" s="11">
        <f t="shared" ref="AF74:AG74" si="295">SUMIFS(AH$3:AH$200,$A$3:$A$200,$A74)</f>
        <v>0</v>
      </c>
      <c r="AG74" s="11">
        <f t="shared" si="295"/>
        <v>1</v>
      </c>
      <c r="AH74" s="11">
        <f t="shared" si="4"/>
        <v>0</v>
      </c>
      <c r="AI74" s="22">
        <v>1</v>
      </c>
      <c r="AJ74" s="22"/>
      <c r="AK74" s="82">
        <f t="shared" ref="AK74:AL74" si="296">SUMIFS(AM$3:AM$200,$A$3:$A$200,$A74)</f>
        <v>1</v>
      </c>
      <c r="AL74" s="22">
        <f t="shared" si="296"/>
        <v>1</v>
      </c>
      <c r="AM74" s="22">
        <f t="shared" si="6"/>
        <v>1</v>
      </c>
      <c r="AN74" s="22">
        <v>1</v>
      </c>
      <c r="AO74" s="22"/>
      <c r="AP74" s="22">
        <f t="shared" si="7"/>
        <v>0</v>
      </c>
      <c r="AQ74" s="22">
        <f t="shared" ref="AQ74:AT74" si="297">IF(OR(E74="",E74="TBD",E74="N/A",E74="SDK",E74="SAAS"),0,1)</f>
        <v>0</v>
      </c>
      <c r="AR74" s="22">
        <f t="shared" si="297"/>
        <v>0</v>
      </c>
      <c r="AS74" s="22">
        <f t="shared" si="297"/>
        <v>0</v>
      </c>
      <c r="AT74" s="22">
        <f t="shared" si="297"/>
        <v>0</v>
      </c>
      <c r="AV74" s="82">
        <f t="shared" si="9"/>
        <v>0</v>
      </c>
      <c r="AW74" s="22">
        <f t="shared" ref="AW74:AZ74" si="298">IF(OR(E74="",E74="N/A",E74="SDK",E74="SAAS"),0,1)</f>
        <v>0</v>
      </c>
      <c r="AX74" s="22">
        <f t="shared" si="298"/>
        <v>0</v>
      </c>
      <c r="AY74" s="22">
        <f t="shared" si="298"/>
        <v>0</v>
      </c>
      <c r="AZ74" s="22">
        <f t="shared" si="298"/>
        <v>0</v>
      </c>
    </row>
    <row r="75" spans="1:52">
      <c r="A75" s="79" t="s">
        <v>466</v>
      </c>
      <c r="B75" s="79" t="s">
        <v>14</v>
      </c>
      <c r="C75" s="259" t="s">
        <v>467</v>
      </c>
      <c r="D75" s="80"/>
      <c r="E75" s="80"/>
      <c r="F75" s="80"/>
      <c r="G75" s="80"/>
      <c r="H75" s="80"/>
      <c r="I75" s="37" t="s">
        <v>362</v>
      </c>
      <c r="J75" s="37" t="s">
        <v>362</v>
      </c>
      <c r="K75" s="37" t="s">
        <v>362</v>
      </c>
      <c r="L75" s="31" t="s">
        <v>105</v>
      </c>
      <c r="M75" s="80" t="s">
        <v>343</v>
      </c>
      <c r="N75" s="81"/>
      <c r="O75" s="31"/>
      <c r="P75" s="81"/>
      <c r="Q75" s="81"/>
      <c r="R75" s="81"/>
      <c r="S75" s="81" t="s">
        <v>107</v>
      </c>
      <c r="T75" s="81"/>
      <c r="U75" s="81"/>
      <c r="V75" s="31" t="s">
        <v>108</v>
      </c>
      <c r="W75" s="31" t="s">
        <v>109</v>
      </c>
      <c r="X75" s="31"/>
      <c r="Y75" s="31"/>
      <c r="Z75" s="31"/>
      <c r="AB75" s="11">
        <f t="shared" si="0"/>
        <v>0</v>
      </c>
      <c r="AC75" s="11">
        <f t="shared" si="1"/>
        <v>1</v>
      </c>
      <c r="AD75" s="11">
        <f t="shared" si="2"/>
        <v>1</v>
      </c>
      <c r="AF75" s="11">
        <f t="shared" ref="AF75:AG75" si="299">SUMIFS(AH$3:AH$200,$A$3:$A$200,$A75)</f>
        <v>0</v>
      </c>
      <c r="AG75" s="11">
        <f t="shared" si="299"/>
        <v>1</v>
      </c>
      <c r="AH75" s="11">
        <f t="shared" si="4"/>
        <v>0</v>
      </c>
      <c r="AI75" s="22">
        <v>1</v>
      </c>
      <c r="AK75" s="82">
        <f t="shared" ref="AK75:AL75" si="300">SUMIFS(AM$3:AM$200,$A$3:$A$200,$A75)</f>
        <v>1</v>
      </c>
      <c r="AL75" s="22">
        <f t="shared" si="300"/>
        <v>1</v>
      </c>
      <c r="AM75" s="22">
        <f t="shared" si="6"/>
        <v>1</v>
      </c>
      <c r="AN75" s="22">
        <v>1</v>
      </c>
      <c r="AP75" s="22">
        <f t="shared" si="7"/>
        <v>0</v>
      </c>
      <c r="AQ75" s="22">
        <f t="shared" ref="AQ75:AT75" si="301">IF(OR(E75="",E75="TBD",E75="N/A",E75="SDK",E75="SAAS"),0,1)</f>
        <v>0</v>
      </c>
      <c r="AR75" s="22">
        <f t="shared" si="301"/>
        <v>0</v>
      </c>
      <c r="AS75" s="22">
        <f t="shared" si="301"/>
        <v>0</v>
      </c>
      <c r="AT75" s="22">
        <f t="shared" si="301"/>
        <v>0</v>
      </c>
      <c r="AV75" s="82">
        <f t="shared" si="9"/>
        <v>0</v>
      </c>
      <c r="AW75" s="22">
        <f t="shared" ref="AW75:AZ75" si="302">IF(OR(E75="",E75="N/A",E75="SDK",E75="SAAS"),0,1)</f>
        <v>0</v>
      </c>
      <c r="AX75" s="22">
        <f t="shared" si="302"/>
        <v>0</v>
      </c>
      <c r="AY75" s="22">
        <f t="shared" si="302"/>
        <v>0</v>
      </c>
      <c r="AZ75" s="22">
        <f t="shared" si="302"/>
        <v>0</v>
      </c>
    </row>
    <row r="76" spans="1:52" hidden="1">
      <c r="A76" s="78" t="s">
        <v>468</v>
      </c>
      <c r="B76" s="79" t="s">
        <v>14</v>
      </c>
      <c r="C76" s="79" t="s">
        <v>469</v>
      </c>
      <c r="D76" s="79"/>
      <c r="E76" s="79"/>
      <c r="F76" s="79"/>
      <c r="G76" s="79"/>
      <c r="H76" s="79"/>
      <c r="I76" s="37">
        <v>4</v>
      </c>
      <c r="J76" s="37">
        <v>43</v>
      </c>
      <c r="K76" s="37">
        <f t="shared" ref="K76:K80" si="303">J76*$J$83</f>
        <v>0</v>
      </c>
      <c r="L76" s="31" t="s">
        <v>105</v>
      </c>
      <c r="M76" s="80" t="s">
        <v>343</v>
      </c>
      <c r="N76" s="81"/>
      <c r="O76" s="31"/>
      <c r="P76" s="81"/>
      <c r="Q76" s="81"/>
      <c r="R76" s="81"/>
      <c r="S76" s="81"/>
      <c r="T76" s="81" t="s">
        <v>107</v>
      </c>
      <c r="U76" s="81"/>
      <c r="V76" s="31" t="s">
        <v>181</v>
      </c>
      <c r="W76" s="31" t="s">
        <v>109</v>
      </c>
      <c r="X76" s="31"/>
      <c r="Y76" s="31"/>
      <c r="Z76" s="31"/>
      <c r="AB76" s="11">
        <f t="shared" si="0"/>
        <v>0</v>
      </c>
      <c r="AC76" s="11">
        <f t="shared" si="1"/>
        <v>1</v>
      </c>
      <c r="AD76" s="11">
        <f t="shared" si="2"/>
        <v>1</v>
      </c>
      <c r="AF76" s="11">
        <f t="shared" ref="AF76:AG76" si="304">SUMIFS(AH$3:AH$200,$A$3:$A$200,$A76)</f>
        <v>0</v>
      </c>
      <c r="AG76" s="11">
        <f t="shared" si="304"/>
        <v>1</v>
      </c>
      <c r="AH76" s="11">
        <f t="shared" si="4"/>
        <v>0</v>
      </c>
      <c r="AI76" s="22">
        <v>1</v>
      </c>
      <c r="AK76" s="82">
        <f t="shared" ref="AK76:AL76" si="305">SUMIFS(AM$3:AM$200,$A$3:$A$200,$A76)</f>
        <v>1</v>
      </c>
      <c r="AL76" s="22">
        <f t="shared" si="305"/>
        <v>1</v>
      </c>
      <c r="AM76" s="22">
        <f t="shared" si="6"/>
        <v>1</v>
      </c>
      <c r="AN76" s="22">
        <v>1</v>
      </c>
      <c r="AP76" s="22">
        <f t="shared" si="7"/>
        <v>0</v>
      </c>
      <c r="AQ76" s="22">
        <f t="shared" ref="AQ76:AT76" si="306">IF(OR(E76="",E76="TBD",E76="N/A",E76="SDK",E76="SAAS"),0,1)</f>
        <v>0</v>
      </c>
      <c r="AR76" s="22">
        <f t="shared" si="306"/>
        <v>0</v>
      </c>
      <c r="AS76" s="22">
        <f t="shared" si="306"/>
        <v>0</v>
      </c>
      <c r="AT76" s="22">
        <f t="shared" si="306"/>
        <v>0</v>
      </c>
      <c r="AV76" s="82">
        <f t="shared" si="9"/>
        <v>0</v>
      </c>
      <c r="AW76" s="22">
        <f t="shared" ref="AW76:AZ76" si="307">IF(OR(E76="",E76="N/A",E76="SDK",E76="SAAS"),0,1)</f>
        <v>0</v>
      </c>
      <c r="AX76" s="22">
        <f t="shared" si="307"/>
        <v>0</v>
      </c>
      <c r="AY76" s="22">
        <f t="shared" si="307"/>
        <v>0</v>
      </c>
      <c r="AZ76" s="22">
        <f t="shared" si="307"/>
        <v>0</v>
      </c>
    </row>
    <row r="77" spans="1:52">
      <c r="A77" s="78" t="s">
        <v>470</v>
      </c>
      <c r="B77" s="78" t="s">
        <v>14</v>
      </c>
      <c r="C77" s="258" t="s">
        <v>471</v>
      </c>
      <c r="D77" s="80"/>
      <c r="E77" s="80"/>
      <c r="F77" s="80"/>
      <c r="G77" s="80"/>
      <c r="H77" s="80"/>
      <c r="I77" s="37"/>
      <c r="J77" s="37">
        <v>62</v>
      </c>
      <c r="K77" s="37">
        <f t="shared" si="303"/>
        <v>0</v>
      </c>
      <c r="L77" s="31" t="s">
        <v>105</v>
      </c>
      <c r="M77" s="80" t="s">
        <v>472</v>
      </c>
      <c r="N77" s="81"/>
      <c r="O77" s="81" t="s">
        <v>107</v>
      </c>
      <c r="P77" s="81"/>
      <c r="Q77" s="81"/>
      <c r="R77" s="81"/>
      <c r="S77" s="81"/>
      <c r="T77" s="81"/>
      <c r="U77" s="81"/>
      <c r="V77" s="31" t="s">
        <v>108</v>
      </c>
      <c r="W77" s="31" t="s">
        <v>271</v>
      </c>
      <c r="X77" s="31"/>
      <c r="Y77" s="31"/>
      <c r="Z77" s="31"/>
      <c r="AB77" s="11">
        <f t="shared" si="0"/>
        <v>0</v>
      </c>
      <c r="AC77" s="11">
        <f t="shared" si="1"/>
        <v>1</v>
      </c>
      <c r="AD77" s="11">
        <f t="shared" si="2"/>
        <v>1</v>
      </c>
      <c r="AF77" s="11">
        <f t="shared" ref="AF77:AG77" si="308">SUMIFS(AH$3:AH$200,$A$3:$A$200,$A77)</f>
        <v>0</v>
      </c>
      <c r="AG77" s="11">
        <f t="shared" si="308"/>
        <v>1</v>
      </c>
      <c r="AH77" s="11">
        <f t="shared" si="4"/>
        <v>0</v>
      </c>
      <c r="AI77" s="22">
        <v>1</v>
      </c>
      <c r="AJ77" s="22"/>
      <c r="AK77" s="82">
        <f t="shared" ref="AK77:AL77" si="309">SUMIFS(AM$3:AM$200,$A$3:$A$200,$A77)</f>
        <v>1</v>
      </c>
      <c r="AL77" s="22">
        <f t="shared" si="309"/>
        <v>1</v>
      </c>
      <c r="AM77" s="22">
        <f t="shared" si="6"/>
        <v>1</v>
      </c>
      <c r="AN77" s="22">
        <v>1</v>
      </c>
      <c r="AO77" s="22"/>
      <c r="AP77" s="22">
        <f t="shared" si="7"/>
        <v>0</v>
      </c>
      <c r="AQ77" s="22">
        <f t="shared" ref="AQ77:AT77" si="310">IF(OR(E77="",E77="TBD",E77="N/A",E77="SDK",E77="SAAS"),0,1)</f>
        <v>0</v>
      </c>
      <c r="AR77" s="22">
        <f t="shared" si="310"/>
        <v>0</v>
      </c>
      <c r="AS77" s="22">
        <f t="shared" si="310"/>
        <v>0</v>
      </c>
      <c r="AT77" s="22">
        <f t="shared" si="310"/>
        <v>0</v>
      </c>
      <c r="AV77" s="82">
        <f t="shared" si="9"/>
        <v>0</v>
      </c>
      <c r="AW77" s="22">
        <f t="shared" ref="AW77:AZ77" si="311">IF(OR(E77="",E77="N/A",E77="SDK",E77="SAAS"),0,1)</f>
        <v>0</v>
      </c>
      <c r="AX77" s="22">
        <f t="shared" si="311"/>
        <v>0</v>
      </c>
      <c r="AY77" s="22">
        <f t="shared" si="311"/>
        <v>0</v>
      </c>
      <c r="AZ77" s="22">
        <f t="shared" si="311"/>
        <v>0</v>
      </c>
    </row>
    <row r="78" spans="1:52">
      <c r="A78" s="78" t="s">
        <v>473</v>
      </c>
      <c r="B78" s="78" t="s">
        <v>14</v>
      </c>
      <c r="C78" s="262" t="s">
        <v>474</v>
      </c>
      <c r="D78" s="80"/>
      <c r="E78" s="80"/>
      <c r="F78" s="80"/>
      <c r="G78" s="80"/>
      <c r="H78" s="80"/>
      <c r="I78" s="37"/>
      <c r="J78" s="37">
        <v>26</v>
      </c>
      <c r="K78" s="37">
        <f t="shared" si="303"/>
        <v>0</v>
      </c>
      <c r="L78" s="31" t="s">
        <v>105</v>
      </c>
      <c r="M78" s="80" t="s">
        <v>472</v>
      </c>
      <c r="N78" s="81"/>
      <c r="O78" s="81" t="s">
        <v>107</v>
      </c>
      <c r="P78" s="81"/>
      <c r="Q78" s="81"/>
      <c r="R78" s="81"/>
      <c r="S78" s="81"/>
      <c r="T78" s="81"/>
      <c r="U78" s="81"/>
      <c r="V78" s="31" t="s">
        <v>108</v>
      </c>
      <c r="W78" s="31" t="s">
        <v>109</v>
      </c>
      <c r="X78" s="31"/>
      <c r="Y78" s="31"/>
      <c r="Z78" s="31"/>
      <c r="AB78" s="11">
        <f t="shared" si="0"/>
        <v>0</v>
      </c>
      <c r="AC78" s="11">
        <f t="shared" si="1"/>
        <v>1</v>
      </c>
      <c r="AD78" s="11">
        <f t="shared" si="2"/>
        <v>1</v>
      </c>
      <c r="AF78" s="11">
        <f t="shared" ref="AF78:AG78" si="312">SUMIFS(AH$3:AH$200,$A$3:$A$200,$A78)</f>
        <v>0</v>
      </c>
      <c r="AG78" s="11">
        <f t="shared" si="312"/>
        <v>1</v>
      </c>
      <c r="AH78" s="11">
        <f t="shared" si="4"/>
        <v>0</v>
      </c>
      <c r="AI78" s="22">
        <v>1</v>
      </c>
      <c r="AJ78" s="22"/>
      <c r="AK78" s="82">
        <f t="shared" ref="AK78:AL78" si="313">SUMIFS(AM$3:AM$200,$A$3:$A$200,$A78)</f>
        <v>1</v>
      </c>
      <c r="AL78" s="22">
        <f t="shared" si="313"/>
        <v>1</v>
      </c>
      <c r="AM78" s="22">
        <f t="shared" si="6"/>
        <v>1</v>
      </c>
      <c r="AN78" s="22">
        <v>1</v>
      </c>
      <c r="AO78" s="22"/>
      <c r="AP78" s="22">
        <f t="shared" si="7"/>
        <v>0</v>
      </c>
      <c r="AQ78" s="22">
        <f t="shared" ref="AQ78:AT78" si="314">IF(OR(E78="",E78="TBD",E78="N/A",E78="SDK",E78="SAAS"),0,1)</f>
        <v>0</v>
      </c>
      <c r="AR78" s="22">
        <f t="shared" si="314"/>
        <v>0</v>
      </c>
      <c r="AS78" s="22">
        <f t="shared" si="314"/>
        <v>0</v>
      </c>
      <c r="AT78" s="22">
        <f t="shared" si="314"/>
        <v>0</v>
      </c>
      <c r="AV78" s="82">
        <f t="shared" si="9"/>
        <v>0</v>
      </c>
      <c r="AW78" s="22">
        <f t="shared" ref="AW78:AZ78" si="315">IF(OR(E78="",E78="N/A",E78="SDK",E78="SAAS"),0,1)</f>
        <v>0</v>
      </c>
      <c r="AX78" s="22">
        <f t="shared" si="315"/>
        <v>0</v>
      </c>
      <c r="AY78" s="22">
        <f t="shared" si="315"/>
        <v>0</v>
      </c>
      <c r="AZ78" s="22">
        <f t="shared" si="315"/>
        <v>0</v>
      </c>
    </row>
    <row r="79" spans="1:52">
      <c r="A79" s="78" t="s">
        <v>475</v>
      </c>
      <c r="B79" s="78" t="s">
        <v>14</v>
      </c>
      <c r="C79" s="258" t="s">
        <v>476</v>
      </c>
      <c r="D79" s="80"/>
      <c r="E79" s="80"/>
      <c r="F79" s="80"/>
      <c r="G79" s="80"/>
      <c r="H79" s="80"/>
      <c r="I79" s="37"/>
      <c r="J79" s="37">
        <v>59</v>
      </c>
      <c r="K79" s="37">
        <f t="shared" si="303"/>
        <v>0</v>
      </c>
      <c r="L79" s="31" t="s">
        <v>105</v>
      </c>
      <c r="M79" s="80" t="s">
        <v>472</v>
      </c>
      <c r="N79" s="81"/>
      <c r="O79" s="81" t="s">
        <v>107</v>
      </c>
      <c r="P79" s="81"/>
      <c r="Q79" s="81"/>
      <c r="R79" s="81"/>
      <c r="S79" s="81"/>
      <c r="T79" s="81"/>
      <c r="U79" s="81"/>
      <c r="V79" s="31" t="s">
        <v>108</v>
      </c>
      <c r="W79" s="31" t="s">
        <v>109</v>
      </c>
      <c r="X79" s="31"/>
      <c r="Y79" s="31"/>
      <c r="Z79" s="31"/>
      <c r="AB79" s="11">
        <f t="shared" si="0"/>
        <v>0</v>
      </c>
      <c r="AC79" s="11">
        <f t="shared" si="1"/>
        <v>1</v>
      </c>
      <c r="AD79" s="11">
        <f t="shared" si="2"/>
        <v>1</v>
      </c>
      <c r="AF79" s="11">
        <f t="shared" ref="AF79:AG79" si="316">SUMIFS(AH$3:AH$200,$A$3:$A$200,$A79)</f>
        <v>0</v>
      </c>
      <c r="AG79" s="11">
        <f t="shared" si="316"/>
        <v>1</v>
      </c>
      <c r="AH79" s="11">
        <f t="shared" si="4"/>
        <v>0</v>
      </c>
      <c r="AI79" s="22">
        <v>1</v>
      </c>
      <c r="AJ79" s="22"/>
      <c r="AK79" s="82">
        <f t="shared" ref="AK79:AL79" si="317">SUMIFS(AM$3:AM$200,$A$3:$A$200,$A79)</f>
        <v>1</v>
      </c>
      <c r="AL79" s="22">
        <f t="shared" si="317"/>
        <v>1</v>
      </c>
      <c r="AM79" s="22">
        <f t="shared" si="6"/>
        <v>1</v>
      </c>
      <c r="AN79" s="22">
        <v>1</v>
      </c>
      <c r="AO79" s="22"/>
      <c r="AP79" s="22">
        <f t="shared" si="7"/>
        <v>0</v>
      </c>
      <c r="AQ79" s="22">
        <f t="shared" ref="AQ79:AT79" si="318">IF(OR(E79="",E79="TBD",E79="N/A",E79="SDK",E79="SAAS"),0,1)</f>
        <v>0</v>
      </c>
      <c r="AR79" s="22">
        <f t="shared" si="318"/>
        <v>0</v>
      </c>
      <c r="AS79" s="22">
        <f t="shared" si="318"/>
        <v>0</v>
      </c>
      <c r="AT79" s="22">
        <f t="shared" si="318"/>
        <v>0</v>
      </c>
      <c r="AV79" s="82">
        <f t="shared" si="9"/>
        <v>0</v>
      </c>
      <c r="AW79" s="22">
        <f t="shared" ref="AW79:AZ79" si="319">IF(OR(E79="",E79="N/A",E79="SDK",E79="SAAS"),0,1)</f>
        <v>0</v>
      </c>
      <c r="AX79" s="22">
        <f t="shared" si="319"/>
        <v>0</v>
      </c>
      <c r="AY79" s="22">
        <f t="shared" si="319"/>
        <v>0</v>
      </c>
      <c r="AZ79" s="22">
        <f t="shared" si="319"/>
        <v>0</v>
      </c>
    </row>
    <row r="80" spans="1:52">
      <c r="A80" s="78" t="s">
        <v>477</v>
      </c>
      <c r="B80" s="78" t="s">
        <v>14</v>
      </c>
      <c r="C80" s="258" t="s">
        <v>478</v>
      </c>
      <c r="D80" s="80"/>
      <c r="E80" s="80"/>
      <c r="F80" s="80"/>
      <c r="G80" s="80"/>
      <c r="H80" s="80"/>
      <c r="I80" s="37"/>
      <c r="J80" s="37">
        <v>41</v>
      </c>
      <c r="K80" s="37">
        <f t="shared" si="303"/>
        <v>0</v>
      </c>
      <c r="L80" s="31" t="s">
        <v>105</v>
      </c>
      <c r="M80" s="80" t="s">
        <v>472</v>
      </c>
      <c r="N80" s="81"/>
      <c r="O80" s="81" t="s">
        <v>107</v>
      </c>
      <c r="P80" s="81"/>
      <c r="Q80" s="81"/>
      <c r="R80" s="81"/>
      <c r="S80" s="81"/>
      <c r="T80" s="81"/>
      <c r="U80" s="81"/>
      <c r="V80" s="31" t="s">
        <v>108</v>
      </c>
      <c r="W80" s="31" t="s">
        <v>109</v>
      </c>
      <c r="X80" s="31"/>
      <c r="Y80" s="31"/>
      <c r="Z80" s="31"/>
      <c r="AB80" s="11">
        <f t="shared" si="0"/>
        <v>0</v>
      </c>
      <c r="AC80" s="11">
        <f t="shared" si="1"/>
        <v>1</v>
      </c>
      <c r="AD80" s="11">
        <f t="shared" si="2"/>
        <v>1</v>
      </c>
      <c r="AF80" s="11">
        <f t="shared" ref="AF80:AG80" si="320">SUMIFS(AH$3:AH$200,$A$3:$A$200,$A80)</f>
        <v>0</v>
      </c>
      <c r="AG80" s="11">
        <f t="shared" si="320"/>
        <v>1</v>
      </c>
      <c r="AH80" s="11">
        <f t="shared" si="4"/>
        <v>0</v>
      </c>
      <c r="AI80" s="22">
        <v>1</v>
      </c>
      <c r="AJ80" s="22"/>
      <c r="AK80" s="82">
        <f t="shared" ref="AK80:AL80" si="321">SUMIFS(AM$3:AM$200,$A$3:$A$200,$A80)</f>
        <v>1</v>
      </c>
      <c r="AL80" s="22">
        <f t="shared" si="321"/>
        <v>1</v>
      </c>
      <c r="AM80" s="22">
        <f t="shared" si="6"/>
        <v>1</v>
      </c>
      <c r="AN80" s="22">
        <v>1</v>
      </c>
      <c r="AO80" s="22"/>
      <c r="AP80" s="22">
        <f t="shared" si="7"/>
        <v>0</v>
      </c>
      <c r="AQ80" s="22">
        <f t="shared" ref="AQ80:AT80" si="322">IF(OR(E80="",E80="TBD",E80="N/A",E80="SDK",E80="SAAS"),0,1)</f>
        <v>0</v>
      </c>
      <c r="AR80" s="22">
        <f t="shared" si="322"/>
        <v>0</v>
      </c>
      <c r="AS80" s="22">
        <f t="shared" si="322"/>
        <v>0</v>
      </c>
      <c r="AT80" s="22">
        <f t="shared" si="322"/>
        <v>0</v>
      </c>
      <c r="AV80" s="82">
        <f t="shared" si="9"/>
        <v>0</v>
      </c>
      <c r="AW80" s="22">
        <f t="shared" ref="AW80:AZ80" si="323">IF(OR(E80="",E80="N/A",E80="SDK",E80="SAAS"),0,1)</f>
        <v>0</v>
      </c>
      <c r="AX80" s="22">
        <f t="shared" si="323"/>
        <v>0</v>
      </c>
      <c r="AY80" s="22">
        <f t="shared" si="323"/>
        <v>0</v>
      </c>
      <c r="AZ80" s="22">
        <f t="shared" si="323"/>
        <v>0</v>
      </c>
    </row>
    <row r="81" spans="1:52">
      <c r="A81" s="78" t="s">
        <v>479</v>
      </c>
      <c r="B81" s="78" t="s">
        <v>341</v>
      </c>
      <c r="C81" s="258" t="s">
        <v>480</v>
      </c>
      <c r="D81" s="79"/>
      <c r="E81" s="79"/>
      <c r="F81" s="79"/>
      <c r="G81" s="79"/>
      <c r="H81" s="79"/>
      <c r="I81" s="37"/>
      <c r="J81" s="37"/>
      <c r="K81" s="37"/>
      <c r="L81" s="31" t="s">
        <v>105</v>
      </c>
      <c r="M81" s="80" t="s">
        <v>343</v>
      </c>
      <c r="N81" s="81"/>
      <c r="O81" s="31"/>
      <c r="P81" s="81"/>
      <c r="Q81" s="81"/>
      <c r="R81" s="81"/>
      <c r="S81" s="81"/>
      <c r="T81" s="81" t="s">
        <v>107</v>
      </c>
      <c r="U81" s="81"/>
      <c r="V81" s="31" t="s">
        <v>108</v>
      </c>
      <c r="W81" s="31" t="s">
        <v>109</v>
      </c>
      <c r="X81" s="31"/>
      <c r="Y81" s="31"/>
      <c r="Z81" s="31"/>
      <c r="AB81" s="11">
        <f t="shared" si="0"/>
        <v>0</v>
      </c>
      <c r="AC81" s="11">
        <f t="shared" si="1"/>
        <v>1</v>
      </c>
      <c r="AD81" s="11">
        <f t="shared" si="2"/>
        <v>1</v>
      </c>
      <c r="AF81" s="11">
        <f t="shared" ref="AF81:AG81" si="324">SUMIFS(AH$3:AH$200,$A$3:$A$200,$A81)</f>
        <v>0</v>
      </c>
      <c r="AG81" s="11">
        <f t="shared" si="324"/>
        <v>1</v>
      </c>
      <c r="AH81" s="11">
        <f t="shared" si="4"/>
        <v>0</v>
      </c>
      <c r="AI81" s="22">
        <v>1</v>
      </c>
      <c r="AK81" s="82">
        <f t="shared" ref="AK81:AL81" si="325">SUMIFS(AM$3:AM$200,$A$3:$A$200,$A81)</f>
        <v>1</v>
      </c>
      <c r="AL81" s="22">
        <f t="shared" si="325"/>
        <v>1</v>
      </c>
      <c r="AM81" s="22">
        <f t="shared" si="6"/>
        <v>1</v>
      </c>
      <c r="AN81" s="22">
        <v>1</v>
      </c>
      <c r="AP81" s="22">
        <f t="shared" si="7"/>
        <v>0</v>
      </c>
      <c r="AQ81" s="22">
        <f t="shared" ref="AQ81:AT81" si="326">IF(OR(E81="",E81="TBD",E81="N/A",E81="SDK",E81="SAAS"),0,1)</f>
        <v>0</v>
      </c>
      <c r="AR81" s="22">
        <f t="shared" si="326"/>
        <v>0</v>
      </c>
      <c r="AS81" s="22">
        <f t="shared" si="326"/>
        <v>0</v>
      </c>
      <c r="AT81" s="22">
        <f t="shared" si="326"/>
        <v>0</v>
      </c>
      <c r="AV81" s="82">
        <f t="shared" si="9"/>
        <v>0</v>
      </c>
      <c r="AW81" s="22">
        <f t="shared" ref="AW81:AZ81" si="327">IF(OR(E81="",E81="N/A",E81="SDK",E81="SAAS"),0,1)</f>
        <v>0</v>
      </c>
      <c r="AX81" s="22">
        <f t="shared" si="327"/>
        <v>0</v>
      </c>
      <c r="AY81" s="22">
        <f t="shared" si="327"/>
        <v>0</v>
      </c>
      <c r="AZ81" s="22">
        <f t="shared" si="327"/>
        <v>0</v>
      </c>
    </row>
    <row r="82" spans="1:52">
      <c r="A82" s="78" t="s">
        <v>481</v>
      </c>
      <c r="B82" s="78" t="s">
        <v>341</v>
      </c>
      <c r="C82" s="258" t="s">
        <v>482</v>
      </c>
      <c r="D82" s="79"/>
      <c r="E82" s="79"/>
      <c r="F82" s="79"/>
      <c r="G82" s="79"/>
      <c r="H82" s="79"/>
      <c r="I82" s="37"/>
      <c r="J82" s="37"/>
      <c r="K82" s="37"/>
      <c r="L82" s="31" t="s">
        <v>105</v>
      </c>
      <c r="M82" s="80" t="s">
        <v>343</v>
      </c>
      <c r="N82" s="81"/>
      <c r="O82" s="31"/>
      <c r="P82" s="81"/>
      <c r="Q82" s="81"/>
      <c r="R82" s="81"/>
      <c r="S82" s="81"/>
      <c r="T82" s="81" t="s">
        <v>107</v>
      </c>
      <c r="U82" s="81"/>
      <c r="V82" s="31" t="s">
        <v>108</v>
      </c>
      <c r="W82" s="31" t="s">
        <v>109</v>
      </c>
      <c r="X82" s="31"/>
      <c r="Y82" s="31"/>
      <c r="Z82" s="31"/>
      <c r="AB82" s="11">
        <f t="shared" si="0"/>
        <v>0</v>
      </c>
      <c r="AC82" s="11">
        <f t="shared" si="1"/>
        <v>1</v>
      </c>
      <c r="AD82" s="11">
        <f t="shared" si="2"/>
        <v>1</v>
      </c>
      <c r="AF82" s="11">
        <f t="shared" ref="AF82:AG82" si="328">SUMIFS(AH$3:AH$200,$A$3:$A$200,$A82)</f>
        <v>0</v>
      </c>
      <c r="AG82" s="11">
        <f t="shared" si="328"/>
        <v>1</v>
      </c>
      <c r="AH82" s="11">
        <f t="shared" si="4"/>
        <v>0</v>
      </c>
      <c r="AI82" s="22">
        <v>1</v>
      </c>
      <c r="AK82" s="82">
        <f t="shared" ref="AK82:AL82" si="329">SUMIFS(AM$3:AM$200,$A$3:$A$200,$A82)</f>
        <v>1</v>
      </c>
      <c r="AL82" s="22">
        <f t="shared" si="329"/>
        <v>1</v>
      </c>
      <c r="AM82" s="22">
        <f t="shared" si="6"/>
        <v>1</v>
      </c>
      <c r="AN82" s="22">
        <v>1</v>
      </c>
      <c r="AP82" s="22">
        <f t="shared" si="7"/>
        <v>0</v>
      </c>
      <c r="AQ82" s="22">
        <f t="shared" ref="AQ82:AT82" si="330">IF(OR(E82="",E82="TBD",E82="N/A",E82="SDK",E82="SAAS"),0,1)</f>
        <v>0</v>
      </c>
      <c r="AR82" s="22">
        <f t="shared" si="330"/>
        <v>0</v>
      </c>
      <c r="AS82" s="22">
        <f t="shared" si="330"/>
        <v>0</v>
      </c>
      <c r="AT82" s="22">
        <f t="shared" si="330"/>
        <v>0</v>
      </c>
      <c r="AV82" s="82">
        <f t="shared" si="9"/>
        <v>0</v>
      </c>
      <c r="AW82" s="22">
        <f t="shared" ref="AW82:AZ82" si="331">IF(OR(E82="",E82="N/A",E82="SDK",E82="SAAS"),0,1)</f>
        <v>0</v>
      </c>
      <c r="AX82" s="22">
        <f t="shared" si="331"/>
        <v>0</v>
      </c>
      <c r="AY82" s="22">
        <f t="shared" si="331"/>
        <v>0</v>
      </c>
      <c r="AZ82" s="22">
        <f t="shared" si="331"/>
        <v>0</v>
      </c>
    </row>
    <row r="83" spans="1:52">
      <c r="A83" s="78" t="s">
        <v>483</v>
      </c>
      <c r="B83" s="78" t="s">
        <v>341</v>
      </c>
      <c r="C83" s="258" t="s">
        <v>484</v>
      </c>
      <c r="D83" s="79"/>
      <c r="E83" s="79"/>
      <c r="F83" s="79"/>
      <c r="G83" s="79"/>
      <c r="H83" s="79"/>
      <c r="I83" s="37"/>
      <c r="J83" s="37"/>
      <c r="K83" s="37"/>
      <c r="L83" s="31" t="s">
        <v>105</v>
      </c>
      <c r="M83" s="80" t="s">
        <v>343</v>
      </c>
      <c r="N83" s="81"/>
      <c r="O83" s="31"/>
      <c r="P83" s="81"/>
      <c r="Q83" s="81"/>
      <c r="R83" s="81"/>
      <c r="S83" s="81"/>
      <c r="T83" s="81" t="s">
        <v>107</v>
      </c>
      <c r="U83" s="81"/>
      <c r="V83" s="31" t="s">
        <v>108</v>
      </c>
      <c r="W83" s="31" t="s">
        <v>109</v>
      </c>
      <c r="X83" s="31"/>
      <c r="Y83" s="31"/>
      <c r="Z83" s="31"/>
      <c r="AB83" s="11">
        <f t="shared" si="0"/>
        <v>0</v>
      </c>
      <c r="AC83" s="11">
        <f t="shared" si="1"/>
        <v>1</v>
      </c>
      <c r="AD83" s="11">
        <f t="shared" si="2"/>
        <v>1</v>
      </c>
      <c r="AF83" s="11">
        <f t="shared" ref="AF83:AG83" si="332">SUMIFS(AH$3:AH$200,$A$3:$A$200,$A83)</f>
        <v>0</v>
      </c>
      <c r="AG83" s="11">
        <f t="shared" si="332"/>
        <v>1</v>
      </c>
      <c r="AH83" s="11">
        <f t="shared" si="4"/>
        <v>0</v>
      </c>
      <c r="AI83" s="22">
        <v>1</v>
      </c>
      <c r="AK83" s="82">
        <f t="shared" ref="AK83:AL83" si="333">SUMIFS(AM$3:AM$200,$A$3:$A$200,$A83)</f>
        <v>1</v>
      </c>
      <c r="AL83" s="22">
        <f t="shared" si="333"/>
        <v>1</v>
      </c>
      <c r="AM83" s="22">
        <f t="shared" si="6"/>
        <v>1</v>
      </c>
      <c r="AN83" s="22">
        <v>1</v>
      </c>
      <c r="AP83" s="22">
        <f t="shared" si="7"/>
        <v>0</v>
      </c>
      <c r="AQ83" s="22">
        <f t="shared" ref="AQ83:AT83" si="334">IF(OR(E83="",E83="TBD",E83="N/A",E83="SDK",E83="SAAS"),0,1)</f>
        <v>0</v>
      </c>
      <c r="AR83" s="22">
        <f t="shared" si="334"/>
        <v>0</v>
      </c>
      <c r="AS83" s="22">
        <f t="shared" si="334"/>
        <v>0</v>
      </c>
      <c r="AT83" s="22">
        <f t="shared" si="334"/>
        <v>0</v>
      </c>
      <c r="AV83" s="82">
        <f t="shared" si="9"/>
        <v>0</v>
      </c>
      <c r="AW83" s="22">
        <f t="shared" ref="AW83:AZ83" si="335">IF(OR(E83="",E83="N/A",E83="SDK",E83="SAAS"),0,1)</f>
        <v>0</v>
      </c>
      <c r="AX83" s="22">
        <f t="shared" si="335"/>
        <v>0</v>
      </c>
      <c r="AY83" s="22">
        <f t="shared" si="335"/>
        <v>0</v>
      </c>
      <c r="AZ83" s="22">
        <f t="shared" si="335"/>
        <v>0</v>
      </c>
    </row>
    <row r="84" spans="1:52">
      <c r="A84" s="78" t="s">
        <v>485</v>
      </c>
      <c r="B84" s="78" t="s">
        <v>341</v>
      </c>
      <c r="C84" s="258" t="s">
        <v>486</v>
      </c>
      <c r="D84" s="79"/>
      <c r="E84" s="130"/>
      <c r="F84" s="130"/>
      <c r="G84" s="130"/>
      <c r="H84" s="130"/>
      <c r="I84" s="131"/>
      <c r="J84" s="132"/>
      <c r="K84" s="131"/>
      <c r="L84" s="130" t="s">
        <v>105</v>
      </c>
      <c r="M84" s="133" t="s">
        <v>343</v>
      </c>
      <c r="N84" s="130"/>
      <c r="O84" s="130"/>
      <c r="P84" s="130"/>
      <c r="Q84" s="130"/>
      <c r="R84" s="130"/>
      <c r="S84" s="130"/>
      <c r="T84" s="134" t="s">
        <v>107</v>
      </c>
      <c r="U84" s="130"/>
      <c r="V84" s="130" t="s">
        <v>108</v>
      </c>
      <c r="W84" s="130" t="s">
        <v>109</v>
      </c>
      <c r="X84" s="130"/>
      <c r="Y84" s="130"/>
      <c r="Z84" s="130"/>
      <c r="AB84" s="11">
        <f t="shared" si="0"/>
        <v>0</v>
      </c>
      <c r="AC84" s="11">
        <f t="shared" si="1"/>
        <v>1</v>
      </c>
      <c r="AD84" s="11">
        <f t="shared" si="2"/>
        <v>1</v>
      </c>
      <c r="AF84" s="11">
        <f t="shared" ref="AF84:AG84" si="336">SUMIFS(AH$3:AH$200,$A$3:$A$200,$A84)</f>
        <v>0</v>
      </c>
      <c r="AG84" s="11">
        <f t="shared" si="336"/>
        <v>1</v>
      </c>
      <c r="AH84" s="11">
        <f t="shared" si="4"/>
        <v>0</v>
      </c>
      <c r="AI84" s="22">
        <v>1</v>
      </c>
      <c r="AK84" s="82">
        <f t="shared" ref="AK84:AL84" si="337">SUMIFS(AM$3:AM$200,$A$3:$A$200,$A84)</f>
        <v>1</v>
      </c>
      <c r="AL84" s="22">
        <f t="shared" si="337"/>
        <v>1</v>
      </c>
      <c r="AM84" s="22">
        <f t="shared" si="6"/>
        <v>1</v>
      </c>
      <c r="AN84" s="22">
        <v>1</v>
      </c>
      <c r="AP84" s="22">
        <f t="shared" si="7"/>
        <v>0</v>
      </c>
      <c r="AQ84" s="22">
        <f t="shared" ref="AQ84:AT84" si="338">IF(OR(E84="",E84="TBD",E84="N/A",E84="SDK",E84="SAAS"),0,1)</f>
        <v>0</v>
      </c>
      <c r="AR84" s="22">
        <f t="shared" si="338"/>
        <v>0</v>
      </c>
      <c r="AS84" s="22">
        <f t="shared" si="338"/>
        <v>0</v>
      </c>
      <c r="AT84" s="22">
        <f t="shared" si="338"/>
        <v>0</v>
      </c>
      <c r="AV84" s="82">
        <f t="shared" si="9"/>
        <v>0</v>
      </c>
      <c r="AW84" s="22">
        <f t="shared" ref="AW84:AZ84" si="339">IF(OR(E84="",E84="N/A",E84="SDK",E84="SAAS"),0,1)</f>
        <v>0</v>
      </c>
      <c r="AX84" s="22">
        <f t="shared" si="339"/>
        <v>0</v>
      </c>
      <c r="AY84" s="22">
        <f t="shared" si="339"/>
        <v>0</v>
      </c>
      <c r="AZ84" s="22">
        <f t="shared" si="339"/>
        <v>0</v>
      </c>
    </row>
    <row r="85" spans="1:52">
      <c r="A85" s="78" t="s">
        <v>487</v>
      </c>
      <c r="B85" s="78" t="s">
        <v>341</v>
      </c>
      <c r="C85" s="258" t="s">
        <v>488</v>
      </c>
      <c r="D85" s="79"/>
      <c r="E85" s="130"/>
      <c r="F85" s="130"/>
      <c r="G85" s="130"/>
      <c r="H85" s="130"/>
      <c r="I85" s="131"/>
      <c r="J85" s="131"/>
      <c r="K85" s="131"/>
      <c r="L85" s="130" t="s">
        <v>105</v>
      </c>
      <c r="M85" s="133" t="s">
        <v>343</v>
      </c>
      <c r="N85" s="130"/>
      <c r="O85" s="130"/>
      <c r="P85" s="130"/>
      <c r="Q85" s="130"/>
      <c r="R85" s="130"/>
      <c r="S85" s="130"/>
      <c r="T85" s="134" t="s">
        <v>107</v>
      </c>
      <c r="U85" s="130"/>
      <c r="V85" s="130" t="s">
        <v>108</v>
      </c>
      <c r="W85" s="130" t="s">
        <v>109</v>
      </c>
      <c r="X85" s="130"/>
      <c r="Y85" s="130"/>
      <c r="Z85" s="130"/>
      <c r="AB85" s="11">
        <f t="shared" si="0"/>
        <v>0</v>
      </c>
      <c r="AC85" s="11">
        <f t="shared" si="1"/>
        <v>1</v>
      </c>
      <c r="AD85" s="11">
        <f t="shared" si="2"/>
        <v>1</v>
      </c>
      <c r="AF85" s="11">
        <f t="shared" ref="AF85:AG85" si="340">SUMIFS(AH$3:AH$200,$A$3:$A$200,$A85)</f>
        <v>0</v>
      </c>
      <c r="AG85" s="11">
        <f t="shared" si="340"/>
        <v>1</v>
      </c>
      <c r="AH85" s="11">
        <f t="shared" si="4"/>
        <v>0</v>
      </c>
      <c r="AI85" s="22">
        <v>1</v>
      </c>
      <c r="AK85" s="82">
        <f t="shared" ref="AK85:AL85" si="341">SUMIFS(AM$3:AM$200,$A$3:$A$200,$A85)</f>
        <v>1</v>
      </c>
      <c r="AL85" s="22">
        <f t="shared" si="341"/>
        <v>1</v>
      </c>
      <c r="AM85" s="22">
        <f t="shared" si="6"/>
        <v>1</v>
      </c>
      <c r="AN85" s="22">
        <v>1</v>
      </c>
      <c r="AP85" s="22">
        <f t="shared" si="7"/>
        <v>0</v>
      </c>
      <c r="AQ85" s="22">
        <f t="shared" ref="AQ85:AT85" si="342">IF(OR(E85="",E85="TBD",E85="N/A",E85="SDK",E85="SAAS"),0,1)</f>
        <v>0</v>
      </c>
      <c r="AR85" s="22">
        <f t="shared" si="342"/>
        <v>0</v>
      </c>
      <c r="AS85" s="22">
        <f t="shared" si="342"/>
        <v>0</v>
      </c>
      <c r="AT85" s="22">
        <f t="shared" si="342"/>
        <v>0</v>
      </c>
      <c r="AV85" s="82">
        <f t="shared" si="9"/>
        <v>0</v>
      </c>
      <c r="AW85" s="22">
        <f t="shared" ref="AW85:AZ85" si="343">IF(OR(E85="",E85="N/A",E85="SDK",E85="SAAS"),0,1)</f>
        <v>0</v>
      </c>
      <c r="AX85" s="22">
        <f t="shared" si="343"/>
        <v>0</v>
      </c>
      <c r="AY85" s="22">
        <f t="shared" si="343"/>
        <v>0</v>
      </c>
      <c r="AZ85" s="22">
        <f t="shared" si="343"/>
        <v>0</v>
      </c>
    </row>
    <row r="86" spans="1:52">
      <c r="A86" s="78" t="s">
        <v>489</v>
      </c>
      <c r="B86" s="78" t="s">
        <v>341</v>
      </c>
      <c r="C86" s="258" t="s">
        <v>490</v>
      </c>
      <c r="D86" s="79"/>
      <c r="E86" s="130"/>
      <c r="F86" s="130"/>
      <c r="G86" s="130"/>
      <c r="H86" s="130"/>
      <c r="I86" s="131"/>
      <c r="J86" s="131"/>
      <c r="K86" s="131"/>
      <c r="L86" s="130" t="s">
        <v>105</v>
      </c>
      <c r="M86" s="133" t="s">
        <v>343</v>
      </c>
      <c r="N86" s="130"/>
      <c r="O86" s="130"/>
      <c r="P86" s="130"/>
      <c r="Q86" s="130"/>
      <c r="R86" s="130"/>
      <c r="S86" s="130"/>
      <c r="T86" s="134" t="s">
        <v>107</v>
      </c>
      <c r="U86" s="130"/>
      <c r="V86" s="130" t="s">
        <v>108</v>
      </c>
      <c r="W86" s="130" t="s">
        <v>109</v>
      </c>
      <c r="X86" s="130"/>
      <c r="Y86" s="130"/>
      <c r="Z86" s="130"/>
      <c r="AB86" s="11">
        <f t="shared" si="0"/>
        <v>0</v>
      </c>
      <c r="AC86" s="11">
        <f t="shared" si="1"/>
        <v>1</v>
      </c>
      <c r="AD86" s="11">
        <f t="shared" si="2"/>
        <v>1</v>
      </c>
      <c r="AF86" s="11">
        <f t="shared" ref="AF86:AG86" si="344">SUMIFS(AH$3:AH$200,$A$3:$A$200,$A86)</f>
        <v>0</v>
      </c>
      <c r="AG86" s="11">
        <f t="shared" si="344"/>
        <v>1</v>
      </c>
      <c r="AH86" s="11">
        <f t="shared" si="4"/>
        <v>0</v>
      </c>
      <c r="AI86" s="22">
        <v>1</v>
      </c>
      <c r="AK86" s="82">
        <f t="shared" ref="AK86:AL86" si="345">SUMIFS(AM$3:AM$200,$A$3:$A$200,$A86)</f>
        <v>1</v>
      </c>
      <c r="AL86" s="22">
        <f t="shared" si="345"/>
        <v>1</v>
      </c>
      <c r="AM86" s="22">
        <f t="shared" si="6"/>
        <v>1</v>
      </c>
      <c r="AN86" s="22">
        <v>1</v>
      </c>
      <c r="AP86" s="22">
        <f t="shared" si="7"/>
        <v>0</v>
      </c>
      <c r="AQ86" s="22">
        <f t="shared" ref="AQ86:AT86" si="346">IF(OR(E86="",E86="TBD",E86="N/A",E86="SDK",E86="SAAS"),0,1)</f>
        <v>0</v>
      </c>
      <c r="AR86" s="22">
        <f t="shared" si="346"/>
        <v>0</v>
      </c>
      <c r="AS86" s="22">
        <f t="shared" si="346"/>
        <v>0</v>
      </c>
      <c r="AT86" s="22">
        <f t="shared" si="346"/>
        <v>0</v>
      </c>
      <c r="AV86" s="82">
        <f t="shared" si="9"/>
        <v>0</v>
      </c>
      <c r="AW86" s="22">
        <f t="shared" ref="AW86:AZ86" si="347">IF(OR(E86="",E86="N/A",E86="SDK",E86="SAAS"),0,1)</f>
        <v>0</v>
      </c>
      <c r="AX86" s="22">
        <f t="shared" si="347"/>
        <v>0</v>
      </c>
      <c r="AY86" s="22">
        <f t="shared" si="347"/>
        <v>0</v>
      </c>
      <c r="AZ86" s="22">
        <f t="shared" si="347"/>
        <v>0</v>
      </c>
    </row>
    <row r="87" spans="1:52">
      <c r="A87" s="78" t="s">
        <v>491</v>
      </c>
      <c r="B87" s="78" t="s">
        <v>341</v>
      </c>
      <c r="C87" s="258" t="s">
        <v>492</v>
      </c>
      <c r="D87" s="79"/>
      <c r="E87" s="130"/>
      <c r="F87" s="130"/>
      <c r="G87" s="130"/>
      <c r="H87" s="130"/>
      <c r="I87" s="131"/>
      <c r="J87" s="131"/>
      <c r="K87" s="131"/>
      <c r="L87" s="130" t="s">
        <v>105</v>
      </c>
      <c r="M87" s="133" t="s">
        <v>343</v>
      </c>
      <c r="N87" s="130"/>
      <c r="O87" s="130"/>
      <c r="P87" s="130"/>
      <c r="Q87" s="130"/>
      <c r="R87" s="130"/>
      <c r="S87" s="130"/>
      <c r="T87" s="134" t="s">
        <v>107</v>
      </c>
      <c r="U87" s="130"/>
      <c r="V87" s="130" t="s">
        <v>108</v>
      </c>
      <c r="W87" s="130" t="s">
        <v>109</v>
      </c>
      <c r="X87" s="130"/>
      <c r="Y87" s="130"/>
      <c r="Z87" s="130"/>
      <c r="AB87" s="11">
        <f t="shared" si="0"/>
        <v>0</v>
      </c>
      <c r="AC87" s="11">
        <f t="shared" si="1"/>
        <v>1</v>
      </c>
      <c r="AD87" s="11">
        <f t="shared" si="2"/>
        <v>1</v>
      </c>
      <c r="AF87" s="11">
        <f t="shared" ref="AF87:AG87" si="348">SUMIFS(AH$3:AH$200,$A$3:$A$200,$A87)</f>
        <v>0</v>
      </c>
      <c r="AG87" s="11">
        <f t="shared" si="348"/>
        <v>1</v>
      </c>
      <c r="AH87" s="11">
        <f t="shared" si="4"/>
        <v>0</v>
      </c>
      <c r="AI87" s="22">
        <v>1</v>
      </c>
      <c r="AK87" s="82">
        <f t="shared" ref="AK87:AL87" si="349">SUMIFS(AM$3:AM$200,$A$3:$A$200,$A87)</f>
        <v>1</v>
      </c>
      <c r="AL87" s="22">
        <f t="shared" si="349"/>
        <v>1</v>
      </c>
      <c r="AM87" s="22">
        <f t="shared" si="6"/>
        <v>1</v>
      </c>
      <c r="AN87" s="22">
        <v>1</v>
      </c>
      <c r="AP87" s="22">
        <f t="shared" si="7"/>
        <v>0</v>
      </c>
      <c r="AQ87" s="22">
        <f t="shared" ref="AQ87:AT87" si="350">IF(OR(E87="",E87="TBD",E87="N/A",E87="SDK",E87="SAAS"),0,1)</f>
        <v>0</v>
      </c>
      <c r="AR87" s="22">
        <f t="shared" si="350"/>
        <v>0</v>
      </c>
      <c r="AS87" s="22">
        <f t="shared" si="350"/>
        <v>0</v>
      </c>
      <c r="AT87" s="22">
        <f t="shared" si="350"/>
        <v>0</v>
      </c>
      <c r="AV87" s="82">
        <f t="shared" si="9"/>
        <v>0</v>
      </c>
      <c r="AW87" s="22">
        <f t="shared" ref="AW87:AZ87" si="351">IF(OR(E87="",E87="N/A",E87="SDK",E87="SAAS"),0,1)</f>
        <v>0</v>
      </c>
      <c r="AX87" s="22">
        <f t="shared" si="351"/>
        <v>0</v>
      </c>
      <c r="AY87" s="22">
        <f t="shared" si="351"/>
        <v>0</v>
      </c>
      <c r="AZ87" s="22">
        <f t="shared" si="351"/>
        <v>0</v>
      </c>
    </row>
    <row r="88" spans="1:52">
      <c r="A88" s="78" t="s">
        <v>493</v>
      </c>
      <c r="B88" s="78" t="s">
        <v>341</v>
      </c>
      <c r="C88" s="258" t="s">
        <v>494</v>
      </c>
      <c r="D88" s="79"/>
      <c r="E88" s="130"/>
      <c r="F88" s="130"/>
      <c r="G88" s="130"/>
      <c r="H88" s="130"/>
      <c r="I88" s="131"/>
      <c r="J88" s="131"/>
      <c r="K88" s="131"/>
      <c r="L88" s="130" t="s">
        <v>105</v>
      </c>
      <c r="M88" s="133" t="s">
        <v>343</v>
      </c>
      <c r="N88" s="130"/>
      <c r="O88" s="130"/>
      <c r="P88" s="130"/>
      <c r="Q88" s="130"/>
      <c r="R88" s="130"/>
      <c r="S88" s="130"/>
      <c r="T88" s="134" t="s">
        <v>107</v>
      </c>
      <c r="U88" s="130"/>
      <c r="V88" s="130" t="s">
        <v>108</v>
      </c>
      <c r="W88" s="130" t="s">
        <v>109</v>
      </c>
      <c r="X88" s="130"/>
      <c r="Y88" s="130"/>
      <c r="Z88" s="130"/>
      <c r="AB88" s="11">
        <f t="shared" si="0"/>
        <v>0</v>
      </c>
      <c r="AC88" s="11">
        <f t="shared" si="1"/>
        <v>1</v>
      </c>
      <c r="AD88" s="11">
        <f t="shared" si="2"/>
        <v>1</v>
      </c>
      <c r="AF88" s="11">
        <f t="shared" ref="AF88:AG88" si="352">SUMIFS(AH$3:AH$200,$A$3:$A$200,$A88)</f>
        <v>0</v>
      </c>
      <c r="AG88" s="11">
        <f t="shared" si="352"/>
        <v>1</v>
      </c>
      <c r="AH88" s="11">
        <f t="shared" si="4"/>
        <v>0</v>
      </c>
      <c r="AI88" s="22">
        <v>1</v>
      </c>
      <c r="AK88" s="82">
        <f t="shared" ref="AK88:AL88" si="353">SUMIFS(AM$3:AM$200,$A$3:$A$200,$A88)</f>
        <v>1</v>
      </c>
      <c r="AL88" s="22">
        <f t="shared" si="353"/>
        <v>1</v>
      </c>
      <c r="AM88" s="22">
        <f t="shared" si="6"/>
        <v>1</v>
      </c>
      <c r="AN88" s="22">
        <v>1</v>
      </c>
      <c r="AP88" s="22">
        <f t="shared" si="7"/>
        <v>0</v>
      </c>
      <c r="AQ88" s="22">
        <f t="shared" ref="AQ88:AT88" si="354">IF(OR(E88="",E88="TBD",E88="N/A",E88="SDK",E88="SAAS"),0,1)</f>
        <v>0</v>
      </c>
      <c r="AR88" s="22">
        <f t="shared" si="354"/>
        <v>0</v>
      </c>
      <c r="AS88" s="22">
        <f t="shared" si="354"/>
        <v>0</v>
      </c>
      <c r="AT88" s="22">
        <f t="shared" si="354"/>
        <v>0</v>
      </c>
      <c r="AV88" s="82">
        <f t="shared" si="9"/>
        <v>0</v>
      </c>
      <c r="AW88" s="22">
        <f t="shared" ref="AW88:AZ88" si="355">IF(OR(E88="",E88="N/A",E88="SDK",E88="SAAS"),0,1)</f>
        <v>0</v>
      </c>
      <c r="AX88" s="22">
        <f t="shared" si="355"/>
        <v>0</v>
      </c>
      <c r="AY88" s="22">
        <f t="shared" si="355"/>
        <v>0</v>
      </c>
      <c r="AZ88" s="22">
        <f t="shared" si="355"/>
        <v>0</v>
      </c>
    </row>
    <row r="89" spans="1:52">
      <c r="A89" s="78" t="s">
        <v>495</v>
      </c>
      <c r="B89" s="78" t="s">
        <v>341</v>
      </c>
      <c r="C89" s="258" t="s">
        <v>496</v>
      </c>
      <c r="D89" s="79"/>
      <c r="E89" s="130"/>
      <c r="F89" s="130"/>
      <c r="G89" s="130"/>
      <c r="H89" s="130"/>
      <c r="I89" s="131"/>
      <c r="J89" s="131"/>
      <c r="K89" s="131"/>
      <c r="L89" s="130" t="s">
        <v>105</v>
      </c>
      <c r="M89" s="133" t="s">
        <v>343</v>
      </c>
      <c r="N89" s="130"/>
      <c r="O89" s="130"/>
      <c r="P89" s="130"/>
      <c r="Q89" s="130"/>
      <c r="R89" s="130"/>
      <c r="S89" s="130"/>
      <c r="T89" s="134" t="s">
        <v>107</v>
      </c>
      <c r="U89" s="130"/>
      <c r="V89" s="130" t="s">
        <v>108</v>
      </c>
      <c r="W89" s="130" t="s">
        <v>109</v>
      </c>
      <c r="X89" s="130"/>
      <c r="Y89" s="130"/>
      <c r="Z89" s="130"/>
      <c r="AB89" s="11">
        <f t="shared" si="0"/>
        <v>0</v>
      </c>
      <c r="AC89" s="11">
        <f t="shared" si="1"/>
        <v>1</v>
      </c>
      <c r="AD89" s="11">
        <f t="shared" si="2"/>
        <v>1</v>
      </c>
      <c r="AF89" s="11">
        <f t="shared" ref="AF89:AG89" si="356">SUMIFS(AH$3:AH$200,$A$3:$A$200,$A89)</f>
        <v>0</v>
      </c>
      <c r="AG89" s="11">
        <f t="shared" si="356"/>
        <v>1</v>
      </c>
      <c r="AH89" s="11">
        <f t="shared" si="4"/>
        <v>0</v>
      </c>
      <c r="AI89" s="22">
        <v>1</v>
      </c>
      <c r="AK89" s="82">
        <f t="shared" ref="AK89:AL89" si="357">SUMIFS(AM$3:AM$200,$A$3:$A$200,$A89)</f>
        <v>1</v>
      </c>
      <c r="AL89" s="22">
        <f t="shared" si="357"/>
        <v>1</v>
      </c>
      <c r="AM89" s="22">
        <f t="shared" si="6"/>
        <v>1</v>
      </c>
      <c r="AN89" s="22">
        <v>1</v>
      </c>
      <c r="AP89" s="22">
        <f t="shared" si="7"/>
        <v>0</v>
      </c>
      <c r="AQ89" s="22">
        <f t="shared" ref="AQ89:AT89" si="358">IF(OR(E89="",E89="TBD",E89="N/A",E89="SDK",E89="SAAS"),0,1)</f>
        <v>0</v>
      </c>
      <c r="AR89" s="22">
        <f t="shared" si="358"/>
        <v>0</v>
      </c>
      <c r="AS89" s="22">
        <f t="shared" si="358"/>
        <v>0</v>
      </c>
      <c r="AT89" s="22">
        <f t="shared" si="358"/>
        <v>0</v>
      </c>
      <c r="AV89" s="82">
        <f t="shared" si="9"/>
        <v>0</v>
      </c>
      <c r="AW89" s="22">
        <f t="shared" ref="AW89:AZ89" si="359">IF(OR(E89="",E89="N/A",E89="SDK",E89="SAAS"),0,1)</f>
        <v>0</v>
      </c>
      <c r="AX89" s="22">
        <f t="shared" si="359"/>
        <v>0</v>
      </c>
      <c r="AY89" s="22">
        <f t="shared" si="359"/>
        <v>0</v>
      </c>
      <c r="AZ89" s="22">
        <f t="shared" si="359"/>
        <v>0</v>
      </c>
    </row>
    <row r="90" spans="1:52">
      <c r="A90" s="78" t="s">
        <v>497</v>
      </c>
      <c r="B90" s="78" t="s">
        <v>341</v>
      </c>
      <c r="C90" s="258" t="s">
        <v>498</v>
      </c>
      <c r="D90" s="79"/>
      <c r="E90" s="130"/>
      <c r="F90" s="130"/>
      <c r="G90" s="130"/>
      <c r="H90" s="130"/>
      <c r="I90" s="131"/>
      <c r="J90" s="131"/>
      <c r="K90" s="131"/>
      <c r="L90" s="130" t="s">
        <v>105</v>
      </c>
      <c r="M90" s="133" t="s">
        <v>343</v>
      </c>
      <c r="N90" s="130"/>
      <c r="O90" s="130"/>
      <c r="P90" s="130"/>
      <c r="Q90" s="130"/>
      <c r="R90" s="130"/>
      <c r="S90" s="130"/>
      <c r="T90" s="134" t="s">
        <v>107</v>
      </c>
      <c r="U90" s="130"/>
      <c r="V90" s="130" t="s">
        <v>108</v>
      </c>
      <c r="W90" s="130" t="s">
        <v>109</v>
      </c>
      <c r="X90" s="130"/>
      <c r="Y90" s="130"/>
      <c r="Z90" s="130"/>
      <c r="AB90" s="11">
        <f t="shared" si="0"/>
        <v>0</v>
      </c>
      <c r="AC90" s="11">
        <f t="shared" si="1"/>
        <v>1</v>
      </c>
      <c r="AD90" s="11">
        <f t="shared" si="2"/>
        <v>1</v>
      </c>
      <c r="AF90" s="11">
        <f t="shared" ref="AF90:AG90" si="360">SUMIFS(AH$3:AH$200,$A$3:$A$200,$A90)</f>
        <v>0</v>
      </c>
      <c r="AG90" s="11">
        <f t="shared" si="360"/>
        <v>1</v>
      </c>
      <c r="AH90" s="11">
        <f t="shared" si="4"/>
        <v>0</v>
      </c>
      <c r="AI90" s="22">
        <v>1</v>
      </c>
      <c r="AK90" s="82">
        <f t="shared" ref="AK90:AL90" si="361">SUMIFS(AM$3:AM$200,$A$3:$A$200,$A90)</f>
        <v>1</v>
      </c>
      <c r="AL90" s="22">
        <f t="shared" si="361"/>
        <v>1</v>
      </c>
      <c r="AM90" s="22">
        <f t="shared" si="6"/>
        <v>1</v>
      </c>
      <c r="AN90" s="22">
        <v>1</v>
      </c>
      <c r="AP90" s="22">
        <f t="shared" si="7"/>
        <v>0</v>
      </c>
      <c r="AQ90" s="22">
        <f t="shared" ref="AQ90:AT90" si="362">IF(OR(E90="",E90="TBD",E90="N/A",E90="SDK",E90="SAAS"),0,1)</f>
        <v>0</v>
      </c>
      <c r="AR90" s="22">
        <f t="shared" si="362"/>
        <v>0</v>
      </c>
      <c r="AS90" s="22">
        <f t="shared" si="362"/>
        <v>0</v>
      </c>
      <c r="AT90" s="22">
        <f t="shared" si="362"/>
        <v>0</v>
      </c>
      <c r="AV90" s="82">
        <f t="shared" si="9"/>
        <v>0</v>
      </c>
      <c r="AW90" s="22">
        <f t="shared" ref="AW90:AZ90" si="363">IF(OR(E90="",E90="N/A",E90="SDK",E90="SAAS"),0,1)</f>
        <v>0</v>
      </c>
      <c r="AX90" s="22">
        <f t="shared" si="363"/>
        <v>0</v>
      </c>
      <c r="AY90" s="22">
        <f t="shared" si="363"/>
        <v>0</v>
      </c>
      <c r="AZ90" s="22">
        <f t="shared" si="363"/>
        <v>0</v>
      </c>
    </row>
    <row r="91" spans="1:52">
      <c r="A91" s="78" t="s">
        <v>499</v>
      </c>
      <c r="B91" s="78" t="s">
        <v>341</v>
      </c>
      <c r="C91" s="258" t="s">
        <v>500</v>
      </c>
      <c r="D91" s="79"/>
      <c r="E91" s="130"/>
      <c r="F91" s="130"/>
      <c r="G91" s="130"/>
      <c r="H91" s="130"/>
      <c r="I91" s="131"/>
      <c r="J91" s="131"/>
      <c r="K91" s="131"/>
      <c r="L91" s="130" t="s">
        <v>105</v>
      </c>
      <c r="M91" s="133" t="s">
        <v>343</v>
      </c>
      <c r="N91" s="130"/>
      <c r="O91" s="130"/>
      <c r="P91" s="130"/>
      <c r="Q91" s="130"/>
      <c r="R91" s="130"/>
      <c r="S91" s="130"/>
      <c r="T91" s="134" t="s">
        <v>107</v>
      </c>
      <c r="U91" s="130"/>
      <c r="V91" s="130" t="s">
        <v>108</v>
      </c>
      <c r="W91" s="130" t="s">
        <v>109</v>
      </c>
      <c r="X91" s="130"/>
      <c r="Y91" s="130"/>
      <c r="Z91" s="130"/>
      <c r="AB91" s="11">
        <f t="shared" si="0"/>
        <v>0</v>
      </c>
      <c r="AC91" s="11">
        <f t="shared" si="1"/>
        <v>1</v>
      </c>
      <c r="AD91" s="11">
        <f t="shared" si="2"/>
        <v>1</v>
      </c>
      <c r="AF91" s="11">
        <f t="shared" ref="AF91:AG91" si="364">SUMIFS(AH$3:AH$200,$A$3:$A$200,$A91)</f>
        <v>0</v>
      </c>
      <c r="AG91" s="11">
        <f t="shared" si="364"/>
        <v>1</v>
      </c>
      <c r="AH91" s="11">
        <f t="shared" si="4"/>
        <v>0</v>
      </c>
      <c r="AI91" s="22">
        <v>1</v>
      </c>
      <c r="AK91" s="82">
        <f t="shared" ref="AK91:AL91" si="365">SUMIFS(AM$3:AM$200,$A$3:$A$200,$A91)</f>
        <v>1</v>
      </c>
      <c r="AL91" s="22">
        <f t="shared" si="365"/>
        <v>1</v>
      </c>
      <c r="AM91" s="22">
        <f t="shared" si="6"/>
        <v>1</v>
      </c>
      <c r="AN91" s="22">
        <v>1</v>
      </c>
      <c r="AP91" s="22">
        <f t="shared" si="7"/>
        <v>0</v>
      </c>
      <c r="AQ91" s="22">
        <f t="shared" ref="AQ91:AT91" si="366">IF(OR(E91="",E91="TBD",E91="N/A",E91="SDK",E91="SAAS"),0,1)</f>
        <v>0</v>
      </c>
      <c r="AR91" s="22">
        <f t="shared" si="366"/>
        <v>0</v>
      </c>
      <c r="AS91" s="22">
        <f t="shared" si="366"/>
        <v>0</v>
      </c>
      <c r="AT91" s="22">
        <f t="shared" si="366"/>
        <v>0</v>
      </c>
      <c r="AV91" s="82">
        <f t="shared" si="9"/>
        <v>0</v>
      </c>
      <c r="AW91" s="22">
        <f t="shared" ref="AW91:AZ91" si="367">IF(OR(E91="",E91="N/A",E91="SDK",E91="SAAS"),0,1)</f>
        <v>0</v>
      </c>
      <c r="AX91" s="22">
        <f t="shared" si="367"/>
        <v>0</v>
      </c>
      <c r="AY91" s="22">
        <f t="shared" si="367"/>
        <v>0</v>
      </c>
      <c r="AZ91" s="22">
        <f t="shared" si="367"/>
        <v>0</v>
      </c>
    </row>
    <row r="92" spans="1:52">
      <c r="A92" s="78" t="s">
        <v>501</v>
      </c>
      <c r="B92" s="78" t="s">
        <v>341</v>
      </c>
      <c r="C92" s="258" t="s">
        <v>502</v>
      </c>
      <c r="D92" s="79"/>
      <c r="E92" s="130"/>
      <c r="F92" s="130"/>
      <c r="G92" s="130"/>
      <c r="H92" s="130"/>
      <c r="I92" s="131"/>
      <c r="J92" s="131"/>
      <c r="K92" s="131"/>
      <c r="L92" s="130" t="s">
        <v>105</v>
      </c>
      <c r="M92" s="133" t="s">
        <v>343</v>
      </c>
      <c r="N92" s="130"/>
      <c r="O92" s="130"/>
      <c r="P92" s="130"/>
      <c r="Q92" s="130"/>
      <c r="R92" s="130"/>
      <c r="S92" s="130"/>
      <c r="T92" s="134" t="s">
        <v>107</v>
      </c>
      <c r="U92" s="130"/>
      <c r="V92" s="130" t="s">
        <v>108</v>
      </c>
      <c r="W92" s="130" t="s">
        <v>109</v>
      </c>
      <c r="X92" s="130"/>
      <c r="Y92" s="130"/>
      <c r="Z92" s="130"/>
      <c r="AB92" s="11">
        <f t="shared" si="0"/>
        <v>0</v>
      </c>
      <c r="AC92" s="11">
        <f t="shared" si="1"/>
        <v>1</v>
      </c>
      <c r="AD92" s="11">
        <f t="shared" si="2"/>
        <v>1</v>
      </c>
      <c r="AF92" s="11">
        <f t="shared" ref="AF92:AG92" si="368">SUMIFS(AH$3:AH$200,$A$3:$A$200,$A92)</f>
        <v>0</v>
      </c>
      <c r="AG92" s="11">
        <f t="shared" si="368"/>
        <v>1</v>
      </c>
      <c r="AH92" s="11">
        <f t="shared" si="4"/>
        <v>0</v>
      </c>
      <c r="AI92" s="22">
        <v>1</v>
      </c>
      <c r="AK92" s="82">
        <f t="shared" ref="AK92:AL92" si="369">SUMIFS(AM$3:AM$200,$A$3:$A$200,$A92)</f>
        <v>1</v>
      </c>
      <c r="AL92" s="22">
        <f t="shared" si="369"/>
        <v>1</v>
      </c>
      <c r="AM92" s="22">
        <f t="shared" si="6"/>
        <v>1</v>
      </c>
      <c r="AN92" s="22">
        <v>1</v>
      </c>
      <c r="AP92" s="22">
        <f t="shared" si="7"/>
        <v>0</v>
      </c>
      <c r="AQ92" s="22">
        <f t="shared" ref="AQ92:AT92" si="370">IF(OR(E92="",E92="TBD",E92="N/A",E92="SDK",E92="SAAS"),0,1)</f>
        <v>0</v>
      </c>
      <c r="AR92" s="22">
        <f t="shared" si="370"/>
        <v>0</v>
      </c>
      <c r="AS92" s="22">
        <f t="shared" si="370"/>
        <v>0</v>
      </c>
      <c r="AT92" s="22">
        <f t="shared" si="370"/>
        <v>0</v>
      </c>
      <c r="AV92" s="82">
        <f t="shared" si="9"/>
        <v>0</v>
      </c>
      <c r="AW92" s="22">
        <f t="shared" ref="AW92:AZ92" si="371">IF(OR(E92="",E92="N/A",E92="SDK",E92="SAAS"),0,1)</f>
        <v>0</v>
      </c>
      <c r="AX92" s="22">
        <f t="shared" si="371"/>
        <v>0</v>
      </c>
      <c r="AY92" s="22">
        <f t="shared" si="371"/>
        <v>0</v>
      </c>
      <c r="AZ92" s="22">
        <f t="shared" si="371"/>
        <v>0</v>
      </c>
    </row>
    <row r="93" spans="1:52">
      <c r="A93" s="78" t="s">
        <v>503</v>
      </c>
      <c r="B93" s="78" t="s">
        <v>341</v>
      </c>
      <c r="C93" s="258" t="s">
        <v>504</v>
      </c>
      <c r="D93" s="79"/>
      <c r="E93" s="130"/>
      <c r="F93" s="130"/>
      <c r="G93" s="130"/>
      <c r="H93" s="130"/>
      <c r="I93" s="131"/>
      <c r="J93" s="131"/>
      <c r="K93" s="131"/>
      <c r="L93" s="130" t="s">
        <v>105</v>
      </c>
      <c r="M93" s="133" t="s">
        <v>343</v>
      </c>
      <c r="N93" s="130"/>
      <c r="O93" s="130"/>
      <c r="P93" s="130"/>
      <c r="Q93" s="130"/>
      <c r="R93" s="130"/>
      <c r="S93" s="130"/>
      <c r="T93" s="134" t="s">
        <v>107</v>
      </c>
      <c r="U93" s="130"/>
      <c r="V93" s="130" t="s">
        <v>108</v>
      </c>
      <c r="W93" s="130" t="s">
        <v>109</v>
      </c>
      <c r="X93" s="130"/>
      <c r="Y93" s="130"/>
      <c r="Z93" s="130"/>
      <c r="AB93" s="11">
        <f t="shared" si="0"/>
        <v>0</v>
      </c>
      <c r="AC93" s="11">
        <f t="shared" si="1"/>
        <v>1</v>
      </c>
      <c r="AD93" s="11">
        <f t="shared" si="2"/>
        <v>1</v>
      </c>
      <c r="AF93" s="11">
        <f t="shared" ref="AF93:AG93" si="372">SUMIFS(AH$3:AH$200,$A$3:$A$200,$A93)</f>
        <v>0</v>
      </c>
      <c r="AG93" s="11">
        <f t="shared" si="372"/>
        <v>1</v>
      </c>
      <c r="AH93" s="11">
        <f t="shared" si="4"/>
        <v>0</v>
      </c>
      <c r="AI93" s="22">
        <v>1</v>
      </c>
      <c r="AK93" s="82">
        <f t="shared" ref="AK93:AL93" si="373">SUMIFS(AM$3:AM$200,$A$3:$A$200,$A93)</f>
        <v>1</v>
      </c>
      <c r="AL93" s="22">
        <f t="shared" si="373"/>
        <v>1</v>
      </c>
      <c r="AM93" s="22">
        <f t="shared" si="6"/>
        <v>1</v>
      </c>
      <c r="AN93" s="22">
        <v>1</v>
      </c>
      <c r="AP93" s="22">
        <f t="shared" si="7"/>
        <v>0</v>
      </c>
      <c r="AQ93" s="22">
        <f t="shared" ref="AQ93:AT93" si="374">IF(OR(E93="",E93="TBD",E93="N/A",E93="SDK",E93="SAAS"),0,1)</f>
        <v>0</v>
      </c>
      <c r="AR93" s="22">
        <f t="shared" si="374"/>
        <v>0</v>
      </c>
      <c r="AS93" s="22">
        <f t="shared" si="374"/>
        <v>0</v>
      </c>
      <c r="AT93" s="22">
        <f t="shared" si="374"/>
        <v>0</v>
      </c>
      <c r="AV93" s="82">
        <f t="shared" si="9"/>
        <v>0</v>
      </c>
      <c r="AW93" s="22">
        <f t="shared" ref="AW93:AZ93" si="375">IF(OR(E93="",E93="N/A",E93="SDK",E93="SAAS"),0,1)</f>
        <v>0</v>
      </c>
      <c r="AX93" s="22">
        <f t="shared" si="375"/>
        <v>0</v>
      </c>
      <c r="AY93" s="22">
        <f t="shared" si="375"/>
        <v>0</v>
      </c>
      <c r="AZ93" s="22">
        <f t="shared" si="375"/>
        <v>0</v>
      </c>
    </row>
    <row r="94" spans="1:52">
      <c r="A94" s="78" t="s">
        <v>505</v>
      </c>
      <c r="B94" s="78" t="s">
        <v>341</v>
      </c>
      <c r="C94" s="262" t="s">
        <v>506</v>
      </c>
      <c r="D94" s="135"/>
      <c r="E94" s="130"/>
      <c r="F94" s="130"/>
      <c r="G94" s="130"/>
      <c r="H94" s="130"/>
      <c r="I94" s="131"/>
      <c r="J94" s="131"/>
      <c r="K94" s="131"/>
      <c r="L94" s="130" t="s">
        <v>105</v>
      </c>
      <c r="M94" s="133" t="s">
        <v>343</v>
      </c>
      <c r="N94" s="130"/>
      <c r="O94" s="130"/>
      <c r="P94" s="130"/>
      <c r="Q94" s="130"/>
      <c r="R94" s="130"/>
      <c r="S94" s="130"/>
      <c r="T94" s="134" t="s">
        <v>107</v>
      </c>
      <c r="U94" s="130"/>
      <c r="V94" s="130" t="s">
        <v>108</v>
      </c>
      <c r="W94" s="130" t="s">
        <v>109</v>
      </c>
      <c r="X94" s="130"/>
      <c r="Y94" s="130"/>
      <c r="Z94" s="130"/>
      <c r="AB94" s="11">
        <f t="shared" si="0"/>
        <v>0</v>
      </c>
      <c r="AC94" s="11">
        <f t="shared" si="1"/>
        <v>1</v>
      </c>
      <c r="AD94" s="11">
        <f t="shared" si="2"/>
        <v>1</v>
      </c>
      <c r="AF94" s="11">
        <f t="shared" ref="AF94:AG94" si="376">SUMIFS(AH$3:AH$200,$A$3:$A$200,$A94)</f>
        <v>0</v>
      </c>
      <c r="AG94" s="11">
        <f t="shared" si="376"/>
        <v>1</v>
      </c>
      <c r="AH94" s="11">
        <f t="shared" si="4"/>
        <v>0</v>
      </c>
      <c r="AI94" s="22">
        <v>1</v>
      </c>
      <c r="AK94" s="82">
        <f t="shared" ref="AK94:AL94" si="377">SUMIFS(AM$3:AM$200,$A$3:$A$200,$A94)</f>
        <v>1</v>
      </c>
      <c r="AL94" s="22">
        <f t="shared" si="377"/>
        <v>1</v>
      </c>
      <c r="AM94" s="22">
        <f t="shared" si="6"/>
        <v>1</v>
      </c>
      <c r="AN94" s="22">
        <v>1</v>
      </c>
      <c r="AP94" s="22">
        <f t="shared" si="7"/>
        <v>0</v>
      </c>
      <c r="AQ94" s="22">
        <f t="shared" ref="AQ94:AT94" si="378">IF(OR(E94="",E94="TBD",E94="N/A",E94="SDK",E94="SAAS"),0,1)</f>
        <v>0</v>
      </c>
      <c r="AR94" s="22">
        <f t="shared" si="378"/>
        <v>0</v>
      </c>
      <c r="AS94" s="22">
        <f t="shared" si="378"/>
        <v>0</v>
      </c>
      <c r="AT94" s="22">
        <f t="shared" si="378"/>
        <v>0</v>
      </c>
      <c r="AV94" s="82">
        <f t="shared" si="9"/>
        <v>0</v>
      </c>
      <c r="AW94" s="22">
        <f t="shared" ref="AW94:AZ94" si="379">IF(OR(E94="",E94="N/A",E94="SDK",E94="SAAS"),0,1)</f>
        <v>0</v>
      </c>
      <c r="AX94" s="22">
        <f t="shared" si="379"/>
        <v>0</v>
      </c>
      <c r="AY94" s="22">
        <f t="shared" si="379"/>
        <v>0</v>
      </c>
      <c r="AZ94" s="22">
        <f t="shared" si="379"/>
        <v>0</v>
      </c>
    </row>
    <row r="95" spans="1:52">
      <c r="A95" s="78" t="s">
        <v>507</v>
      </c>
      <c r="B95" s="78" t="s">
        <v>341</v>
      </c>
      <c r="C95" s="262" t="s">
        <v>508</v>
      </c>
      <c r="D95" s="135"/>
      <c r="E95" s="130"/>
      <c r="F95" s="130"/>
      <c r="G95" s="130"/>
      <c r="H95" s="130"/>
      <c r="I95" s="131"/>
      <c r="J95" s="131"/>
      <c r="K95" s="131"/>
      <c r="L95" s="130" t="s">
        <v>105</v>
      </c>
      <c r="M95" s="133" t="s">
        <v>343</v>
      </c>
      <c r="N95" s="130"/>
      <c r="O95" s="130"/>
      <c r="P95" s="130"/>
      <c r="Q95" s="130"/>
      <c r="R95" s="130"/>
      <c r="S95" s="130"/>
      <c r="T95" s="134" t="s">
        <v>107</v>
      </c>
      <c r="U95" s="130"/>
      <c r="V95" s="130" t="s">
        <v>108</v>
      </c>
      <c r="W95" s="130" t="s">
        <v>109</v>
      </c>
      <c r="X95" s="130"/>
      <c r="Y95" s="130"/>
      <c r="Z95" s="130"/>
      <c r="AB95" s="11">
        <f t="shared" si="0"/>
        <v>0</v>
      </c>
      <c r="AC95" s="11">
        <f t="shared" si="1"/>
        <v>1</v>
      </c>
      <c r="AD95" s="11">
        <f t="shared" si="2"/>
        <v>1</v>
      </c>
      <c r="AF95" s="11">
        <f t="shared" ref="AF95:AG95" si="380">SUMIFS(AH$3:AH$200,$A$3:$A$200,$A95)</f>
        <v>0</v>
      </c>
      <c r="AG95" s="11">
        <f t="shared" si="380"/>
        <v>1</v>
      </c>
      <c r="AH95" s="11">
        <f t="shared" si="4"/>
        <v>0</v>
      </c>
      <c r="AI95" s="22">
        <v>1</v>
      </c>
      <c r="AK95" s="82">
        <f t="shared" ref="AK95:AL95" si="381">SUMIFS(AM$3:AM$200,$A$3:$A$200,$A95)</f>
        <v>1</v>
      </c>
      <c r="AL95" s="22">
        <f t="shared" si="381"/>
        <v>1</v>
      </c>
      <c r="AM95" s="22">
        <f t="shared" si="6"/>
        <v>1</v>
      </c>
      <c r="AN95" s="22">
        <v>1</v>
      </c>
      <c r="AP95" s="22">
        <f t="shared" si="7"/>
        <v>0</v>
      </c>
      <c r="AQ95" s="22">
        <f t="shared" ref="AQ95:AT95" si="382">IF(OR(E95="",E95="TBD",E95="N/A",E95="SDK",E95="SAAS"),0,1)</f>
        <v>0</v>
      </c>
      <c r="AR95" s="22">
        <f t="shared" si="382"/>
        <v>0</v>
      </c>
      <c r="AS95" s="22">
        <f t="shared" si="382"/>
        <v>0</v>
      </c>
      <c r="AT95" s="22">
        <f t="shared" si="382"/>
        <v>0</v>
      </c>
      <c r="AV95" s="82">
        <f t="shared" si="9"/>
        <v>0</v>
      </c>
      <c r="AW95" s="22">
        <f t="shared" ref="AW95:AZ95" si="383">IF(OR(E95="",E95="N/A",E95="SDK",E95="SAAS"),0,1)</f>
        <v>0</v>
      </c>
      <c r="AX95" s="22">
        <f t="shared" si="383"/>
        <v>0</v>
      </c>
      <c r="AY95" s="22">
        <f t="shared" si="383"/>
        <v>0</v>
      </c>
      <c r="AZ95" s="22">
        <f t="shared" si="383"/>
        <v>0</v>
      </c>
    </row>
    <row r="96" spans="1:52">
      <c r="A96" s="78" t="s">
        <v>509</v>
      </c>
      <c r="B96" s="78" t="s">
        <v>341</v>
      </c>
      <c r="C96" s="262" t="s">
        <v>510</v>
      </c>
      <c r="D96" s="135"/>
      <c r="E96" s="130"/>
      <c r="F96" s="130"/>
      <c r="G96" s="130"/>
      <c r="H96" s="130"/>
      <c r="I96" s="131"/>
      <c r="J96" s="131"/>
      <c r="K96" s="131"/>
      <c r="L96" s="130" t="s">
        <v>105</v>
      </c>
      <c r="M96" s="133" t="s">
        <v>343</v>
      </c>
      <c r="N96" s="130"/>
      <c r="O96" s="130"/>
      <c r="P96" s="130"/>
      <c r="Q96" s="130"/>
      <c r="R96" s="130"/>
      <c r="S96" s="130"/>
      <c r="T96" s="134" t="s">
        <v>107</v>
      </c>
      <c r="U96" s="130"/>
      <c r="V96" s="130" t="s">
        <v>108</v>
      </c>
      <c r="W96" s="130" t="s">
        <v>109</v>
      </c>
      <c r="X96" s="130"/>
      <c r="Y96" s="130"/>
      <c r="Z96" s="130"/>
      <c r="AB96" s="11">
        <f t="shared" si="0"/>
        <v>0</v>
      </c>
      <c r="AC96" s="11">
        <f t="shared" si="1"/>
        <v>1</v>
      </c>
      <c r="AD96" s="11">
        <f t="shared" si="2"/>
        <v>1</v>
      </c>
      <c r="AF96" s="11">
        <f t="shared" ref="AF96:AG96" si="384">SUMIFS(AH$3:AH$200,$A$3:$A$200,$A96)</f>
        <v>0</v>
      </c>
      <c r="AG96" s="11">
        <f t="shared" si="384"/>
        <v>1</v>
      </c>
      <c r="AH96" s="11">
        <f t="shared" si="4"/>
        <v>0</v>
      </c>
      <c r="AI96" s="22">
        <v>1</v>
      </c>
      <c r="AK96" s="82">
        <f t="shared" ref="AK96:AL96" si="385">SUMIFS(AM$3:AM$200,$A$3:$A$200,$A96)</f>
        <v>1</v>
      </c>
      <c r="AL96" s="22">
        <f t="shared" si="385"/>
        <v>1</v>
      </c>
      <c r="AM96" s="22">
        <f t="shared" si="6"/>
        <v>1</v>
      </c>
      <c r="AN96" s="22">
        <v>1</v>
      </c>
      <c r="AP96" s="22">
        <f t="shared" si="7"/>
        <v>0</v>
      </c>
      <c r="AQ96" s="22">
        <f t="shared" ref="AQ96:AT96" si="386">IF(OR(E96="",E96="TBD",E96="N/A",E96="SDK",E96="SAAS"),0,1)</f>
        <v>0</v>
      </c>
      <c r="AR96" s="22">
        <f t="shared" si="386"/>
        <v>0</v>
      </c>
      <c r="AS96" s="22">
        <f t="shared" si="386"/>
        <v>0</v>
      </c>
      <c r="AT96" s="22">
        <f t="shared" si="386"/>
        <v>0</v>
      </c>
      <c r="AV96" s="82">
        <f t="shared" si="9"/>
        <v>0</v>
      </c>
      <c r="AW96" s="22">
        <f t="shared" ref="AW96:AZ96" si="387">IF(OR(E96="",E96="N/A",E96="SDK",E96="SAAS"),0,1)</f>
        <v>0</v>
      </c>
      <c r="AX96" s="22">
        <f t="shared" si="387"/>
        <v>0</v>
      </c>
      <c r="AY96" s="22">
        <f t="shared" si="387"/>
        <v>0</v>
      </c>
      <c r="AZ96" s="22">
        <f t="shared" si="387"/>
        <v>0</v>
      </c>
    </row>
    <row r="97" spans="1:52">
      <c r="A97" s="78" t="s">
        <v>511</v>
      </c>
      <c r="B97" s="78" t="s">
        <v>341</v>
      </c>
      <c r="C97" s="258" t="s">
        <v>512</v>
      </c>
      <c r="D97" s="135"/>
      <c r="E97" s="130"/>
      <c r="F97" s="130"/>
      <c r="G97" s="130"/>
      <c r="H97" s="130"/>
      <c r="I97" s="131"/>
      <c r="J97" s="131"/>
      <c r="K97" s="131"/>
      <c r="L97" s="130" t="s">
        <v>105</v>
      </c>
      <c r="M97" s="133" t="s">
        <v>343</v>
      </c>
      <c r="N97" s="130"/>
      <c r="O97" s="130"/>
      <c r="P97" s="130"/>
      <c r="Q97" s="130"/>
      <c r="R97" s="130"/>
      <c r="S97" s="130"/>
      <c r="T97" s="134" t="s">
        <v>107</v>
      </c>
      <c r="U97" s="130"/>
      <c r="V97" s="130" t="s">
        <v>108</v>
      </c>
      <c r="W97" s="130" t="s">
        <v>109</v>
      </c>
      <c r="X97" s="130"/>
      <c r="Y97" s="130"/>
      <c r="Z97" s="130"/>
      <c r="AB97" s="11">
        <f t="shared" si="0"/>
        <v>0</v>
      </c>
      <c r="AC97" s="11">
        <f t="shared" si="1"/>
        <v>1</v>
      </c>
      <c r="AD97" s="11">
        <f t="shared" si="2"/>
        <v>1</v>
      </c>
      <c r="AF97" s="11">
        <f t="shared" ref="AF97:AG97" si="388">SUMIFS(AH$3:AH$200,$A$3:$A$200,$A97)</f>
        <v>0</v>
      </c>
      <c r="AG97" s="11">
        <f t="shared" si="388"/>
        <v>1</v>
      </c>
      <c r="AH97" s="11">
        <f t="shared" si="4"/>
        <v>0</v>
      </c>
      <c r="AI97" s="22">
        <v>1</v>
      </c>
      <c r="AK97" s="82">
        <f t="shared" ref="AK97:AL97" si="389">SUMIFS(AM$3:AM$200,$A$3:$A$200,$A97)</f>
        <v>1</v>
      </c>
      <c r="AL97" s="22">
        <f t="shared" si="389"/>
        <v>1</v>
      </c>
      <c r="AM97" s="22">
        <f t="shared" si="6"/>
        <v>1</v>
      </c>
      <c r="AN97" s="22">
        <v>1</v>
      </c>
      <c r="AP97" s="22">
        <f t="shared" si="7"/>
        <v>0</v>
      </c>
      <c r="AQ97" s="22">
        <f t="shared" ref="AQ97:AT97" si="390">IF(OR(E97="",E97="TBD",E97="N/A",E97="SDK",E97="SAAS"),0,1)</f>
        <v>0</v>
      </c>
      <c r="AR97" s="22">
        <f t="shared" si="390"/>
        <v>0</v>
      </c>
      <c r="AS97" s="22">
        <f t="shared" si="390"/>
        <v>0</v>
      </c>
      <c r="AT97" s="22">
        <f t="shared" si="390"/>
        <v>0</v>
      </c>
      <c r="AV97" s="82">
        <f t="shared" si="9"/>
        <v>0</v>
      </c>
      <c r="AW97" s="22">
        <f t="shared" ref="AW97:AZ97" si="391">IF(OR(E97="",E97="N/A",E97="SDK",E97="SAAS"),0,1)</f>
        <v>0</v>
      </c>
      <c r="AX97" s="22">
        <f t="shared" si="391"/>
        <v>0</v>
      </c>
      <c r="AY97" s="22">
        <f t="shared" si="391"/>
        <v>0</v>
      </c>
      <c r="AZ97" s="22">
        <f t="shared" si="391"/>
        <v>0</v>
      </c>
    </row>
    <row r="98" spans="1:52">
      <c r="A98" s="78" t="s">
        <v>513</v>
      </c>
      <c r="B98" s="78" t="s">
        <v>341</v>
      </c>
      <c r="C98" s="258" t="s">
        <v>514</v>
      </c>
      <c r="N98" s="136"/>
      <c r="O98" s="136"/>
      <c r="P98" s="136"/>
      <c r="Q98" s="136"/>
      <c r="R98" s="136"/>
      <c r="S98" s="136"/>
      <c r="T98" s="136"/>
      <c r="U98" s="136"/>
    </row>
    <row r="99" spans="1:52">
      <c r="A99" s="78" t="s">
        <v>515</v>
      </c>
      <c r="B99" s="78" t="s">
        <v>341</v>
      </c>
      <c r="C99" s="258" t="s">
        <v>516</v>
      </c>
      <c r="N99" s="136"/>
      <c r="O99" s="136"/>
      <c r="P99" s="136"/>
      <c r="Q99" s="136"/>
      <c r="R99" s="136"/>
      <c r="S99" s="136"/>
      <c r="T99" s="136"/>
      <c r="U99" s="136"/>
    </row>
    <row r="100" spans="1:52">
      <c r="A100" s="11"/>
      <c r="B100" s="11"/>
      <c r="C100" s="90"/>
      <c r="N100" s="136"/>
      <c r="O100" s="136"/>
      <c r="P100" s="136"/>
      <c r="Q100" s="136"/>
      <c r="R100" s="136"/>
      <c r="S100" s="136"/>
      <c r="T100" s="136"/>
      <c r="U100" s="136"/>
    </row>
    <row r="101" spans="1:52">
      <c r="A101" s="11"/>
      <c r="B101" s="11"/>
      <c r="C101" s="90"/>
      <c r="N101" s="136"/>
      <c r="O101" s="136"/>
      <c r="P101" s="136"/>
      <c r="Q101" s="136"/>
      <c r="R101" s="136"/>
      <c r="S101" s="136"/>
      <c r="T101" s="136"/>
      <c r="U101" s="136"/>
    </row>
    <row r="102" spans="1:52">
      <c r="A102" s="11"/>
      <c r="B102" s="11"/>
      <c r="C102" s="90"/>
      <c r="N102" s="136"/>
      <c r="O102" s="136"/>
      <c r="P102" s="136"/>
      <c r="Q102" s="136"/>
      <c r="R102" s="136"/>
      <c r="S102" s="136"/>
      <c r="T102" s="136"/>
      <c r="U102" s="136"/>
    </row>
    <row r="103" spans="1:52">
      <c r="A103" s="11"/>
      <c r="B103" s="11"/>
      <c r="C103" s="90"/>
      <c r="N103" s="136"/>
      <c r="O103" s="136"/>
      <c r="P103" s="136"/>
      <c r="Q103" s="136"/>
      <c r="R103" s="136"/>
      <c r="S103" s="136"/>
      <c r="T103" s="136"/>
      <c r="U103" s="136"/>
    </row>
    <row r="104" spans="1:52">
      <c r="A104" s="11"/>
      <c r="B104" s="11"/>
      <c r="C104" s="90"/>
      <c r="N104" s="136"/>
      <c r="O104" s="136"/>
      <c r="P104" s="136"/>
      <c r="Q104" s="136"/>
      <c r="R104" s="136"/>
      <c r="S104" s="136"/>
      <c r="T104" s="136"/>
      <c r="U104" s="136"/>
    </row>
    <row r="105" spans="1:52">
      <c r="A105" s="11"/>
      <c r="B105" s="11"/>
      <c r="C105" s="90"/>
      <c r="N105" s="136"/>
      <c r="O105" s="136"/>
      <c r="P105" s="136"/>
      <c r="Q105" s="136"/>
      <c r="R105" s="136"/>
      <c r="S105" s="136"/>
      <c r="T105" s="136"/>
      <c r="U105" s="136"/>
    </row>
    <row r="106" spans="1:52">
      <c r="A106" s="11"/>
      <c r="B106" s="11"/>
      <c r="C106" s="90"/>
      <c r="N106" s="136"/>
      <c r="O106" s="136"/>
      <c r="P106" s="136"/>
      <c r="Q106" s="136"/>
      <c r="R106" s="136"/>
      <c r="S106" s="136"/>
      <c r="T106" s="136"/>
      <c r="U106" s="136"/>
    </row>
    <row r="107" spans="1:52">
      <c r="A107" s="11"/>
      <c r="B107" s="11"/>
      <c r="C107" s="90"/>
      <c r="N107" s="136"/>
      <c r="O107" s="136"/>
      <c r="P107" s="136"/>
      <c r="Q107" s="136"/>
      <c r="R107" s="136"/>
      <c r="S107" s="136"/>
      <c r="T107" s="136"/>
      <c r="U107" s="136"/>
    </row>
    <row r="108" spans="1:52">
      <c r="A108" s="11"/>
      <c r="B108" s="11"/>
      <c r="C108" s="90"/>
      <c r="N108" s="136"/>
      <c r="O108" s="136"/>
      <c r="P108" s="136"/>
      <c r="Q108" s="136"/>
      <c r="R108" s="136"/>
      <c r="S108" s="136"/>
      <c r="T108" s="136"/>
      <c r="U108" s="136"/>
    </row>
    <row r="109" spans="1:52">
      <c r="A109" s="11"/>
      <c r="B109" s="11"/>
      <c r="C109" s="90"/>
      <c r="N109" s="136"/>
      <c r="O109" s="136"/>
      <c r="P109" s="136"/>
      <c r="Q109" s="136"/>
      <c r="R109" s="136"/>
      <c r="S109" s="136"/>
      <c r="T109" s="136"/>
      <c r="U109" s="136"/>
    </row>
    <row r="110" spans="1:52">
      <c r="A110" s="11"/>
      <c r="B110" s="11"/>
      <c r="C110" s="90"/>
      <c r="N110" s="136"/>
      <c r="O110" s="136"/>
      <c r="P110" s="136"/>
      <c r="Q110" s="136"/>
      <c r="R110" s="136"/>
      <c r="S110" s="136"/>
      <c r="T110" s="136"/>
      <c r="U110" s="136"/>
    </row>
    <row r="111" spans="1:52">
      <c r="A111" s="11"/>
      <c r="B111" s="11"/>
      <c r="C111" s="90"/>
      <c r="N111" s="136"/>
      <c r="O111" s="136"/>
      <c r="P111" s="136"/>
      <c r="Q111" s="136"/>
      <c r="R111" s="136"/>
      <c r="S111" s="136"/>
      <c r="T111" s="136"/>
      <c r="U111" s="136"/>
    </row>
    <row r="112" spans="1:52">
      <c r="A112" s="11"/>
      <c r="B112" s="11"/>
      <c r="C112" s="90"/>
      <c r="N112" s="136"/>
      <c r="O112" s="136"/>
      <c r="P112" s="136"/>
      <c r="Q112" s="136"/>
      <c r="R112" s="136"/>
      <c r="S112" s="136"/>
      <c r="T112" s="136"/>
      <c r="U112" s="136"/>
    </row>
    <row r="113" spans="1:21">
      <c r="A113" s="11"/>
      <c r="B113" s="11"/>
      <c r="C113" s="90"/>
      <c r="N113" s="136"/>
      <c r="O113" s="136"/>
      <c r="P113" s="136"/>
      <c r="Q113" s="136"/>
      <c r="R113" s="136"/>
      <c r="S113" s="136"/>
      <c r="T113" s="136"/>
      <c r="U113" s="136"/>
    </row>
    <row r="114" spans="1:21">
      <c r="A114" s="11"/>
      <c r="B114" s="11"/>
      <c r="C114" s="90"/>
      <c r="N114" s="136"/>
      <c r="O114" s="136"/>
      <c r="P114" s="136"/>
      <c r="Q114" s="136"/>
      <c r="R114" s="136"/>
      <c r="S114" s="136"/>
      <c r="T114" s="136"/>
      <c r="U114" s="136"/>
    </row>
    <row r="115" spans="1:21">
      <c r="A115" s="11"/>
      <c r="B115" s="11"/>
      <c r="C115" s="90"/>
      <c r="N115" s="136"/>
      <c r="O115" s="136"/>
      <c r="P115" s="136"/>
      <c r="Q115" s="136"/>
      <c r="R115" s="136"/>
      <c r="S115" s="136"/>
      <c r="T115" s="136"/>
      <c r="U115" s="136"/>
    </row>
    <row r="116" spans="1:21">
      <c r="A116" s="11"/>
      <c r="B116" s="11"/>
      <c r="C116" s="90"/>
      <c r="N116" s="136"/>
      <c r="O116" s="136"/>
      <c r="P116" s="136"/>
      <c r="Q116" s="136"/>
      <c r="R116" s="136"/>
      <c r="S116" s="136"/>
      <c r="T116" s="136"/>
      <c r="U116" s="136"/>
    </row>
    <row r="117" spans="1:21">
      <c r="A117" s="11"/>
      <c r="B117" s="11"/>
      <c r="C117" s="90"/>
      <c r="N117" s="136"/>
      <c r="O117" s="136"/>
      <c r="P117" s="136"/>
      <c r="Q117" s="136"/>
      <c r="R117" s="136"/>
      <c r="S117" s="136"/>
      <c r="T117" s="136"/>
      <c r="U117" s="136"/>
    </row>
    <row r="118" spans="1:21">
      <c r="A118" s="11"/>
      <c r="B118" s="11"/>
      <c r="C118" s="90"/>
      <c r="N118" s="136"/>
      <c r="O118" s="136"/>
      <c r="P118" s="136"/>
      <c r="Q118" s="136"/>
      <c r="R118" s="136"/>
      <c r="S118" s="136"/>
      <c r="T118" s="136"/>
      <c r="U118" s="136"/>
    </row>
    <row r="119" spans="1:21">
      <c r="A119" s="11"/>
      <c r="B119" s="11"/>
      <c r="C119" s="90"/>
      <c r="N119" s="136"/>
      <c r="O119" s="136"/>
      <c r="P119" s="136"/>
      <c r="Q119" s="136"/>
      <c r="R119" s="136"/>
      <c r="S119" s="136"/>
      <c r="T119" s="136"/>
      <c r="U119" s="136"/>
    </row>
    <row r="120" spans="1:21">
      <c r="A120" s="11"/>
      <c r="B120" s="11"/>
      <c r="C120" s="90"/>
      <c r="N120" s="136"/>
      <c r="O120" s="136"/>
      <c r="P120" s="136"/>
      <c r="Q120" s="136"/>
      <c r="R120" s="136"/>
      <c r="S120" s="136"/>
      <c r="T120" s="136"/>
      <c r="U120" s="136"/>
    </row>
    <row r="121" spans="1:21">
      <c r="A121" s="11"/>
      <c r="B121" s="11"/>
      <c r="C121" s="90"/>
      <c r="N121" s="136"/>
      <c r="O121" s="136"/>
      <c r="P121" s="136"/>
      <c r="Q121" s="136"/>
      <c r="R121" s="136"/>
      <c r="S121" s="136"/>
      <c r="T121" s="136"/>
      <c r="U121" s="136"/>
    </row>
    <row r="122" spans="1:21">
      <c r="A122" s="11"/>
      <c r="B122" s="11"/>
      <c r="C122" s="90"/>
      <c r="N122" s="136"/>
      <c r="O122" s="136"/>
      <c r="P122" s="136"/>
      <c r="Q122" s="136"/>
      <c r="R122" s="136"/>
      <c r="S122" s="136"/>
      <c r="T122" s="136"/>
      <c r="U122" s="136"/>
    </row>
    <row r="123" spans="1:21">
      <c r="A123" s="11"/>
      <c r="B123" s="11"/>
      <c r="C123" s="90"/>
      <c r="N123" s="136"/>
      <c r="O123" s="136"/>
      <c r="P123" s="136"/>
      <c r="Q123" s="136"/>
      <c r="R123" s="136"/>
      <c r="S123" s="136"/>
      <c r="T123" s="136"/>
      <c r="U123" s="136"/>
    </row>
    <row r="124" spans="1:21">
      <c r="A124" s="11"/>
      <c r="B124" s="11"/>
      <c r="C124" s="90"/>
      <c r="N124" s="136"/>
      <c r="O124" s="136"/>
      <c r="P124" s="136"/>
      <c r="Q124" s="136"/>
      <c r="R124" s="136"/>
      <c r="S124" s="136"/>
      <c r="T124" s="136"/>
      <c r="U124" s="136"/>
    </row>
    <row r="125" spans="1:21">
      <c r="A125" s="11"/>
      <c r="B125" s="11"/>
      <c r="C125" s="90"/>
      <c r="N125" s="136"/>
      <c r="O125" s="136"/>
      <c r="P125" s="136"/>
      <c r="Q125" s="136"/>
      <c r="R125" s="136"/>
      <c r="S125" s="136"/>
      <c r="T125" s="136"/>
      <c r="U125" s="136"/>
    </row>
    <row r="126" spans="1:21">
      <c r="A126" s="11"/>
      <c r="B126" s="11"/>
      <c r="C126" s="90"/>
      <c r="N126" s="136"/>
      <c r="O126" s="136"/>
      <c r="P126" s="136"/>
      <c r="Q126" s="136"/>
      <c r="R126" s="136"/>
      <c r="S126" s="136"/>
      <c r="T126" s="136"/>
      <c r="U126" s="136"/>
    </row>
    <row r="127" spans="1:21">
      <c r="A127" s="11"/>
      <c r="B127" s="11"/>
      <c r="C127" s="90"/>
      <c r="N127" s="136"/>
      <c r="O127" s="136"/>
      <c r="P127" s="136"/>
      <c r="Q127" s="136"/>
      <c r="R127" s="136"/>
      <c r="S127" s="136"/>
      <c r="T127" s="136"/>
      <c r="U127" s="136"/>
    </row>
    <row r="128" spans="1:21">
      <c r="A128" s="11"/>
      <c r="B128" s="11"/>
      <c r="C128" s="90"/>
      <c r="N128" s="136"/>
      <c r="O128" s="136"/>
      <c r="P128" s="136"/>
      <c r="Q128" s="136"/>
      <c r="R128" s="136"/>
      <c r="S128" s="136"/>
      <c r="T128" s="136"/>
      <c r="U128" s="136"/>
    </row>
    <row r="129" spans="1:21">
      <c r="A129" s="11"/>
      <c r="B129" s="11"/>
      <c r="C129" s="90"/>
      <c r="N129" s="136"/>
      <c r="O129" s="136"/>
      <c r="P129" s="136"/>
      <c r="Q129" s="136"/>
      <c r="R129" s="136"/>
      <c r="S129" s="136"/>
      <c r="T129" s="136"/>
      <c r="U129" s="136"/>
    </row>
    <row r="130" spans="1:21">
      <c r="A130" s="11"/>
      <c r="B130" s="11"/>
      <c r="C130" s="90"/>
      <c r="N130" s="136"/>
      <c r="O130" s="136"/>
      <c r="P130" s="136"/>
      <c r="Q130" s="136"/>
      <c r="R130" s="136"/>
      <c r="S130" s="136"/>
      <c r="T130" s="136"/>
      <c r="U130" s="136"/>
    </row>
    <row r="131" spans="1:21">
      <c r="A131" s="11"/>
      <c r="B131" s="11"/>
      <c r="C131" s="90"/>
      <c r="N131" s="136"/>
      <c r="O131" s="136"/>
      <c r="P131" s="136"/>
      <c r="Q131" s="136"/>
      <c r="R131" s="136"/>
      <c r="S131" s="136"/>
      <c r="T131" s="136"/>
      <c r="U131" s="136"/>
    </row>
    <row r="132" spans="1:21">
      <c r="A132" s="11"/>
      <c r="B132" s="11"/>
      <c r="C132" s="90"/>
      <c r="N132" s="136"/>
      <c r="O132" s="136"/>
      <c r="P132" s="136"/>
      <c r="Q132" s="136"/>
      <c r="R132" s="136"/>
      <c r="S132" s="136"/>
      <c r="T132" s="136"/>
      <c r="U132" s="136"/>
    </row>
    <row r="133" spans="1:21">
      <c r="A133" s="11"/>
      <c r="B133" s="11"/>
      <c r="C133" s="90"/>
      <c r="N133" s="136"/>
      <c r="O133" s="136"/>
      <c r="P133" s="136"/>
      <c r="Q133" s="136"/>
      <c r="R133" s="136"/>
      <c r="S133" s="136"/>
      <c r="T133" s="136"/>
      <c r="U133" s="136"/>
    </row>
    <row r="134" spans="1:21">
      <c r="A134" s="11"/>
      <c r="B134" s="11"/>
      <c r="C134" s="90"/>
      <c r="N134" s="136"/>
      <c r="O134" s="136"/>
      <c r="P134" s="136"/>
      <c r="Q134" s="136"/>
      <c r="R134" s="136"/>
      <c r="S134" s="136"/>
      <c r="T134" s="136"/>
      <c r="U134" s="136"/>
    </row>
    <row r="135" spans="1:21">
      <c r="A135" s="11"/>
      <c r="B135" s="11"/>
      <c r="C135" s="90"/>
      <c r="N135" s="136"/>
      <c r="O135" s="136"/>
      <c r="P135" s="136"/>
      <c r="Q135" s="136"/>
      <c r="R135" s="136"/>
      <c r="S135" s="136"/>
      <c r="T135" s="136"/>
      <c r="U135" s="136"/>
    </row>
    <row r="136" spans="1:21">
      <c r="A136" s="11"/>
      <c r="B136" s="11"/>
      <c r="C136" s="90"/>
      <c r="N136" s="136"/>
      <c r="O136" s="136"/>
      <c r="P136" s="136"/>
      <c r="Q136" s="136"/>
      <c r="R136" s="136"/>
      <c r="S136" s="136"/>
      <c r="T136" s="136"/>
      <c r="U136" s="136"/>
    </row>
    <row r="137" spans="1:21">
      <c r="A137" s="11"/>
      <c r="B137" s="11"/>
      <c r="C137" s="90"/>
      <c r="N137" s="136"/>
      <c r="O137" s="136"/>
      <c r="P137" s="136"/>
      <c r="Q137" s="136"/>
      <c r="R137" s="136"/>
      <c r="S137" s="136"/>
      <c r="T137" s="136"/>
      <c r="U137" s="136"/>
    </row>
    <row r="138" spans="1:21">
      <c r="A138" s="11"/>
      <c r="B138" s="11"/>
      <c r="C138" s="90"/>
      <c r="N138" s="136"/>
      <c r="O138" s="136"/>
      <c r="P138" s="136"/>
      <c r="Q138" s="136"/>
      <c r="R138" s="136"/>
      <c r="S138" s="136"/>
      <c r="T138" s="136"/>
      <c r="U138" s="136"/>
    </row>
    <row r="139" spans="1:21">
      <c r="A139" s="11"/>
      <c r="B139" s="11"/>
      <c r="C139" s="90"/>
      <c r="N139" s="136"/>
      <c r="O139" s="136"/>
      <c r="P139" s="136"/>
      <c r="Q139" s="136"/>
      <c r="R139" s="136"/>
      <c r="S139" s="136"/>
      <c r="T139" s="136"/>
      <c r="U139" s="136"/>
    </row>
    <row r="140" spans="1:21">
      <c r="A140" s="11"/>
      <c r="B140" s="11"/>
      <c r="C140" s="90"/>
      <c r="N140" s="136"/>
      <c r="O140" s="136"/>
      <c r="P140" s="136"/>
      <c r="Q140" s="136"/>
      <c r="R140" s="136"/>
      <c r="S140" s="136"/>
      <c r="T140" s="136"/>
      <c r="U140" s="136"/>
    </row>
    <row r="141" spans="1:21">
      <c r="A141" s="11"/>
      <c r="B141" s="11"/>
      <c r="C141" s="90"/>
      <c r="N141" s="136"/>
      <c r="O141" s="136"/>
      <c r="P141" s="136"/>
      <c r="Q141" s="136"/>
      <c r="R141" s="136"/>
      <c r="S141" s="136"/>
      <c r="T141" s="136"/>
      <c r="U141" s="136"/>
    </row>
    <row r="142" spans="1:21">
      <c r="A142" s="11"/>
      <c r="B142" s="11"/>
      <c r="C142" s="90"/>
      <c r="N142" s="136"/>
      <c r="O142" s="136"/>
      <c r="P142" s="136"/>
      <c r="Q142" s="136"/>
      <c r="R142" s="136"/>
      <c r="S142" s="136"/>
      <c r="T142" s="136"/>
      <c r="U142" s="136"/>
    </row>
    <row r="143" spans="1:21">
      <c r="A143" s="11"/>
      <c r="B143" s="11"/>
      <c r="C143" s="90"/>
      <c r="N143" s="136"/>
      <c r="O143" s="136"/>
      <c r="P143" s="136"/>
      <c r="Q143" s="136"/>
      <c r="R143" s="136"/>
      <c r="S143" s="136"/>
      <c r="T143" s="136"/>
      <c r="U143" s="136"/>
    </row>
    <row r="144" spans="1:21">
      <c r="A144" s="11"/>
      <c r="B144" s="11"/>
      <c r="C144" s="90"/>
      <c r="N144" s="136"/>
      <c r="O144" s="136"/>
      <c r="P144" s="136"/>
      <c r="Q144" s="136"/>
      <c r="R144" s="136"/>
      <c r="S144" s="136"/>
      <c r="T144" s="136"/>
      <c r="U144" s="136"/>
    </row>
    <row r="145" spans="1:21">
      <c r="A145" s="11"/>
      <c r="B145" s="11"/>
      <c r="C145" s="90"/>
      <c r="N145" s="136"/>
      <c r="O145" s="136"/>
      <c r="P145" s="136"/>
      <c r="Q145" s="136"/>
      <c r="R145" s="136"/>
      <c r="S145" s="136"/>
      <c r="T145" s="136"/>
      <c r="U145" s="136"/>
    </row>
    <row r="146" spans="1:21">
      <c r="A146" s="11"/>
      <c r="B146" s="11"/>
      <c r="C146" s="90"/>
      <c r="I146" s="11" t="s">
        <v>291</v>
      </c>
      <c r="J146" s="11">
        <f>SUM(J3:J100)</f>
        <v>880</v>
      </c>
      <c r="N146" s="136"/>
      <c r="O146" s="136"/>
      <c r="P146" s="136"/>
      <c r="Q146" s="136"/>
      <c r="R146" s="136"/>
      <c r="S146" s="136"/>
      <c r="T146" s="136"/>
      <c r="U146" s="136"/>
    </row>
    <row r="147" spans="1:21">
      <c r="A147" s="11"/>
      <c r="B147" s="11"/>
      <c r="C147" s="90"/>
      <c r="I147" s="11" t="s">
        <v>292</v>
      </c>
      <c r="J147" s="11">
        <v>3.5</v>
      </c>
      <c r="N147" s="136"/>
      <c r="O147" s="136"/>
      <c r="P147" s="136"/>
      <c r="Q147" s="136"/>
      <c r="R147" s="136"/>
      <c r="S147" s="136"/>
      <c r="T147" s="136"/>
      <c r="U147" s="136"/>
    </row>
    <row r="148" spans="1:21">
      <c r="A148" s="11"/>
      <c r="B148" s="11"/>
      <c r="C148" s="90"/>
      <c r="I148" s="11" t="s">
        <v>293</v>
      </c>
      <c r="J148" s="101">
        <f>J146*3.5</f>
        <v>3080</v>
      </c>
      <c r="N148" s="136"/>
      <c r="O148" s="136"/>
      <c r="P148" s="136"/>
      <c r="Q148" s="136"/>
      <c r="R148" s="136"/>
      <c r="S148" s="136"/>
      <c r="T148" s="136"/>
      <c r="U148" s="136"/>
    </row>
    <row r="149" spans="1:21">
      <c r="A149" s="11"/>
      <c r="B149" s="11"/>
      <c r="C149" s="90"/>
      <c r="N149" s="136"/>
      <c r="O149" s="136"/>
      <c r="P149" s="136"/>
      <c r="Q149" s="136"/>
      <c r="R149" s="136"/>
      <c r="S149" s="136"/>
      <c r="T149" s="136"/>
      <c r="U149" s="136"/>
    </row>
    <row r="150" spans="1:21">
      <c r="A150" s="11"/>
      <c r="B150" s="11"/>
      <c r="C150" s="90"/>
      <c r="N150" s="136"/>
      <c r="O150" s="136"/>
      <c r="P150" s="136"/>
      <c r="Q150" s="136"/>
      <c r="R150" s="136"/>
      <c r="S150" s="136"/>
      <c r="T150" s="136"/>
      <c r="U150" s="136"/>
    </row>
    <row r="151" spans="1:21">
      <c r="A151" s="11"/>
      <c r="B151" s="11"/>
      <c r="C151" s="90"/>
      <c r="N151" s="136"/>
      <c r="O151" s="136"/>
      <c r="P151" s="136"/>
      <c r="Q151" s="136"/>
      <c r="R151" s="136"/>
      <c r="S151" s="136"/>
      <c r="T151" s="136"/>
      <c r="U151" s="136"/>
    </row>
    <row r="152" spans="1:21">
      <c r="A152" s="11"/>
      <c r="B152" s="11"/>
      <c r="C152" s="90"/>
      <c r="N152" s="136"/>
      <c r="O152" s="136"/>
      <c r="P152" s="136"/>
      <c r="Q152" s="136"/>
      <c r="R152" s="136"/>
      <c r="S152" s="136"/>
      <c r="T152" s="136"/>
      <c r="U152" s="136"/>
    </row>
    <row r="153" spans="1:21">
      <c r="A153" s="11"/>
      <c r="B153" s="11"/>
      <c r="C153" s="90"/>
      <c r="N153" s="136"/>
      <c r="O153" s="136"/>
      <c r="P153" s="136"/>
      <c r="Q153" s="136"/>
      <c r="R153" s="136"/>
      <c r="S153" s="136"/>
      <c r="T153" s="136"/>
      <c r="U153" s="136"/>
    </row>
    <row r="154" spans="1:21">
      <c r="A154" s="11"/>
      <c r="B154" s="11"/>
      <c r="C154" s="90"/>
      <c r="N154" s="136"/>
      <c r="O154" s="136"/>
      <c r="P154" s="136"/>
      <c r="Q154" s="136"/>
      <c r="R154" s="136"/>
      <c r="S154" s="136"/>
      <c r="T154" s="136"/>
      <c r="U154" s="136"/>
    </row>
    <row r="155" spans="1:21">
      <c r="A155" s="11"/>
      <c r="B155" s="11"/>
      <c r="C155" s="90"/>
      <c r="N155" s="136"/>
      <c r="O155" s="136"/>
      <c r="P155" s="136"/>
      <c r="Q155" s="136"/>
      <c r="R155" s="136"/>
      <c r="S155" s="136"/>
      <c r="T155" s="136"/>
      <c r="U155" s="136"/>
    </row>
    <row r="156" spans="1:21">
      <c r="A156" s="11"/>
      <c r="B156" s="11"/>
      <c r="C156" s="90"/>
      <c r="N156" s="136"/>
      <c r="O156" s="136"/>
      <c r="P156" s="136"/>
      <c r="Q156" s="136"/>
      <c r="R156" s="136"/>
      <c r="S156" s="136"/>
      <c r="T156" s="136"/>
      <c r="U156" s="136"/>
    </row>
    <row r="157" spans="1:21">
      <c r="A157" s="11"/>
      <c r="B157" s="11"/>
      <c r="C157" s="90"/>
      <c r="N157" s="136"/>
      <c r="O157" s="136"/>
      <c r="P157" s="136"/>
      <c r="Q157" s="136"/>
      <c r="R157" s="136"/>
      <c r="S157" s="136"/>
      <c r="T157" s="136"/>
      <c r="U157" s="136"/>
    </row>
    <row r="158" spans="1:21">
      <c r="A158" s="11"/>
      <c r="B158" s="11"/>
      <c r="C158" s="90"/>
      <c r="N158" s="136"/>
      <c r="O158" s="136"/>
      <c r="P158" s="136"/>
      <c r="Q158" s="136"/>
      <c r="R158" s="136"/>
      <c r="S158" s="136"/>
      <c r="T158" s="136"/>
      <c r="U158" s="136"/>
    </row>
    <row r="159" spans="1:21">
      <c r="A159" s="11"/>
      <c r="B159" s="11"/>
      <c r="C159" s="90"/>
      <c r="N159" s="136"/>
      <c r="O159" s="136"/>
      <c r="P159" s="136"/>
      <c r="Q159" s="136"/>
      <c r="R159" s="136"/>
      <c r="S159" s="136"/>
      <c r="T159" s="136"/>
      <c r="U159" s="136"/>
    </row>
    <row r="160" spans="1:21">
      <c r="A160" s="11"/>
      <c r="B160" s="11"/>
      <c r="C160" s="90"/>
      <c r="N160" s="136"/>
      <c r="O160" s="136"/>
      <c r="P160" s="136"/>
      <c r="Q160" s="136"/>
      <c r="R160" s="136"/>
      <c r="S160" s="136"/>
      <c r="T160" s="136"/>
      <c r="U160" s="136"/>
    </row>
    <row r="161" spans="1:21">
      <c r="A161" s="11"/>
      <c r="B161" s="11"/>
      <c r="C161" s="90"/>
      <c r="N161" s="136"/>
      <c r="O161" s="136"/>
      <c r="P161" s="136"/>
      <c r="Q161" s="136"/>
      <c r="R161" s="136"/>
      <c r="S161" s="136"/>
      <c r="T161" s="136"/>
      <c r="U161" s="136"/>
    </row>
    <row r="162" spans="1:21">
      <c r="A162" s="11"/>
      <c r="B162" s="11"/>
      <c r="C162" s="90"/>
      <c r="N162" s="136"/>
      <c r="O162" s="136"/>
      <c r="P162" s="136"/>
      <c r="Q162" s="136"/>
      <c r="R162" s="136"/>
      <c r="S162" s="136"/>
      <c r="T162" s="136"/>
      <c r="U162" s="136"/>
    </row>
    <row r="163" spans="1:21">
      <c r="A163" s="11"/>
      <c r="B163" s="11"/>
      <c r="C163" s="90"/>
      <c r="N163" s="136"/>
      <c r="O163" s="136"/>
      <c r="P163" s="136"/>
      <c r="Q163" s="136"/>
      <c r="R163" s="136"/>
      <c r="S163" s="136"/>
      <c r="T163" s="136"/>
      <c r="U163" s="136"/>
    </row>
    <row r="164" spans="1:21">
      <c r="A164" s="11"/>
      <c r="B164" s="11"/>
      <c r="C164" s="90"/>
      <c r="N164" s="136"/>
      <c r="O164" s="136"/>
      <c r="P164" s="136"/>
      <c r="Q164" s="136"/>
      <c r="R164" s="136"/>
      <c r="S164" s="136"/>
      <c r="T164" s="136"/>
      <c r="U164" s="136"/>
    </row>
    <row r="165" spans="1:21">
      <c r="A165" s="11"/>
      <c r="B165" s="11"/>
      <c r="C165" s="90"/>
      <c r="N165" s="136"/>
      <c r="O165" s="136"/>
      <c r="P165" s="136"/>
      <c r="Q165" s="136"/>
      <c r="R165" s="136"/>
      <c r="S165" s="136"/>
      <c r="T165" s="136"/>
      <c r="U165" s="136"/>
    </row>
    <row r="166" spans="1:21">
      <c r="A166" s="11"/>
      <c r="B166" s="11"/>
      <c r="C166" s="90"/>
      <c r="N166" s="136"/>
      <c r="O166" s="136"/>
      <c r="P166" s="136"/>
      <c r="Q166" s="136"/>
      <c r="R166" s="136"/>
      <c r="S166" s="136"/>
      <c r="T166" s="136"/>
      <c r="U166" s="136"/>
    </row>
    <row r="167" spans="1:21">
      <c r="A167" s="11"/>
      <c r="B167" s="11"/>
      <c r="C167" s="90"/>
      <c r="N167" s="136"/>
      <c r="O167" s="136"/>
      <c r="P167" s="136"/>
      <c r="Q167" s="136"/>
      <c r="R167" s="136"/>
      <c r="S167" s="136"/>
      <c r="T167" s="136"/>
      <c r="U167" s="136"/>
    </row>
    <row r="168" spans="1:21">
      <c r="A168" s="11"/>
      <c r="B168" s="11"/>
      <c r="C168" s="90"/>
      <c r="N168" s="136"/>
      <c r="O168" s="136"/>
      <c r="P168" s="136"/>
      <c r="Q168" s="136"/>
      <c r="R168" s="136"/>
      <c r="S168" s="136"/>
      <c r="T168" s="136"/>
      <c r="U168" s="136"/>
    </row>
    <row r="169" spans="1:21">
      <c r="A169" s="11"/>
      <c r="B169" s="11"/>
      <c r="C169" s="90"/>
      <c r="N169" s="136"/>
      <c r="O169" s="136"/>
      <c r="P169" s="136"/>
      <c r="Q169" s="136"/>
      <c r="R169" s="136"/>
      <c r="S169" s="136"/>
      <c r="T169" s="136"/>
      <c r="U169" s="136"/>
    </row>
    <row r="170" spans="1:21">
      <c r="A170" s="11"/>
      <c r="B170" s="11"/>
      <c r="C170" s="90"/>
      <c r="N170" s="136"/>
      <c r="O170" s="136"/>
      <c r="P170" s="136"/>
      <c r="Q170" s="136"/>
      <c r="R170" s="136"/>
      <c r="S170" s="136"/>
      <c r="T170" s="136"/>
      <c r="U170" s="136"/>
    </row>
    <row r="171" spans="1:21">
      <c r="A171" s="11"/>
      <c r="B171" s="11"/>
      <c r="C171" s="90"/>
      <c r="N171" s="136"/>
      <c r="O171" s="136"/>
      <c r="P171" s="136"/>
      <c r="Q171" s="136"/>
      <c r="R171" s="136"/>
      <c r="S171" s="136"/>
      <c r="T171" s="136"/>
      <c r="U171" s="136"/>
    </row>
    <row r="172" spans="1:21">
      <c r="A172" s="11"/>
      <c r="B172" s="11"/>
      <c r="C172" s="90"/>
      <c r="N172" s="136"/>
      <c r="O172" s="136"/>
      <c r="P172" s="136"/>
      <c r="Q172" s="136"/>
      <c r="R172" s="136"/>
      <c r="S172" s="136"/>
      <c r="T172" s="136"/>
      <c r="U172" s="136"/>
    </row>
    <row r="173" spans="1:21">
      <c r="A173" s="11"/>
      <c r="B173" s="11"/>
      <c r="C173" s="90"/>
      <c r="N173" s="136"/>
      <c r="O173" s="136"/>
      <c r="P173" s="136"/>
      <c r="Q173" s="136"/>
      <c r="R173" s="136"/>
      <c r="S173" s="136"/>
      <c r="T173" s="136"/>
      <c r="U173" s="136"/>
    </row>
    <row r="174" spans="1:21">
      <c r="A174" s="11"/>
      <c r="B174" s="11"/>
      <c r="C174" s="90"/>
      <c r="N174" s="136"/>
      <c r="O174" s="136"/>
      <c r="P174" s="136"/>
      <c r="Q174" s="136"/>
      <c r="R174" s="136"/>
      <c r="S174" s="136"/>
      <c r="T174" s="136"/>
      <c r="U174" s="136"/>
    </row>
    <row r="175" spans="1:21">
      <c r="A175" s="11"/>
      <c r="B175" s="11"/>
      <c r="C175" s="90"/>
      <c r="N175" s="136"/>
      <c r="O175" s="136"/>
      <c r="P175" s="136"/>
      <c r="Q175" s="136"/>
      <c r="R175" s="136"/>
      <c r="S175" s="136"/>
      <c r="T175" s="136"/>
      <c r="U175" s="136"/>
    </row>
    <row r="176" spans="1:21">
      <c r="A176" s="11"/>
      <c r="B176" s="11"/>
      <c r="C176" s="90"/>
      <c r="N176" s="136"/>
      <c r="O176" s="136"/>
      <c r="P176" s="136"/>
      <c r="Q176" s="136"/>
      <c r="R176" s="136"/>
      <c r="S176" s="136"/>
      <c r="T176" s="136"/>
      <c r="U176" s="136"/>
    </row>
    <row r="177" spans="1:21">
      <c r="A177" s="11"/>
      <c r="B177" s="11"/>
      <c r="C177" s="90"/>
      <c r="N177" s="136"/>
      <c r="O177" s="136"/>
      <c r="P177" s="136"/>
      <c r="Q177" s="136"/>
      <c r="R177" s="136"/>
      <c r="S177" s="136"/>
      <c r="T177" s="136"/>
      <c r="U177" s="136"/>
    </row>
    <row r="178" spans="1:21">
      <c r="A178" s="11"/>
      <c r="B178" s="11"/>
      <c r="C178" s="90"/>
      <c r="N178" s="136"/>
      <c r="O178" s="136"/>
      <c r="P178" s="136"/>
      <c r="Q178" s="136"/>
      <c r="R178" s="136"/>
      <c r="S178" s="136"/>
      <c r="T178" s="136"/>
      <c r="U178" s="136"/>
    </row>
    <row r="179" spans="1:21">
      <c r="A179" s="11"/>
      <c r="B179" s="11"/>
      <c r="C179" s="90"/>
      <c r="N179" s="136"/>
      <c r="O179" s="136"/>
      <c r="P179" s="136"/>
      <c r="Q179" s="136"/>
      <c r="R179" s="136"/>
      <c r="S179" s="136"/>
      <c r="T179" s="136"/>
      <c r="U179" s="136"/>
    </row>
    <row r="180" spans="1:21">
      <c r="A180" s="11"/>
      <c r="B180" s="11"/>
      <c r="C180" s="90"/>
      <c r="N180" s="136"/>
      <c r="O180" s="136"/>
      <c r="P180" s="136"/>
      <c r="Q180" s="136"/>
      <c r="R180" s="136"/>
      <c r="S180" s="136"/>
      <c r="T180" s="136"/>
      <c r="U180" s="136"/>
    </row>
    <row r="181" spans="1:21">
      <c r="A181" s="11"/>
      <c r="B181" s="11"/>
      <c r="C181" s="90"/>
      <c r="N181" s="136"/>
      <c r="O181" s="136"/>
      <c r="P181" s="136"/>
      <c r="Q181" s="136"/>
      <c r="R181" s="136"/>
      <c r="S181" s="136"/>
      <c r="T181" s="136"/>
      <c r="U181" s="136"/>
    </row>
    <row r="182" spans="1:21">
      <c r="A182" s="11"/>
      <c r="B182" s="11"/>
      <c r="C182" s="90"/>
      <c r="N182" s="136"/>
      <c r="O182" s="136"/>
      <c r="P182" s="136"/>
      <c r="Q182" s="136"/>
      <c r="R182" s="136"/>
      <c r="S182" s="136"/>
      <c r="T182" s="136"/>
      <c r="U182" s="136"/>
    </row>
    <row r="183" spans="1:21">
      <c r="A183" s="11"/>
      <c r="B183" s="11"/>
      <c r="C183" s="90"/>
      <c r="N183" s="136"/>
      <c r="O183" s="136"/>
      <c r="P183" s="136"/>
      <c r="Q183" s="136"/>
      <c r="R183" s="136"/>
      <c r="S183" s="136"/>
      <c r="T183" s="136"/>
      <c r="U183" s="136"/>
    </row>
    <row r="184" spans="1:21">
      <c r="A184" s="11"/>
      <c r="B184" s="11"/>
      <c r="C184" s="90"/>
      <c r="N184" s="136"/>
      <c r="O184" s="136"/>
      <c r="P184" s="136"/>
      <c r="Q184" s="136"/>
      <c r="R184" s="136"/>
      <c r="S184" s="136"/>
      <c r="T184" s="136"/>
      <c r="U184" s="136"/>
    </row>
    <row r="185" spans="1:21">
      <c r="A185" s="11"/>
      <c r="B185" s="11"/>
      <c r="C185" s="90"/>
      <c r="N185" s="136"/>
      <c r="O185" s="136"/>
      <c r="P185" s="136"/>
      <c r="Q185" s="136"/>
      <c r="R185" s="136"/>
      <c r="S185" s="136"/>
      <c r="T185" s="136"/>
      <c r="U185" s="136"/>
    </row>
    <row r="186" spans="1:21">
      <c r="A186" s="11"/>
      <c r="B186" s="11"/>
      <c r="C186" s="90"/>
      <c r="N186" s="136"/>
      <c r="O186" s="136"/>
      <c r="P186" s="136"/>
      <c r="Q186" s="136"/>
      <c r="R186" s="136"/>
      <c r="S186" s="136"/>
      <c r="T186" s="136"/>
      <c r="U186" s="136"/>
    </row>
    <row r="187" spans="1:21">
      <c r="A187" s="11"/>
      <c r="B187" s="11"/>
      <c r="C187" s="90"/>
      <c r="N187" s="136"/>
      <c r="O187" s="136"/>
      <c r="P187" s="136"/>
      <c r="Q187" s="136"/>
      <c r="R187" s="136"/>
      <c r="S187" s="136"/>
      <c r="T187" s="136"/>
      <c r="U187" s="136"/>
    </row>
    <row r="188" spans="1:21">
      <c r="A188" s="11"/>
      <c r="B188" s="11"/>
      <c r="C188" s="90"/>
      <c r="N188" s="136"/>
      <c r="O188" s="136"/>
      <c r="P188" s="136"/>
      <c r="Q188" s="136"/>
      <c r="R188" s="136"/>
      <c r="S188" s="136"/>
      <c r="T188" s="136"/>
      <c r="U188" s="136"/>
    </row>
    <row r="189" spans="1:21">
      <c r="A189" s="11"/>
      <c r="B189" s="11"/>
      <c r="C189" s="90"/>
      <c r="N189" s="136"/>
      <c r="O189" s="136"/>
      <c r="P189" s="136"/>
      <c r="Q189" s="136"/>
      <c r="R189" s="136"/>
      <c r="S189" s="136"/>
      <c r="T189" s="136"/>
      <c r="U189" s="136"/>
    </row>
    <row r="190" spans="1:21">
      <c r="A190" s="11"/>
      <c r="B190" s="11"/>
      <c r="C190" s="90"/>
      <c r="N190" s="136"/>
      <c r="O190" s="136"/>
      <c r="P190" s="136"/>
      <c r="Q190" s="136"/>
      <c r="R190" s="136"/>
      <c r="S190" s="136"/>
      <c r="T190" s="136"/>
      <c r="U190" s="136"/>
    </row>
    <row r="191" spans="1:21">
      <c r="A191" s="11"/>
      <c r="B191" s="11"/>
      <c r="C191" s="90"/>
      <c r="N191" s="136"/>
      <c r="O191" s="136"/>
      <c r="P191" s="136"/>
      <c r="Q191" s="136"/>
      <c r="R191" s="136"/>
      <c r="S191" s="136"/>
      <c r="T191" s="136"/>
      <c r="U191" s="136"/>
    </row>
    <row r="192" spans="1:21">
      <c r="A192" s="11"/>
      <c r="B192" s="11"/>
      <c r="C192" s="90"/>
      <c r="N192" s="136"/>
      <c r="O192" s="136"/>
      <c r="P192" s="136"/>
      <c r="Q192" s="136"/>
      <c r="R192" s="136"/>
      <c r="S192" s="136"/>
      <c r="T192" s="136"/>
      <c r="U192" s="136"/>
    </row>
    <row r="193" spans="1:21">
      <c r="A193" s="11"/>
      <c r="B193" s="11"/>
      <c r="C193" s="90"/>
      <c r="N193" s="136"/>
      <c r="O193" s="136"/>
      <c r="P193" s="136"/>
      <c r="Q193" s="136"/>
      <c r="R193" s="136"/>
      <c r="S193" s="136"/>
      <c r="T193" s="136"/>
      <c r="U193" s="136"/>
    </row>
    <row r="194" spans="1:21">
      <c r="A194" s="11"/>
      <c r="B194" s="11"/>
      <c r="C194" s="90"/>
      <c r="N194" s="136"/>
      <c r="O194" s="136"/>
      <c r="P194" s="136"/>
      <c r="Q194" s="136"/>
      <c r="R194" s="136"/>
      <c r="S194" s="136"/>
      <c r="T194" s="136"/>
      <c r="U194" s="136"/>
    </row>
    <row r="195" spans="1:21">
      <c r="A195" s="11"/>
      <c r="B195" s="11"/>
      <c r="C195" s="90"/>
      <c r="N195" s="136"/>
      <c r="O195" s="136"/>
      <c r="P195" s="136"/>
      <c r="Q195" s="136"/>
      <c r="R195" s="136"/>
      <c r="S195" s="136"/>
      <c r="T195" s="136"/>
      <c r="U195" s="136"/>
    </row>
    <row r="196" spans="1:21">
      <c r="A196" s="11"/>
      <c r="B196" s="11"/>
      <c r="C196" s="90"/>
      <c r="N196" s="136"/>
      <c r="O196" s="136"/>
      <c r="P196" s="136"/>
      <c r="Q196" s="136"/>
      <c r="R196" s="136"/>
      <c r="S196" s="136"/>
      <c r="T196" s="136"/>
      <c r="U196" s="136"/>
    </row>
    <row r="197" spans="1:21">
      <c r="A197" s="11"/>
      <c r="B197" s="11"/>
      <c r="C197" s="90"/>
      <c r="N197" s="136"/>
      <c r="O197" s="136"/>
      <c r="P197" s="136"/>
      <c r="Q197" s="136"/>
      <c r="R197" s="136"/>
      <c r="S197" s="136"/>
      <c r="T197" s="136"/>
      <c r="U197" s="136"/>
    </row>
    <row r="198" spans="1:21">
      <c r="A198" s="11"/>
      <c r="B198" s="11"/>
      <c r="C198" s="90"/>
      <c r="N198" s="136"/>
      <c r="O198" s="136"/>
      <c r="P198" s="136"/>
      <c r="Q198" s="136"/>
      <c r="R198" s="136"/>
      <c r="S198" s="136"/>
      <c r="T198" s="136"/>
      <c r="U198" s="136"/>
    </row>
    <row r="199" spans="1:21">
      <c r="A199" s="11"/>
      <c r="B199" s="11"/>
      <c r="C199" s="90"/>
      <c r="N199" s="136"/>
      <c r="O199" s="136"/>
      <c r="P199" s="136"/>
      <c r="Q199" s="136"/>
      <c r="R199" s="136"/>
      <c r="S199" s="136"/>
      <c r="T199" s="136"/>
      <c r="U199" s="136"/>
    </row>
    <row r="200" spans="1:21">
      <c r="A200" s="11"/>
      <c r="B200" s="11"/>
      <c r="C200" s="90"/>
      <c r="N200" s="136"/>
      <c r="O200" s="136"/>
      <c r="P200" s="136"/>
      <c r="Q200" s="136"/>
      <c r="R200" s="136"/>
      <c r="S200" s="136"/>
      <c r="T200" s="136"/>
      <c r="U200" s="136"/>
    </row>
    <row r="201" spans="1:21">
      <c r="A201" s="11"/>
      <c r="B201" s="11"/>
      <c r="C201" s="90"/>
      <c r="N201" s="136"/>
      <c r="O201" s="136"/>
      <c r="P201" s="136"/>
      <c r="Q201" s="136"/>
      <c r="R201" s="136"/>
      <c r="S201" s="136"/>
      <c r="T201" s="136"/>
      <c r="U201" s="136"/>
    </row>
    <row r="202" spans="1:21">
      <c r="A202" s="11"/>
      <c r="B202" s="11"/>
      <c r="C202" s="90"/>
      <c r="N202" s="136"/>
      <c r="O202" s="136"/>
      <c r="P202" s="136"/>
      <c r="Q202" s="136"/>
      <c r="R202" s="136"/>
      <c r="S202" s="136"/>
      <c r="T202" s="136"/>
      <c r="U202" s="136"/>
    </row>
    <row r="203" spans="1:21">
      <c r="A203" s="11"/>
      <c r="B203" s="11"/>
      <c r="C203" s="90"/>
      <c r="N203" s="136"/>
      <c r="O203" s="136"/>
      <c r="P203" s="136"/>
      <c r="Q203" s="136"/>
      <c r="R203" s="136"/>
      <c r="S203" s="136"/>
      <c r="T203" s="136"/>
      <c r="U203" s="136"/>
    </row>
    <row r="204" spans="1:21">
      <c r="A204" s="11"/>
      <c r="B204" s="11"/>
      <c r="C204" s="90"/>
      <c r="N204" s="136"/>
      <c r="O204" s="136"/>
      <c r="P204" s="136"/>
      <c r="Q204" s="136"/>
      <c r="R204" s="136"/>
      <c r="S204" s="136"/>
      <c r="T204" s="136"/>
      <c r="U204" s="136"/>
    </row>
    <row r="205" spans="1:21">
      <c r="A205" s="11"/>
      <c r="B205" s="11"/>
      <c r="C205" s="90"/>
      <c r="N205" s="136"/>
      <c r="O205" s="136"/>
      <c r="P205" s="136"/>
      <c r="Q205" s="136"/>
      <c r="R205" s="136"/>
      <c r="S205" s="136"/>
      <c r="T205" s="136"/>
      <c r="U205" s="136"/>
    </row>
    <row r="206" spans="1:21">
      <c r="A206" s="11"/>
      <c r="B206" s="11"/>
      <c r="C206" s="90"/>
      <c r="N206" s="136"/>
      <c r="O206" s="136"/>
      <c r="P206" s="136"/>
      <c r="Q206" s="136"/>
      <c r="R206" s="136"/>
      <c r="S206" s="136"/>
      <c r="T206" s="136"/>
      <c r="U206" s="136"/>
    </row>
    <row r="207" spans="1:21">
      <c r="A207" s="11"/>
      <c r="B207" s="11"/>
      <c r="C207" s="90"/>
      <c r="N207" s="136"/>
      <c r="O207" s="136"/>
      <c r="P207" s="136"/>
      <c r="Q207" s="136"/>
      <c r="R207" s="136"/>
      <c r="S207" s="136"/>
      <c r="T207" s="136"/>
      <c r="U207" s="136"/>
    </row>
    <row r="208" spans="1:21">
      <c r="A208" s="11"/>
      <c r="B208" s="11"/>
      <c r="C208" s="90"/>
      <c r="N208" s="136"/>
      <c r="O208" s="136"/>
      <c r="P208" s="136"/>
      <c r="Q208" s="136"/>
      <c r="R208" s="136"/>
      <c r="S208" s="136"/>
      <c r="T208" s="136"/>
      <c r="U208" s="136"/>
    </row>
    <row r="209" spans="1:21">
      <c r="A209" s="11"/>
      <c r="B209" s="11"/>
      <c r="C209" s="90"/>
      <c r="N209" s="136"/>
      <c r="O209" s="136"/>
      <c r="P209" s="136"/>
      <c r="Q209" s="136"/>
      <c r="R209" s="136"/>
      <c r="S209" s="136"/>
      <c r="T209" s="136"/>
      <c r="U209" s="136"/>
    </row>
    <row r="210" spans="1:21">
      <c r="A210" s="11"/>
      <c r="B210" s="11"/>
      <c r="C210" s="90"/>
      <c r="N210" s="136"/>
      <c r="O210" s="136"/>
      <c r="P210" s="136"/>
      <c r="Q210" s="136"/>
      <c r="R210" s="136"/>
      <c r="S210" s="136"/>
      <c r="T210" s="136"/>
      <c r="U210" s="136"/>
    </row>
    <row r="211" spans="1:21">
      <c r="A211" s="11"/>
      <c r="B211" s="11"/>
      <c r="C211" s="90"/>
      <c r="N211" s="136"/>
      <c r="O211" s="136"/>
      <c r="P211" s="136"/>
      <c r="Q211" s="136"/>
      <c r="R211" s="136"/>
      <c r="S211" s="136"/>
      <c r="T211" s="136"/>
      <c r="U211" s="136"/>
    </row>
    <row r="212" spans="1:21">
      <c r="A212" s="11"/>
      <c r="B212" s="11"/>
      <c r="C212" s="90"/>
      <c r="N212" s="136"/>
      <c r="O212" s="136"/>
      <c r="P212" s="136"/>
      <c r="Q212" s="136"/>
      <c r="R212" s="136"/>
      <c r="S212" s="136"/>
      <c r="T212" s="136"/>
      <c r="U212" s="136"/>
    </row>
    <row r="213" spans="1:21">
      <c r="A213" s="11"/>
      <c r="B213" s="11"/>
      <c r="C213" s="90"/>
      <c r="N213" s="136"/>
      <c r="O213" s="136"/>
      <c r="P213" s="136"/>
      <c r="Q213" s="136"/>
      <c r="R213" s="136"/>
      <c r="S213" s="136"/>
      <c r="T213" s="136"/>
      <c r="U213" s="136"/>
    </row>
    <row r="214" spans="1:21">
      <c r="A214" s="11"/>
      <c r="B214" s="11"/>
      <c r="C214" s="90"/>
      <c r="N214" s="136"/>
      <c r="O214" s="136"/>
      <c r="P214" s="136"/>
      <c r="Q214" s="136"/>
      <c r="R214" s="136"/>
      <c r="S214" s="136"/>
      <c r="T214" s="136"/>
      <c r="U214" s="136"/>
    </row>
    <row r="215" spans="1:21">
      <c r="A215" s="11"/>
      <c r="B215" s="11"/>
      <c r="C215" s="90"/>
      <c r="N215" s="136"/>
      <c r="O215" s="136"/>
      <c r="P215" s="136"/>
      <c r="Q215" s="136"/>
      <c r="R215" s="136"/>
      <c r="S215" s="136"/>
      <c r="T215" s="136"/>
      <c r="U215" s="136"/>
    </row>
    <row r="216" spans="1:21">
      <c r="A216" s="11"/>
      <c r="B216" s="11"/>
      <c r="C216" s="90"/>
      <c r="N216" s="136"/>
      <c r="O216" s="136"/>
      <c r="P216" s="136"/>
      <c r="Q216" s="136"/>
      <c r="R216" s="136"/>
      <c r="S216" s="136"/>
      <c r="T216" s="136"/>
      <c r="U216" s="136"/>
    </row>
    <row r="217" spans="1:21">
      <c r="A217" s="11"/>
      <c r="B217" s="11"/>
      <c r="C217" s="90"/>
      <c r="N217" s="136"/>
      <c r="O217" s="136"/>
      <c r="P217" s="136"/>
      <c r="Q217" s="136"/>
      <c r="R217" s="136"/>
      <c r="S217" s="136"/>
      <c r="T217" s="136"/>
      <c r="U217" s="136"/>
    </row>
    <row r="218" spans="1:21">
      <c r="A218" s="11"/>
      <c r="B218" s="11"/>
      <c r="C218" s="90"/>
      <c r="N218" s="136"/>
      <c r="O218" s="136"/>
      <c r="P218" s="136"/>
      <c r="Q218" s="136"/>
      <c r="R218" s="136"/>
      <c r="S218" s="136"/>
      <c r="T218" s="136"/>
      <c r="U218" s="136"/>
    </row>
    <row r="219" spans="1:21">
      <c r="A219" s="11"/>
      <c r="B219" s="11"/>
      <c r="C219" s="90"/>
      <c r="N219" s="136"/>
      <c r="O219" s="136"/>
      <c r="P219" s="136"/>
      <c r="Q219" s="136"/>
      <c r="R219" s="136"/>
      <c r="S219" s="136"/>
      <c r="T219" s="136"/>
      <c r="U219" s="136"/>
    </row>
    <row r="220" spans="1:21">
      <c r="A220" s="11"/>
      <c r="B220" s="11"/>
      <c r="C220" s="90"/>
      <c r="N220" s="136"/>
      <c r="O220" s="136"/>
      <c r="P220" s="136"/>
      <c r="Q220" s="136"/>
      <c r="R220" s="136"/>
      <c r="S220" s="136"/>
      <c r="T220" s="136"/>
      <c r="U220" s="136"/>
    </row>
    <row r="221" spans="1:21">
      <c r="A221" s="11"/>
      <c r="B221" s="11"/>
      <c r="C221" s="90"/>
      <c r="N221" s="136"/>
      <c r="O221" s="136"/>
      <c r="P221" s="136"/>
      <c r="Q221" s="136"/>
      <c r="R221" s="136"/>
      <c r="S221" s="136"/>
      <c r="T221" s="136"/>
      <c r="U221" s="136"/>
    </row>
    <row r="222" spans="1:21">
      <c r="A222" s="11"/>
      <c r="B222" s="11"/>
      <c r="C222" s="90"/>
      <c r="N222" s="136"/>
      <c r="O222" s="136"/>
      <c r="P222" s="136"/>
      <c r="Q222" s="136"/>
      <c r="R222" s="136"/>
      <c r="S222" s="136"/>
      <c r="T222" s="136"/>
      <c r="U222" s="136"/>
    </row>
    <row r="223" spans="1:21">
      <c r="A223" s="11"/>
      <c r="B223" s="11"/>
      <c r="C223" s="90"/>
      <c r="N223" s="136"/>
      <c r="O223" s="136"/>
      <c r="P223" s="136"/>
      <c r="Q223" s="136"/>
      <c r="R223" s="136"/>
      <c r="S223" s="136"/>
      <c r="T223" s="136"/>
      <c r="U223" s="136"/>
    </row>
    <row r="224" spans="1:21">
      <c r="A224" s="11"/>
      <c r="B224" s="11"/>
      <c r="C224" s="90"/>
      <c r="N224" s="136"/>
      <c r="O224" s="136"/>
      <c r="P224" s="136"/>
      <c r="Q224" s="136"/>
      <c r="R224" s="136"/>
      <c r="S224" s="136"/>
      <c r="T224" s="136"/>
      <c r="U224" s="136"/>
    </row>
    <row r="225" spans="1:21">
      <c r="A225" s="11"/>
      <c r="B225" s="11"/>
      <c r="C225" s="90"/>
      <c r="N225" s="136"/>
      <c r="O225" s="136"/>
      <c r="P225" s="136"/>
      <c r="Q225" s="136"/>
      <c r="R225" s="136"/>
      <c r="S225" s="136"/>
      <c r="T225" s="136"/>
      <c r="U225" s="136"/>
    </row>
    <row r="226" spans="1:21">
      <c r="A226" s="11"/>
      <c r="B226" s="11"/>
      <c r="C226" s="90"/>
      <c r="N226" s="136"/>
      <c r="O226" s="136"/>
      <c r="P226" s="136"/>
      <c r="Q226" s="136"/>
      <c r="R226" s="136"/>
      <c r="S226" s="136"/>
      <c r="T226" s="136"/>
      <c r="U226" s="136"/>
    </row>
    <row r="227" spans="1:21">
      <c r="A227" s="11"/>
      <c r="B227" s="11"/>
      <c r="C227" s="90"/>
      <c r="N227" s="136"/>
      <c r="O227" s="136"/>
      <c r="P227" s="136"/>
      <c r="Q227" s="136"/>
      <c r="R227" s="136"/>
      <c r="S227" s="136"/>
      <c r="T227" s="136"/>
      <c r="U227" s="136"/>
    </row>
    <row r="228" spans="1:21">
      <c r="A228" s="11"/>
      <c r="B228" s="11"/>
      <c r="C228" s="90"/>
      <c r="N228" s="136"/>
      <c r="O228" s="136"/>
      <c r="P228" s="136"/>
      <c r="Q228" s="136"/>
      <c r="R228" s="136"/>
      <c r="S228" s="136"/>
      <c r="T228" s="136"/>
      <c r="U228" s="136"/>
    </row>
    <row r="229" spans="1:21">
      <c r="A229" s="11"/>
      <c r="B229" s="11"/>
      <c r="C229" s="90"/>
      <c r="N229" s="136"/>
      <c r="O229" s="136"/>
      <c r="P229" s="136"/>
      <c r="Q229" s="136"/>
      <c r="R229" s="136"/>
      <c r="S229" s="136"/>
      <c r="T229" s="136"/>
      <c r="U229" s="136"/>
    </row>
    <row r="230" spans="1:21">
      <c r="A230" s="11"/>
      <c r="B230" s="11"/>
      <c r="C230" s="90"/>
      <c r="N230" s="136"/>
      <c r="O230" s="136"/>
      <c r="P230" s="136"/>
      <c r="Q230" s="136"/>
      <c r="R230" s="136"/>
      <c r="S230" s="136"/>
      <c r="T230" s="136"/>
      <c r="U230" s="136"/>
    </row>
    <row r="231" spans="1:21">
      <c r="A231" s="11"/>
      <c r="B231" s="11"/>
      <c r="C231" s="90"/>
      <c r="N231" s="136"/>
      <c r="O231" s="136"/>
      <c r="P231" s="136"/>
      <c r="Q231" s="136"/>
      <c r="R231" s="136"/>
      <c r="S231" s="136"/>
      <c r="T231" s="136"/>
      <c r="U231" s="136"/>
    </row>
    <row r="232" spans="1:21">
      <c r="A232" s="11"/>
      <c r="B232" s="11"/>
      <c r="C232" s="90"/>
      <c r="N232" s="136"/>
      <c r="O232" s="136"/>
      <c r="P232" s="136"/>
      <c r="Q232" s="136"/>
      <c r="R232" s="136"/>
      <c r="S232" s="136"/>
      <c r="T232" s="136"/>
      <c r="U232" s="136"/>
    </row>
    <row r="233" spans="1:21">
      <c r="A233" s="11"/>
      <c r="B233" s="11"/>
      <c r="C233" s="90"/>
      <c r="N233" s="136"/>
      <c r="O233" s="136"/>
      <c r="P233" s="136"/>
      <c r="Q233" s="136"/>
      <c r="R233" s="136"/>
      <c r="S233" s="136"/>
      <c r="T233" s="136"/>
      <c r="U233" s="136"/>
    </row>
    <row r="234" spans="1:21">
      <c r="A234" s="11"/>
      <c r="B234" s="11"/>
      <c r="C234" s="90"/>
      <c r="N234" s="136"/>
      <c r="O234" s="136"/>
      <c r="P234" s="136"/>
      <c r="Q234" s="136"/>
      <c r="R234" s="136"/>
      <c r="S234" s="136"/>
      <c r="T234" s="136"/>
      <c r="U234" s="136"/>
    </row>
    <row r="235" spans="1:21">
      <c r="A235" s="11"/>
      <c r="B235" s="11"/>
      <c r="C235" s="90"/>
      <c r="N235" s="136"/>
      <c r="O235" s="136"/>
      <c r="P235" s="136"/>
      <c r="Q235" s="136"/>
      <c r="R235" s="136"/>
      <c r="S235" s="136"/>
      <c r="T235" s="136"/>
      <c r="U235" s="136"/>
    </row>
    <row r="236" spans="1:21">
      <c r="A236" s="11"/>
      <c r="B236" s="11"/>
      <c r="C236" s="90"/>
      <c r="N236" s="136"/>
      <c r="O236" s="136"/>
      <c r="P236" s="136"/>
      <c r="Q236" s="136"/>
      <c r="R236" s="136"/>
      <c r="S236" s="136"/>
      <c r="T236" s="136"/>
      <c r="U236" s="136"/>
    </row>
    <row r="237" spans="1:21">
      <c r="A237" s="11"/>
      <c r="B237" s="11"/>
      <c r="C237" s="90"/>
      <c r="N237" s="136"/>
      <c r="O237" s="136"/>
      <c r="P237" s="136"/>
      <c r="Q237" s="136"/>
      <c r="R237" s="136"/>
      <c r="S237" s="136"/>
      <c r="T237" s="136"/>
      <c r="U237" s="136"/>
    </row>
    <row r="238" spans="1:21">
      <c r="A238" s="11"/>
      <c r="B238" s="11"/>
      <c r="C238" s="90"/>
      <c r="N238" s="136"/>
      <c r="O238" s="136"/>
      <c r="P238" s="136"/>
      <c r="Q238" s="136"/>
      <c r="R238" s="136"/>
      <c r="S238" s="136"/>
      <c r="T238" s="136"/>
      <c r="U238" s="136"/>
    </row>
    <row r="239" spans="1:21">
      <c r="A239" s="11"/>
      <c r="B239" s="11"/>
      <c r="C239" s="90"/>
      <c r="N239" s="136"/>
      <c r="O239" s="136"/>
      <c r="P239" s="136"/>
      <c r="Q239" s="136"/>
      <c r="R239" s="136"/>
      <c r="S239" s="136"/>
      <c r="T239" s="136"/>
      <c r="U239" s="136"/>
    </row>
    <row r="240" spans="1:21">
      <c r="A240" s="11"/>
      <c r="B240" s="11"/>
      <c r="C240" s="90"/>
      <c r="N240" s="136"/>
      <c r="O240" s="136"/>
      <c r="P240" s="136"/>
      <c r="Q240" s="136"/>
      <c r="R240" s="136"/>
      <c r="S240" s="136"/>
      <c r="T240" s="136"/>
      <c r="U240" s="136"/>
    </row>
    <row r="241" spans="1:21">
      <c r="A241" s="11"/>
      <c r="B241" s="11"/>
      <c r="C241" s="90"/>
      <c r="N241" s="136"/>
      <c r="O241" s="136"/>
      <c r="P241" s="136"/>
      <c r="Q241" s="136"/>
      <c r="R241" s="136"/>
      <c r="S241" s="136"/>
      <c r="T241" s="136"/>
      <c r="U241" s="136"/>
    </row>
    <row r="242" spans="1:21">
      <c r="A242" s="11"/>
      <c r="B242" s="11"/>
      <c r="C242" s="90"/>
      <c r="N242" s="136"/>
      <c r="O242" s="136"/>
      <c r="P242" s="136"/>
      <c r="Q242" s="136"/>
      <c r="R242" s="136"/>
      <c r="S242" s="136"/>
      <c r="T242" s="136"/>
      <c r="U242" s="136"/>
    </row>
    <row r="243" spans="1:21">
      <c r="A243" s="11"/>
      <c r="B243" s="11"/>
      <c r="C243" s="90"/>
      <c r="N243" s="136"/>
      <c r="O243" s="136"/>
      <c r="P243" s="136"/>
      <c r="Q243" s="136"/>
      <c r="R243" s="136"/>
      <c r="S243" s="136"/>
      <c r="T243" s="136"/>
      <c r="U243" s="136"/>
    </row>
    <row r="244" spans="1:21">
      <c r="A244" s="11"/>
      <c r="B244" s="11"/>
      <c r="C244" s="90"/>
      <c r="N244" s="136"/>
      <c r="O244" s="136"/>
      <c r="P244" s="136"/>
      <c r="Q244" s="136"/>
      <c r="R244" s="136"/>
      <c r="S244" s="136"/>
      <c r="T244" s="136"/>
      <c r="U244" s="136"/>
    </row>
    <row r="245" spans="1:21">
      <c r="A245" s="11"/>
      <c r="B245" s="11"/>
      <c r="C245" s="90"/>
      <c r="N245" s="136"/>
      <c r="O245" s="136"/>
      <c r="P245" s="136"/>
      <c r="Q245" s="136"/>
      <c r="R245" s="136"/>
      <c r="S245" s="136"/>
      <c r="T245" s="136"/>
      <c r="U245" s="136"/>
    </row>
    <row r="246" spans="1:21">
      <c r="A246" s="11"/>
      <c r="B246" s="11"/>
      <c r="C246" s="90"/>
      <c r="N246" s="136"/>
      <c r="O246" s="136"/>
      <c r="P246" s="136"/>
      <c r="Q246" s="136"/>
      <c r="R246" s="136"/>
      <c r="S246" s="136"/>
      <c r="T246" s="136"/>
      <c r="U246" s="136"/>
    </row>
    <row r="247" spans="1:21">
      <c r="A247" s="11"/>
      <c r="B247" s="11"/>
      <c r="C247" s="90"/>
      <c r="N247" s="136"/>
      <c r="O247" s="136"/>
      <c r="P247" s="136"/>
      <c r="Q247" s="136"/>
      <c r="R247" s="136"/>
      <c r="S247" s="136"/>
      <c r="T247" s="136"/>
      <c r="U247" s="136"/>
    </row>
    <row r="248" spans="1:21">
      <c r="A248" s="11"/>
      <c r="B248" s="11"/>
      <c r="C248" s="90"/>
      <c r="N248" s="136"/>
      <c r="O248" s="136"/>
      <c r="P248" s="136"/>
      <c r="Q248" s="136"/>
      <c r="R248" s="136"/>
      <c r="S248" s="136"/>
      <c r="T248" s="136"/>
      <c r="U248" s="136"/>
    </row>
    <row r="249" spans="1:21">
      <c r="A249" s="11"/>
      <c r="B249" s="11"/>
      <c r="C249" s="90"/>
      <c r="N249" s="136"/>
      <c r="O249" s="136"/>
      <c r="P249" s="136"/>
      <c r="Q249" s="136"/>
      <c r="R249" s="136"/>
      <c r="S249" s="136"/>
      <c r="T249" s="136"/>
      <c r="U249" s="136"/>
    </row>
    <row r="250" spans="1:21">
      <c r="A250" s="11"/>
      <c r="B250" s="11"/>
      <c r="C250" s="90"/>
      <c r="N250" s="136"/>
      <c r="O250" s="136"/>
      <c r="P250" s="136"/>
      <c r="Q250" s="136"/>
      <c r="R250" s="136"/>
      <c r="S250" s="136"/>
      <c r="T250" s="136"/>
      <c r="U250" s="136"/>
    </row>
    <row r="251" spans="1:21">
      <c r="A251" s="11"/>
      <c r="B251" s="11"/>
      <c r="C251" s="90"/>
      <c r="N251" s="136"/>
      <c r="O251" s="136"/>
      <c r="P251" s="136"/>
      <c r="Q251" s="136"/>
      <c r="R251" s="136"/>
      <c r="S251" s="136"/>
      <c r="T251" s="136"/>
      <c r="U251" s="136"/>
    </row>
    <row r="252" spans="1:21">
      <c r="A252" s="11"/>
      <c r="B252" s="11"/>
      <c r="C252" s="90"/>
      <c r="N252" s="136"/>
      <c r="O252" s="136"/>
      <c r="P252" s="136"/>
      <c r="Q252" s="136"/>
      <c r="R252" s="136"/>
      <c r="S252" s="136"/>
      <c r="T252" s="136"/>
      <c r="U252" s="136"/>
    </row>
    <row r="253" spans="1:21">
      <c r="A253" s="11"/>
      <c r="B253" s="11"/>
      <c r="C253" s="90"/>
      <c r="N253" s="136"/>
      <c r="O253" s="136"/>
      <c r="P253" s="136"/>
      <c r="Q253" s="136"/>
      <c r="R253" s="136"/>
      <c r="S253" s="136"/>
      <c r="T253" s="136"/>
      <c r="U253" s="136"/>
    </row>
    <row r="254" spans="1:21">
      <c r="A254" s="11"/>
      <c r="B254" s="11"/>
      <c r="C254" s="90"/>
      <c r="N254" s="136"/>
      <c r="O254" s="136"/>
      <c r="P254" s="136"/>
      <c r="Q254" s="136"/>
      <c r="R254" s="136"/>
      <c r="S254" s="136"/>
      <c r="T254" s="136"/>
      <c r="U254" s="136"/>
    </row>
    <row r="255" spans="1:21">
      <c r="A255" s="11"/>
      <c r="B255" s="11"/>
      <c r="C255" s="90"/>
      <c r="N255" s="136"/>
      <c r="O255" s="136"/>
      <c r="P255" s="136"/>
      <c r="Q255" s="136"/>
      <c r="R255" s="136"/>
      <c r="S255" s="136"/>
      <c r="T255" s="136"/>
      <c r="U255" s="136"/>
    </row>
    <row r="256" spans="1:21">
      <c r="A256" s="11"/>
      <c r="B256" s="11"/>
      <c r="C256" s="90"/>
      <c r="N256" s="136"/>
      <c r="O256" s="136"/>
      <c r="P256" s="136"/>
      <c r="Q256" s="136"/>
      <c r="R256" s="136"/>
      <c r="S256" s="136"/>
      <c r="T256" s="136"/>
      <c r="U256" s="136"/>
    </row>
    <row r="257" spans="1:21">
      <c r="A257" s="11"/>
      <c r="B257" s="11"/>
      <c r="C257" s="90"/>
      <c r="N257" s="136"/>
      <c r="O257" s="136"/>
      <c r="P257" s="136"/>
      <c r="Q257" s="136"/>
      <c r="R257" s="136"/>
      <c r="S257" s="136"/>
      <c r="T257" s="136"/>
      <c r="U257" s="136"/>
    </row>
    <row r="258" spans="1:21">
      <c r="A258" s="11"/>
      <c r="B258" s="11"/>
      <c r="C258" s="90"/>
      <c r="N258" s="136"/>
      <c r="O258" s="136"/>
      <c r="P258" s="136"/>
      <c r="Q258" s="136"/>
      <c r="R258" s="136"/>
      <c r="S258" s="136"/>
      <c r="T258" s="136"/>
      <c r="U258" s="136"/>
    </row>
    <row r="259" spans="1:21">
      <c r="A259" s="11"/>
      <c r="B259" s="11"/>
      <c r="C259" s="90"/>
      <c r="N259" s="136"/>
      <c r="O259" s="136"/>
      <c r="P259" s="136"/>
      <c r="Q259" s="136"/>
      <c r="R259" s="136"/>
      <c r="S259" s="136"/>
      <c r="T259" s="136"/>
      <c r="U259" s="136"/>
    </row>
    <row r="260" spans="1:21">
      <c r="A260" s="11"/>
      <c r="B260" s="11"/>
      <c r="C260" s="90"/>
      <c r="N260" s="136"/>
      <c r="O260" s="136"/>
      <c r="P260" s="136"/>
      <c r="Q260" s="136"/>
      <c r="R260" s="136"/>
      <c r="S260" s="136"/>
      <c r="T260" s="136"/>
      <c r="U260" s="136"/>
    </row>
    <row r="261" spans="1:21">
      <c r="A261" s="11"/>
      <c r="B261" s="11"/>
      <c r="C261" s="90"/>
      <c r="N261" s="136"/>
      <c r="O261" s="136"/>
      <c r="P261" s="136"/>
      <c r="Q261" s="136"/>
      <c r="R261" s="136"/>
      <c r="S261" s="136"/>
      <c r="T261" s="136"/>
      <c r="U261" s="136"/>
    </row>
    <row r="262" spans="1:21">
      <c r="A262" s="11"/>
      <c r="B262" s="11"/>
      <c r="C262" s="90"/>
      <c r="N262" s="136"/>
      <c r="O262" s="136"/>
      <c r="P262" s="136"/>
      <c r="Q262" s="136"/>
      <c r="R262" s="136"/>
      <c r="S262" s="136"/>
      <c r="T262" s="136"/>
      <c r="U262" s="136"/>
    </row>
    <row r="263" spans="1:21">
      <c r="A263" s="11"/>
      <c r="B263" s="11"/>
      <c r="C263" s="90"/>
      <c r="N263" s="136"/>
      <c r="O263" s="136"/>
      <c r="P263" s="136"/>
      <c r="Q263" s="136"/>
      <c r="R263" s="136"/>
      <c r="S263" s="136"/>
      <c r="T263" s="136"/>
      <c r="U263" s="136"/>
    </row>
    <row r="264" spans="1:21">
      <c r="A264" s="11"/>
      <c r="B264" s="11"/>
      <c r="C264" s="90"/>
      <c r="N264" s="136"/>
      <c r="O264" s="136"/>
      <c r="P264" s="136"/>
      <c r="Q264" s="136"/>
      <c r="R264" s="136"/>
      <c r="S264" s="136"/>
      <c r="T264" s="136"/>
      <c r="U264" s="136"/>
    </row>
    <row r="265" spans="1:21">
      <c r="A265" s="11"/>
      <c r="B265" s="11"/>
      <c r="C265" s="90"/>
      <c r="N265" s="136"/>
      <c r="O265" s="136"/>
      <c r="P265" s="136"/>
      <c r="Q265" s="136"/>
      <c r="R265" s="136"/>
      <c r="S265" s="136"/>
      <c r="T265" s="136"/>
      <c r="U265" s="136"/>
    </row>
    <row r="266" spans="1:21">
      <c r="A266" s="11"/>
      <c r="B266" s="11"/>
      <c r="C266" s="90"/>
      <c r="N266" s="136"/>
      <c r="O266" s="136"/>
      <c r="P266" s="136"/>
      <c r="Q266" s="136"/>
      <c r="R266" s="136"/>
      <c r="S266" s="136"/>
      <c r="T266" s="136"/>
      <c r="U266" s="136"/>
    </row>
    <row r="267" spans="1:21">
      <c r="A267" s="11"/>
      <c r="B267" s="11"/>
      <c r="C267" s="90"/>
      <c r="N267" s="136"/>
      <c r="O267" s="136"/>
      <c r="P267" s="136"/>
      <c r="Q267" s="136"/>
      <c r="R267" s="136"/>
      <c r="S267" s="136"/>
      <c r="T267" s="136"/>
      <c r="U267" s="136"/>
    </row>
    <row r="268" spans="1:21">
      <c r="A268" s="11"/>
      <c r="B268" s="11"/>
      <c r="C268" s="90"/>
      <c r="N268" s="136"/>
      <c r="O268" s="136"/>
      <c r="P268" s="136"/>
      <c r="Q268" s="136"/>
      <c r="R268" s="136"/>
      <c r="S268" s="136"/>
      <c r="T268" s="136"/>
      <c r="U268" s="136"/>
    </row>
    <row r="269" spans="1:21">
      <c r="A269" s="11"/>
      <c r="B269" s="11"/>
      <c r="C269" s="90"/>
      <c r="N269" s="136"/>
      <c r="O269" s="136"/>
      <c r="P269" s="136"/>
      <c r="Q269" s="136"/>
      <c r="R269" s="136"/>
      <c r="S269" s="136"/>
      <c r="T269" s="136"/>
      <c r="U269" s="136"/>
    </row>
    <row r="270" spans="1:21">
      <c r="A270" s="11"/>
      <c r="B270" s="11"/>
      <c r="C270" s="90"/>
      <c r="N270" s="136"/>
      <c r="O270" s="136"/>
      <c r="P270" s="136"/>
      <c r="Q270" s="136"/>
      <c r="R270" s="136"/>
      <c r="S270" s="136"/>
      <c r="T270" s="136"/>
      <c r="U270" s="136"/>
    </row>
    <row r="271" spans="1:21">
      <c r="A271" s="11"/>
      <c r="B271" s="11"/>
      <c r="C271" s="90"/>
      <c r="N271" s="136"/>
      <c r="O271" s="136"/>
      <c r="P271" s="136"/>
      <c r="Q271" s="136"/>
      <c r="R271" s="136"/>
      <c r="S271" s="136"/>
      <c r="T271" s="136"/>
      <c r="U271" s="136"/>
    </row>
    <row r="272" spans="1:21">
      <c r="A272" s="11"/>
      <c r="B272" s="11"/>
      <c r="C272" s="90"/>
      <c r="N272" s="136"/>
      <c r="O272" s="136"/>
      <c r="P272" s="136"/>
      <c r="Q272" s="136"/>
      <c r="R272" s="136"/>
      <c r="S272" s="136"/>
      <c r="T272" s="136"/>
      <c r="U272" s="136"/>
    </row>
    <row r="273" spans="1:21">
      <c r="A273" s="11"/>
      <c r="B273" s="11"/>
      <c r="C273" s="90"/>
      <c r="N273" s="136"/>
      <c r="O273" s="136"/>
      <c r="P273" s="136"/>
      <c r="Q273" s="136"/>
      <c r="R273" s="136"/>
      <c r="S273" s="136"/>
      <c r="T273" s="136"/>
      <c r="U273" s="136"/>
    </row>
    <row r="274" spans="1:21">
      <c r="A274" s="11"/>
      <c r="B274" s="11"/>
      <c r="C274" s="90"/>
      <c r="N274" s="136"/>
      <c r="O274" s="136"/>
      <c r="P274" s="136"/>
      <c r="Q274" s="136"/>
      <c r="R274" s="136"/>
      <c r="S274" s="136"/>
      <c r="T274" s="136"/>
      <c r="U274" s="136"/>
    </row>
    <row r="275" spans="1:21">
      <c r="A275" s="11"/>
      <c r="B275" s="11"/>
      <c r="C275" s="90"/>
      <c r="N275" s="136"/>
      <c r="O275" s="136"/>
      <c r="P275" s="136"/>
      <c r="Q275" s="136"/>
      <c r="R275" s="136"/>
      <c r="S275" s="136"/>
      <c r="T275" s="136"/>
      <c r="U275" s="136"/>
    </row>
    <row r="276" spans="1:21">
      <c r="A276" s="11"/>
      <c r="B276" s="11"/>
      <c r="C276" s="90"/>
      <c r="N276" s="136"/>
      <c r="O276" s="136"/>
      <c r="P276" s="136"/>
      <c r="Q276" s="136"/>
      <c r="R276" s="136"/>
      <c r="S276" s="136"/>
      <c r="T276" s="136"/>
      <c r="U276" s="136"/>
    </row>
    <row r="277" spans="1:21">
      <c r="A277" s="11"/>
      <c r="B277" s="11"/>
      <c r="C277" s="90"/>
      <c r="N277" s="136"/>
      <c r="O277" s="136"/>
      <c r="P277" s="136"/>
      <c r="Q277" s="136"/>
      <c r="R277" s="136"/>
      <c r="S277" s="136"/>
      <c r="T277" s="136"/>
      <c r="U277" s="136"/>
    </row>
    <row r="278" spans="1:21">
      <c r="A278" s="11"/>
      <c r="B278" s="11"/>
      <c r="C278" s="90"/>
      <c r="N278" s="136"/>
      <c r="O278" s="136"/>
      <c r="P278" s="136"/>
      <c r="Q278" s="136"/>
      <c r="R278" s="136"/>
      <c r="S278" s="136"/>
      <c r="T278" s="136"/>
      <c r="U278" s="136"/>
    </row>
    <row r="279" spans="1:21">
      <c r="A279" s="11"/>
      <c r="B279" s="11"/>
      <c r="C279" s="90"/>
      <c r="N279" s="136"/>
      <c r="O279" s="136"/>
      <c r="P279" s="136"/>
      <c r="Q279" s="136"/>
      <c r="R279" s="136"/>
      <c r="S279" s="136"/>
      <c r="T279" s="136"/>
      <c r="U279" s="136"/>
    </row>
    <row r="280" spans="1:21">
      <c r="A280" s="11"/>
      <c r="B280" s="11"/>
      <c r="C280" s="90"/>
      <c r="N280" s="136"/>
      <c r="O280" s="136"/>
      <c r="P280" s="136"/>
      <c r="Q280" s="136"/>
      <c r="R280" s="136"/>
      <c r="S280" s="136"/>
      <c r="T280" s="136"/>
      <c r="U280" s="136"/>
    </row>
    <row r="281" spans="1:21">
      <c r="A281" s="11"/>
      <c r="B281" s="11"/>
      <c r="C281" s="90"/>
      <c r="N281" s="136"/>
      <c r="O281" s="136"/>
      <c r="P281" s="136"/>
      <c r="Q281" s="136"/>
      <c r="R281" s="136"/>
      <c r="S281" s="136"/>
      <c r="T281" s="136"/>
      <c r="U281" s="136"/>
    </row>
    <row r="282" spans="1:21">
      <c r="A282" s="11"/>
      <c r="B282" s="11"/>
      <c r="C282" s="90"/>
      <c r="N282" s="136"/>
      <c r="O282" s="136"/>
      <c r="P282" s="136"/>
      <c r="Q282" s="136"/>
      <c r="R282" s="136"/>
      <c r="S282" s="136"/>
      <c r="T282" s="136"/>
      <c r="U282" s="136"/>
    </row>
    <row r="283" spans="1:21">
      <c r="A283" s="11"/>
      <c r="B283" s="11"/>
      <c r="C283" s="90"/>
      <c r="N283" s="136"/>
      <c r="O283" s="136"/>
      <c r="P283" s="136"/>
      <c r="Q283" s="136"/>
      <c r="R283" s="136"/>
      <c r="S283" s="136"/>
      <c r="T283" s="136"/>
      <c r="U283" s="136"/>
    </row>
    <row r="284" spans="1:21">
      <c r="A284" s="11"/>
      <c r="B284" s="11"/>
      <c r="C284" s="90"/>
      <c r="N284" s="136"/>
      <c r="O284" s="136"/>
      <c r="P284" s="136"/>
      <c r="Q284" s="136"/>
      <c r="R284" s="136"/>
      <c r="S284" s="136"/>
      <c r="T284" s="136"/>
      <c r="U284" s="136"/>
    </row>
    <row r="285" spans="1:21">
      <c r="A285" s="11"/>
      <c r="B285" s="11"/>
      <c r="C285" s="90"/>
      <c r="N285" s="136"/>
      <c r="O285" s="136"/>
      <c r="P285" s="136"/>
      <c r="Q285" s="136"/>
      <c r="R285" s="136"/>
      <c r="S285" s="136"/>
      <c r="T285" s="136"/>
      <c r="U285" s="136"/>
    </row>
    <row r="286" spans="1:21">
      <c r="A286" s="11"/>
      <c r="B286" s="11"/>
      <c r="C286" s="90"/>
      <c r="N286" s="136"/>
      <c r="O286" s="136"/>
      <c r="P286" s="136"/>
      <c r="Q286" s="136"/>
      <c r="R286" s="136"/>
      <c r="S286" s="136"/>
      <c r="T286" s="136"/>
      <c r="U286" s="136"/>
    </row>
    <row r="287" spans="1:21">
      <c r="A287" s="11"/>
      <c r="B287" s="11"/>
      <c r="C287" s="90"/>
      <c r="N287" s="136"/>
      <c r="O287" s="136"/>
      <c r="P287" s="136"/>
      <c r="Q287" s="136"/>
      <c r="R287" s="136"/>
      <c r="S287" s="136"/>
      <c r="T287" s="136"/>
      <c r="U287" s="136"/>
    </row>
    <row r="288" spans="1:21">
      <c r="A288" s="11"/>
      <c r="B288" s="11"/>
      <c r="C288" s="90"/>
      <c r="N288" s="136"/>
      <c r="O288" s="136"/>
      <c r="P288" s="136"/>
      <c r="Q288" s="136"/>
      <c r="R288" s="136"/>
      <c r="S288" s="136"/>
      <c r="T288" s="136"/>
      <c r="U288" s="136"/>
    </row>
    <row r="289" spans="1:21">
      <c r="A289" s="11"/>
      <c r="B289" s="11"/>
      <c r="C289" s="90"/>
      <c r="N289" s="136"/>
      <c r="O289" s="136"/>
      <c r="P289" s="136"/>
      <c r="Q289" s="136"/>
      <c r="R289" s="136"/>
      <c r="S289" s="136"/>
      <c r="T289" s="136"/>
      <c r="U289" s="136"/>
    </row>
    <row r="290" spans="1:21">
      <c r="A290" s="11"/>
      <c r="B290" s="11"/>
      <c r="C290" s="90"/>
      <c r="N290" s="136"/>
      <c r="O290" s="136"/>
      <c r="P290" s="136"/>
      <c r="Q290" s="136"/>
      <c r="R290" s="136"/>
      <c r="S290" s="136"/>
      <c r="T290" s="136"/>
      <c r="U290" s="136"/>
    </row>
    <row r="291" spans="1:21">
      <c r="A291" s="11"/>
      <c r="B291" s="11"/>
      <c r="C291" s="90"/>
      <c r="N291" s="136"/>
      <c r="O291" s="136"/>
      <c r="P291" s="136"/>
      <c r="Q291" s="136"/>
      <c r="R291" s="136"/>
      <c r="S291" s="136"/>
      <c r="T291" s="136"/>
      <c r="U291" s="136"/>
    </row>
    <row r="292" spans="1:21">
      <c r="A292" s="11"/>
      <c r="B292" s="11"/>
      <c r="C292" s="90"/>
      <c r="N292" s="136"/>
      <c r="O292" s="136"/>
      <c r="P292" s="136"/>
      <c r="Q292" s="136"/>
      <c r="R292" s="136"/>
      <c r="S292" s="136"/>
      <c r="T292" s="136"/>
      <c r="U292" s="136"/>
    </row>
    <row r="293" spans="1:21">
      <c r="A293" s="11"/>
      <c r="B293" s="11"/>
      <c r="C293" s="90"/>
      <c r="N293" s="136"/>
      <c r="O293" s="136"/>
      <c r="P293" s="136"/>
      <c r="Q293" s="136"/>
      <c r="R293" s="136"/>
      <c r="S293" s="136"/>
      <c r="T293" s="136"/>
      <c r="U293" s="136"/>
    </row>
    <row r="294" spans="1:21">
      <c r="A294" s="11"/>
      <c r="B294" s="11"/>
      <c r="C294" s="90"/>
      <c r="N294" s="136"/>
      <c r="O294" s="136"/>
      <c r="P294" s="136"/>
      <c r="Q294" s="136"/>
      <c r="R294" s="136"/>
      <c r="S294" s="136"/>
      <c r="T294" s="136"/>
      <c r="U294" s="136"/>
    </row>
    <row r="295" spans="1:21">
      <c r="A295" s="11"/>
      <c r="B295" s="11"/>
      <c r="C295" s="90"/>
      <c r="N295" s="136"/>
      <c r="O295" s="136"/>
      <c r="P295" s="136"/>
      <c r="Q295" s="136"/>
      <c r="R295" s="136"/>
      <c r="S295" s="136"/>
      <c r="T295" s="136"/>
      <c r="U295" s="136"/>
    </row>
    <row r="296" spans="1:21">
      <c r="A296" s="11"/>
      <c r="B296" s="11"/>
      <c r="C296" s="90"/>
      <c r="N296" s="136"/>
      <c r="O296" s="136"/>
      <c r="P296" s="136"/>
      <c r="Q296" s="136"/>
      <c r="R296" s="136"/>
      <c r="S296" s="136"/>
      <c r="T296" s="136"/>
      <c r="U296" s="136"/>
    </row>
    <row r="297" spans="1:21">
      <c r="A297" s="11"/>
      <c r="B297" s="11"/>
      <c r="C297" s="90"/>
      <c r="N297" s="136"/>
      <c r="O297" s="136"/>
      <c r="P297" s="136"/>
      <c r="Q297" s="136"/>
      <c r="R297" s="136"/>
      <c r="S297" s="136"/>
      <c r="T297" s="136"/>
      <c r="U297" s="136"/>
    </row>
    <row r="298" spans="1:21">
      <c r="A298" s="11"/>
      <c r="B298" s="11"/>
      <c r="C298" s="90"/>
      <c r="N298" s="136"/>
      <c r="O298" s="136"/>
      <c r="P298" s="136"/>
      <c r="Q298" s="136"/>
      <c r="R298" s="136"/>
      <c r="S298" s="136"/>
      <c r="T298" s="136"/>
      <c r="U298" s="136"/>
    </row>
    <row r="299" spans="1:21">
      <c r="A299" s="11"/>
      <c r="B299" s="11"/>
      <c r="C299" s="90"/>
      <c r="N299" s="136"/>
      <c r="O299" s="136"/>
      <c r="P299" s="136"/>
      <c r="Q299" s="136"/>
      <c r="R299" s="136"/>
      <c r="S299" s="136"/>
      <c r="T299" s="136"/>
      <c r="U299" s="136"/>
    </row>
    <row r="300" spans="1:21">
      <c r="A300" s="11"/>
      <c r="B300" s="11"/>
      <c r="C300" s="90"/>
      <c r="N300" s="136"/>
      <c r="O300" s="136"/>
      <c r="P300" s="136"/>
      <c r="Q300" s="136"/>
      <c r="R300" s="136"/>
      <c r="S300" s="136"/>
      <c r="T300" s="136"/>
      <c r="U300" s="136"/>
    </row>
    <row r="301" spans="1:21">
      <c r="A301" s="11"/>
      <c r="B301" s="11"/>
      <c r="C301" s="90"/>
      <c r="N301" s="136"/>
      <c r="O301" s="136"/>
      <c r="P301" s="136"/>
      <c r="Q301" s="136"/>
      <c r="R301" s="136"/>
      <c r="S301" s="136"/>
      <c r="T301" s="136"/>
      <c r="U301" s="136"/>
    </row>
    <row r="302" spans="1:21">
      <c r="A302" s="11"/>
      <c r="B302" s="11"/>
      <c r="C302" s="90"/>
      <c r="N302" s="136"/>
      <c r="O302" s="136"/>
      <c r="P302" s="136"/>
      <c r="Q302" s="136"/>
      <c r="R302" s="136"/>
      <c r="S302" s="136"/>
      <c r="T302" s="136"/>
      <c r="U302" s="136"/>
    </row>
    <row r="303" spans="1:21">
      <c r="A303" s="11"/>
      <c r="B303" s="11"/>
      <c r="C303" s="90"/>
      <c r="N303" s="136"/>
      <c r="O303" s="136"/>
      <c r="P303" s="136"/>
      <c r="Q303" s="136"/>
      <c r="R303" s="136"/>
      <c r="S303" s="136"/>
      <c r="T303" s="136"/>
      <c r="U303" s="136"/>
    </row>
    <row r="304" spans="1:21">
      <c r="A304" s="11"/>
      <c r="B304" s="11"/>
      <c r="C304" s="90"/>
      <c r="N304" s="136"/>
      <c r="O304" s="136"/>
      <c r="P304" s="136"/>
      <c r="Q304" s="136"/>
      <c r="R304" s="136"/>
      <c r="S304" s="136"/>
      <c r="T304" s="136"/>
      <c r="U304" s="136"/>
    </row>
    <row r="305" spans="1:21">
      <c r="A305" s="11"/>
      <c r="B305" s="11"/>
      <c r="C305" s="90"/>
      <c r="N305" s="136"/>
      <c r="O305" s="136"/>
      <c r="P305" s="136"/>
      <c r="Q305" s="136"/>
      <c r="R305" s="136"/>
      <c r="S305" s="136"/>
      <c r="T305" s="136"/>
      <c r="U305" s="136"/>
    </row>
    <row r="306" spans="1:21">
      <c r="A306" s="11"/>
      <c r="B306" s="11"/>
      <c r="C306" s="90"/>
      <c r="N306" s="136"/>
      <c r="O306" s="136"/>
      <c r="P306" s="136"/>
      <c r="Q306" s="136"/>
      <c r="R306" s="136"/>
      <c r="S306" s="136"/>
      <c r="T306" s="136"/>
      <c r="U306" s="136"/>
    </row>
    <row r="307" spans="1:21">
      <c r="A307" s="11"/>
      <c r="B307" s="11"/>
      <c r="C307" s="90"/>
      <c r="N307" s="136"/>
      <c r="O307" s="136"/>
      <c r="P307" s="136"/>
      <c r="Q307" s="136"/>
      <c r="R307" s="136"/>
      <c r="S307" s="136"/>
      <c r="T307" s="136"/>
      <c r="U307" s="136"/>
    </row>
    <row r="308" spans="1:21">
      <c r="A308" s="11"/>
      <c r="B308" s="11"/>
      <c r="C308" s="90"/>
      <c r="N308" s="136"/>
      <c r="O308" s="136"/>
      <c r="P308" s="136"/>
      <c r="Q308" s="136"/>
      <c r="R308" s="136"/>
      <c r="S308" s="136"/>
      <c r="T308" s="136"/>
      <c r="U308" s="136"/>
    </row>
    <row r="309" spans="1:21">
      <c r="A309" s="11"/>
      <c r="B309" s="11"/>
      <c r="C309" s="90"/>
      <c r="N309" s="136"/>
      <c r="O309" s="136"/>
      <c r="P309" s="136"/>
      <c r="Q309" s="136"/>
      <c r="R309" s="136"/>
      <c r="S309" s="136"/>
      <c r="T309" s="136"/>
      <c r="U309" s="136"/>
    </row>
    <row r="310" spans="1:21">
      <c r="A310" s="11"/>
      <c r="B310" s="11"/>
      <c r="C310" s="90"/>
      <c r="N310" s="136"/>
      <c r="O310" s="136"/>
      <c r="P310" s="136"/>
      <c r="Q310" s="136"/>
      <c r="R310" s="136"/>
      <c r="S310" s="136"/>
      <c r="T310" s="136"/>
      <c r="U310" s="136"/>
    </row>
    <row r="311" spans="1:21">
      <c r="A311" s="11"/>
      <c r="B311" s="11"/>
      <c r="C311" s="90"/>
      <c r="N311" s="136"/>
      <c r="O311" s="136"/>
      <c r="P311" s="136"/>
      <c r="Q311" s="136"/>
      <c r="R311" s="136"/>
      <c r="S311" s="136"/>
      <c r="T311" s="136"/>
      <c r="U311" s="136"/>
    </row>
    <row r="312" spans="1:21">
      <c r="A312" s="11"/>
      <c r="B312" s="11"/>
      <c r="C312" s="90"/>
      <c r="N312" s="136"/>
      <c r="O312" s="136"/>
      <c r="P312" s="136"/>
      <c r="Q312" s="136"/>
      <c r="R312" s="136"/>
      <c r="S312" s="136"/>
      <c r="T312" s="136"/>
      <c r="U312" s="136"/>
    </row>
    <row r="313" spans="1:21">
      <c r="A313" s="11"/>
      <c r="B313" s="11"/>
      <c r="C313" s="90"/>
      <c r="N313" s="136"/>
      <c r="O313" s="136"/>
      <c r="P313" s="136"/>
      <c r="Q313" s="136"/>
      <c r="R313" s="136"/>
      <c r="S313" s="136"/>
      <c r="T313" s="136"/>
      <c r="U313" s="136"/>
    </row>
    <row r="314" spans="1:21">
      <c r="A314" s="11"/>
      <c r="B314" s="11"/>
      <c r="C314" s="90"/>
      <c r="N314" s="136"/>
      <c r="O314" s="136"/>
      <c r="P314" s="136"/>
      <c r="Q314" s="136"/>
      <c r="R314" s="136"/>
      <c r="S314" s="136"/>
      <c r="T314" s="136"/>
      <c r="U314" s="136"/>
    </row>
    <row r="315" spans="1:21">
      <c r="A315" s="11"/>
      <c r="B315" s="11"/>
      <c r="C315" s="90"/>
      <c r="N315" s="136"/>
      <c r="O315" s="136"/>
      <c r="P315" s="136"/>
      <c r="Q315" s="136"/>
      <c r="R315" s="136"/>
      <c r="S315" s="136"/>
      <c r="T315" s="136"/>
      <c r="U315" s="136"/>
    </row>
    <row r="316" spans="1:21">
      <c r="A316" s="11"/>
      <c r="B316" s="11"/>
      <c r="C316" s="90"/>
      <c r="N316" s="136"/>
      <c r="O316" s="136"/>
      <c r="P316" s="136"/>
      <c r="Q316" s="136"/>
      <c r="R316" s="136"/>
      <c r="S316" s="136"/>
      <c r="T316" s="136"/>
      <c r="U316" s="136"/>
    </row>
    <row r="317" spans="1:21">
      <c r="A317" s="11"/>
      <c r="B317" s="11"/>
      <c r="C317" s="90"/>
      <c r="N317" s="136"/>
      <c r="O317" s="136"/>
      <c r="P317" s="136"/>
      <c r="Q317" s="136"/>
      <c r="R317" s="136"/>
      <c r="S317" s="136"/>
      <c r="T317" s="136"/>
      <c r="U317" s="136"/>
    </row>
    <row r="318" spans="1:21">
      <c r="A318" s="11"/>
      <c r="B318" s="11"/>
      <c r="C318" s="90"/>
      <c r="N318" s="136"/>
      <c r="O318" s="136"/>
      <c r="P318" s="136"/>
      <c r="Q318" s="136"/>
      <c r="R318" s="136"/>
      <c r="S318" s="136"/>
      <c r="T318" s="136"/>
      <c r="U318" s="136"/>
    </row>
    <row r="319" spans="1:21">
      <c r="A319" s="11"/>
      <c r="B319" s="11"/>
      <c r="C319" s="90"/>
      <c r="N319" s="136"/>
      <c r="O319" s="136"/>
      <c r="P319" s="136"/>
      <c r="Q319" s="136"/>
      <c r="R319" s="136"/>
      <c r="S319" s="136"/>
      <c r="T319" s="136"/>
      <c r="U319" s="136"/>
    </row>
    <row r="320" spans="1:21">
      <c r="A320" s="11"/>
      <c r="B320" s="11"/>
      <c r="C320" s="90"/>
      <c r="N320" s="136"/>
      <c r="O320" s="136"/>
      <c r="P320" s="136"/>
      <c r="Q320" s="136"/>
      <c r="R320" s="136"/>
      <c r="S320" s="136"/>
      <c r="T320" s="136"/>
      <c r="U320" s="136"/>
    </row>
    <row r="321" spans="1:21">
      <c r="A321" s="11"/>
      <c r="B321" s="11"/>
      <c r="C321" s="90"/>
      <c r="N321" s="136"/>
      <c r="O321" s="136"/>
      <c r="P321" s="136"/>
      <c r="Q321" s="136"/>
      <c r="R321" s="136"/>
      <c r="S321" s="136"/>
      <c r="T321" s="136"/>
      <c r="U321" s="136"/>
    </row>
    <row r="322" spans="1:21">
      <c r="A322" s="11"/>
      <c r="B322" s="11"/>
      <c r="C322" s="90"/>
      <c r="N322" s="136"/>
      <c r="O322" s="136"/>
      <c r="P322" s="136"/>
      <c r="Q322" s="136"/>
      <c r="R322" s="136"/>
      <c r="S322" s="136"/>
      <c r="T322" s="136"/>
      <c r="U322" s="136"/>
    </row>
    <row r="323" spans="1:21">
      <c r="A323" s="11"/>
      <c r="B323" s="11"/>
      <c r="C323" s="90"/>
      <c r="N323" s="136"/>
      <c r="O323" s="136"/>
      <c r="P323" s="136"/>
      <c r="Q323" s="136"/>
      <c r="R323" s="136"/>
      <c r="S323" s="136"/>
      <c r="T323" s="136"/>
      <c r="U323" s="136"/>
    </row>
    <row r="324" spans="1:21">
      <c r="A324" s="11"/>
      <c r="B324" s="11"/>
      <c r="C324" s="90"/>
      <c r="N324" s="136"/>
      <c r="O324" s="136"/>
      <c r="P324" s="136"/>
      <c r="Q324" s="136"/>
      <c r="R324" s="136"/>
      <c r="S324" s="136"/>
      <c r="T324" s="136"/>
      <c r="U324" s="136"/>
    </row>
    <row r="325" spans="1:21">
      <c r="A325" s="11"/>
      <c r="B325" s="11"/>
      <c r="C325" s="90"/>
      <c r="N325" s="136"/>
      <c r="O325" s="136"/>
      <c r="P325" s="136"/>
      <c r="Q325" s="136"/>
      <c r="R325" s="136"/>
      <c r="S325" s="136"/>
      <c r="T325" s="136"/>
      <c r="U325" s="136"/>
    </row>
    <row r="326" spans="1:21">
      <c r="A326" s="11"/>
      <c r="B326" s="11"/>
      <c r="C326" s="90"/>
      <c r="N326" s="136"/>
      <c r="O326" s="136"/>
      <c r="P326" s="136"/>
      <c r="Q326" s="136"/>
      <c r="R326" s="136"/>
      <c r="S326" s="136"/>
      <c r="T326" s="136"/>
      <c r="U326" s="136"/>
    </row>
    <row r="327" spans="1:21">
      <c r="A327" s="11"/>
      <c r="B327" s="11"/>
      <c r="C327" s="90"/>
      <c r="N327" s="136"/>
      <c r="O327" s="136"/>
      <c r="P327" s="136"/>
      <c r="Q327" s="136"/>
      <c r="R327" s="136"/>
      <c r="S327" s="136"/>
      <c r="T327" s="136"/>
      <c r="U327" s="136"/>
    </row>
    <row r="328" spans="1:21">
      <c r="A328" s="11"/>
      <c r="B328" s="11"/>
      <c r="C328" s="90"/>
      <c r="N328" s="136"/>
      <c r="O328" s="136"/>
      <c r="P328" s="136"/>
      <c r="Q328" s="136"/>
      <c r="R328" s="136"/>
      <c r="S328" s="136"/>
      <c r="T328" s="136"/>
      <c r="U328" s="136"/>
    </row>
    <row r="329" spans="1:21">
      <c r="A329" s="11"/>
      <c r="B329" s="11"/>
      <c r="C329" s="90"/>
      <c r="N329" s="136"/>
      <c r="O329" s="136"/>
      <c r="P329" s="136"/>
      <c r="Q329" s="136"/>
      <c r="R329" s="136"/>
      <c r="S329" s="136"/>
      <c r="T329" s="136"/>
      <c r="U329" s="136"/>
    </row>
    <row r="330" spans="1:21">
      <c r="A330" s="11"/>
      <c r="B330" s="11"/>
      <c r="C330" s="90"/>
      <c r="N330" s="136"/>
      <c r="O330" s="136"/>
      <c r="P330" s="136"/>
      <c r="Q330" s="136"/>
      <c r="R330" s="136"/>
      <c r="S330" s="136"/>
      <c r="T330" s="136"/>
      <c r="U330" s="136"/>
    </row>
    <row r="331" spans="1:21">
      <c r="A331" s="11"/>
      <c r="B331" s="11"/>
      <c r="C331" s="90"/>
      <c r="N331" s="136"/>
      <c r="O331" s="136"/>
      <c r="P331" s="136"/>
      <c r="Q331" s="136"/>
      <c r="R331" s="136"/>
      <c r="S331" s="136"/>
      <c r="T331" s="136"/>
      <c r="U331" s="136"/>
    </row>
    <row r="332" spans="1:21">
      <c r="A332" s="11"/>
      <c r="B332" s="11"/>
      <c r="C332" s="90"/>
      <c r="N332" s="136"/>
      <c r="O332" s="136"/>
      <c r="P332" s="136"/>
      <c r="Q332" s="136"/>
      <c r="R332" s="136"/>
      <c r="S332" s="136"/>
      <c r="T332" s="136"/>
      <c r="U332" s="136"/>
    </row>
    <row r="333" spans="1:21">
      <c r="A333" s="11"/>
      <c r="B333" s="11"/>
      <c r="C333" s="90"/>
      <c r="N333" s="136"/>
      <c r="O333" s="136"/>
      <c r="P333" s="136"/>
      <c r="Q333" s="136"/>
      <c r="R333" s="136"/>
      <c r="S333" s="136"/>
      <c r="T333" s="136"/>
      <c r="U333" s="136"/>
    </row>
    <row r="334" spans="1:21">
      <c r="A334" s="11"/>
      <c r="B334" s="11"/>
      <c r="C334" s="90"/>
      <c r="N334" s="136"/>
      <c r="O334" s="136"/>
      <c r="P334" s="136"/>
      <c r="Q334" s="136"/>
      <c r="R334" s="136"/>
      <c r="S334" s="136"/>
      <c r="T334" s="136"/>
      <c r="U334" s="136"/>
    </row>
    <row r="335" spans="1:21">
      <c r="A335" s="11"/>
      <c r="B335" s="11"/>
      <c r="C335" s="90"/>
      <c r="N335" s="136"/>
      <c r="O335" s="136"/>
      <c r="P335" s="136"/>
      <c r="Q335" s="136"/>
      <c r="R335" s="136"/>
      <c r="S335" s="136"/>
      <c r="T335" s="136"/>
      <c r="U335" s="136"/>
    </row>
    <row r="336" spans="1:21">
      <c r="A336" s="11"/>
      <c r="B336" s="11"/>
      <c r="C336" s="90"/>
      <c r="N336" s="136"/>
      <c r="O336" s="136"/>
      <c r="P336" s="136"/>
      <c r="Q336" s="136"/>
      <c r="R336" s="136"/>
      <c r="S336" s="136"/>
      <c r="T336" s="136"/>
      <c r="U336" s="136"/>
    </row>
    <row r="337" spans="1:21">
      <c r="A337" s="11"/>
      <c r="B337" s="11"/>
      <c r="C337" s="90"/>
      <c r="N337" s="136"/>
      <c r="O337" s="136"/>
      <c r="P337" s="136"/>
      <c r="Q337" s="136"/>
      <c r="R337" s="136"/>
      <c r="S337" s="136"/>
      <c r="T337" s="136"/>
      <c r="U337" s="136"/>
    </row>
    <row r="338" spans="1:21">
      <c r="A338" s="11"/>
      <c r="B338" s="11"/>
      <c r="C338" s="90"/>
      <c r="N338" s="136"/>
      <c r="O338" s="136"/>
      <c r="P338" s="136"/>
      <c r="Q338" s="136"/>
      <c r="R338" s="136"/>
      <c r="S338" s="136"/>
      <c r="T338" s="136"/>
      <c r="U338" s="136"/>
    </row>
    <row r="339" spans="1:21">
      <c r="A339" s="11"/>
      <c r="B339" s="11"/>
      <c r="C339" s="90"/>
      <c r="N339" s="136"/>
      <c r="O339" s="136"/>
      <c r="P339" s="136"/>
      <c r="Q339" s="136"/>
      <c r="R339" s="136"/>
      <c r="S339" s="136"/>
      <c r="T339" s="136"/>
      <c r="U339" s="136"/>
    </row>
    <row r="340" spans="1:21">
      <c r="A340" s="11"/>
      <c r="B340" s="11"/>
      <c r="C340" s="90"/>
      <c r="N340" s="136"/>
      <c r="O340" s="136"/>
      <c r="P340" s="136"/>
      <c r="Q340" s="136"/>
      <c r="R340" s="136"/>
      <c r="S340" s="136"/>
      <c r="T340" s="136"/>
      <c r="U340" s="136"/>
    </row>
    <row r="341" spans="1:21">
      <c r="A341" s="11"/>
      <c r="B341" s="11"/>
      <c r="C341" s="90"/>
      <c r="N341" s="136"/>
      <c r="O341" s="136"/>
      <c r="P341" s="136"/>
      <c r="Q341" s="136"/>
      <c r="R341" s="136"/>
      <c r="S341" s="136"/>
      <c r="T341" s="136"/>
      <c r="U341" s="136"/>
    </row>
    <row r="342" spans="1:21">
      <c r="A342" s="11"/>
      <c r="B342" s="11"/>
      <c r="C342" s="90"/>
      <c r="N342" s="136"/>
      <c r="O342" s="136"/>
      <c r="P342" s="136"/>
      <c r="Q342" s="136"/>
      <c r="R342" s="136"/>
      <c r="S342" s="136"/>
      <c r="T342" s="136"/>
      <c r="U342" s="136"/>
    </row>
    <row r="343" spans="1:21">
      <c r="A343" s="11"/>
      <c r="B343" s="11"/>
      <c r="C343" s="90"/>
      <c r="N343" s="136"/>
      <c r="O343" s="136"/>
      <c r="P343" s="136"/>
      <c r="Q343" s="136"/>
      <c r="R343" s="136"/>
      <c r="S343" s="136"/>
      <c r="T343" s="136"/>
      <c r="U343" s="136"/>
    </row>
    <row r="344" spans="1:21">
      <c r="A344" s="11"/>
      <c r="B344" s="11"/>
      <c r="C344" s="90"/>
      <c r="N344" s="136"/>
      <c r="O344" s="136"/>
      <c r="P344" s="136"/>
      <c r="Q344" s="136"/>
      <c r="R344" s="136"/>
      <c r="S344" s="136"/>
      <c r="T344" s="136"/>
      <c r="U344" s="136"/>
    </row>
    <row r="345" spans="1:21">
      <c r="A345" s="11"/>
      <c r="B345" s="11"/>
      <c r="C345" s="90"/>
      <c r="N345" s="136"/>
      <c r="O345" s="136"/>
      <c r="P345" s="136"/>
      <c r="Q345" s="136"/>
      <c r="R345" s="136"/>
      <c r="S345" s="136"/>
      <c r="T345" s="136"/>
      <c r="U345" s="136"/>
    </row>
    <row r="346" spans="1:21">
      <c r="A346" s="11"/>
      <c r="B346" s="11"/>
      <c r="C346" s="90"/>
      <c r="N346" s="136"/>
      <c r="O346" s="136"/>
      <c r="P346" s="136"/>
      <c r="Q346" s="136"/>
      <c r="R346" s="136"/>
      <c r="S346" s="136"/>
      <c r="T346" s="136"/>
      <c r="U346" s="136"/>
    </row>
    <row r="347" spans="1:21">
      <c r="A347" s="11"/>
      <c r="B347" s="11"/>
      <c r="C347" s="90"/>
      <c r="N347" s="136"/>
      <c r="O347" s="136"/>
      <c r="P347" s="136"/>
      <c r="Q347" s="136"/>
      <c r="R347" s="136"/>
      <c r="S347" s="136"/>
      <c r="T347" s="136"/>
      <c r="U347" s="136"/>
    </row>
    <row r="348" spans="1:21">
      <c r="A348" s="11"/>
      <c r="B348" s="11"/>
      <c r="C348" s="90"/>
      <c r="N348" s="136"/>
      <c r="O348" s="136"/>
      <c r="P348" s="136"/>
      <c r="Q348" s="136"/>
      <c r="R348" s="136"/>
      <c r="S348" s="136"/>
      <c r="T348" s="136"/>
      <c r="U348" s="136"/>
    </row>
    <row r="349" spans="1:21">
      <c r="A349" s="11"/>
      <c r="B349" s="11"/>
      <c r="C349" s="90"/>
      <c r="N349" s="136"/>
      <c r="O349" s="136"/>
      <c r="P349" s="136"/>
      <c r="Q349" s="136"/>
      <c r="R349" s="136"/>
      <c r="S349" s="136"/>
      <c r="T349" s="136"/>
      <c r="U349" s="136"/>
    </row>
    <row r="350" spans="1:21">
      <c r="A350" s="11"/>
      <c r="B350" s="11"/>
      <c r="C350" s="90"/>
      <c r="N350" s="136"/>
      <c r="O350" s="136"/>
      <c r="P350" s="136"/>
      <c r="Q350" s="136"/>
      <c r="R350" s="136"/>
      <c r="S350" s="136"/>
      <c r="T350" s="136"/>
      <c r="U350" s="136"/>
    </row>
    <row r="351" spans="1:21">
      <c r="A351" s="11"/>
      <c r="B351" s="11"/>
      <c r="C351" s="90"/>
      <c r="N351" s="136"/>
      <c r="O351" s="136"/>
      <c r="P351" s="136"/>
      <c r="Q351" s="136"/>
      <c r="R351" s="136"/>
      <c r="S351" s="136"/>
      <c r="T351" s="136"/>
      <c r="U351" s="136"/>
    </row>
    <row r="352" spans="1:21">
      <c r="A352" s="11"/>
      <c r="B352" s="11"/>
      <c r="C352" s="90"/>
      <c r="N352" s="136"/>
      <c r="O352" s="136"/>
      <c r="P352" s="136"/>
      <c r="Q352" s="136"/>
      <c r="R352" s="136"/>
      <c r="S352" s="136"/>
      <c r="T352" s="136"/>
      <c r="U352" s="136"/>
    </row>
    <row r="353" spans="1:21">
      <c r="A353" s="11"/>
      <c r="B353" s="11"/>
      <c r="C353" s="90"/>
      <c r="N353" s="136"/>
      <c r="O353" s="136"/>
      <c r="P353" s="136"/>
      <c r="Q353" s="136"/>
      <c r="R353" s="136"/>
      <c r="S353" s="136"/>
      <c r="T353" s="136"/>
      <c r="U353" s="136"/>
    </row>
    <row r="354" spans="1:21">
      <c r="A354" s="11"/>
      <c r="B354" s="11"/>
      <c r="C354" s="90"/>
      <c r="N354" s="136"/>
      <c r="O354" s="136"/>
      <c r="P354" s="136"/>
      <c r="Q354" s="136"/>
      <c r="R354" s="136"/>
      <c r="S354" s="136"/>
      <c r="T354" s="136"/>
      <c r="U354" s="136"/>
    </row>
    <row r="355" spans="1:21">
      <c r="A355" s="11"/>
      <c r="B355" s="11"/>
      <c r="C355" s="90"/>
      <c r="N355" s="136"/>
      <c r="O355" s="136"/>
      <c r="P355" s="136"/>
      <c r="Q355" s="136"/>
      <c r="R355" s="136"/>
      <c r="S355" s="136"/>
      <c r="T355" s="136"/>
      <c r="U355" s="136"/>
    </row>
    <row r="356" spans="1:21">
      <c r="A356" s="11"/>
      <c r="B356" s="11"/>
      <c r="C356" s="90"/>
      <c r="N356" s="136"/>
      <c r="O356" s="136"/>
      <c r="P356" s="136"/>
      <c r="Q356" s="136"/>
      <c r="R356" s="136"/>
      <c r="S356" s="136"/>
      <c r="T356" s="136"/>
      <c r="U356" s="136"/>
    </row>
    <row r="357" spans="1:21">
      <c r="A357" s="11"/>
      <c r="B357" s="11"/>
      <c r="C357" s="90"/>
      <c r="N357" s="136"/>
      <c r="O357" s="136"/>
      <c r="P357" s="136"/>
      <c r="Q357" s="136"/>
      <c r="R357" s="136"/>
      <c r="S357" s="136"/>
      <c r="T357" s="136"/>
      <c r="U357" s="136"/>
    </row>
    <row r="358" spans="1:21">
      <c r="A358" s="11"/>
      <c r="B358" s="11"/>
      <c r="C358" s="90"/>
      <c r="N358" s="136"/>
      <c r="O358" s="136"/>
      <c r="P358" s="136"/>
      <c r="Q358" s="136"/>
      <c r="R358" s="136"/>
      <c r="S358" s="136"/>
      <c r="T358" s="136"/>
      <c r="U358" s="136"/>
    </row>
    <row r="359" spans="1:21">
      <c r="A359" s="11"/>
      <c r="B359" s="11"/>
      <c r="C359" s="90"/>
      <c r="N359" s="136"/>
      <c r="O359" s="136"/>
      <c r="P359" s="136"/>
      <c r="Q359" s="136"/>
      <c r="R359" s="136"/>
      <c r="S359" s="136"/>
      <c r="T359" s="136"/>
      <c r="U359" s="136"/>
    </row>
    <row r="360" spans="1:21">
      <c r="A360" s="11"/>
      <c r="B360" s="11"/>
      <c r="C360" s="90"/>
      <c r="N360" s="136"/>
      <c r="O360" s="136"/>
      <c r="P360" s="136"/>
      <c r="Q360" s="136"/>
      <c r="R360" s="136"/>
      <c r="S360" s="136"/>
      <c r="T360" s="136"/>
      <c r="U360" s="136"/>
    </row>
    <row r="361" spans="1:21">
      <c r="A361" s="11"/>
      <c r="B361" s="11"/>
      <c r="C361" s="90"/>
      <c r="N361" s="136"/>
      <c r="O361" s="136"/>
      <c r="P361" s="136"/>
      <c r="Q361" s="136"/>
      <c r="R361" s="136"/>
      <c r="S361" s="136"/>
      <c r="T361" s="136"/>
      <c r="U361" s="136"/>
    </row>
    <row r="362" spans="1:21">
      <c r="A362" s="11"/>
      <c r="B362" s="11"/>
      <c r="C362" s="90"/>
      <c r="N362" s="136"/>
      <c r="O362" s="136"/>
      <c r="P362" s="136"/>
      <c r="Q362" s="136"/>
      <c r="R362" s="136"/>
      <c r="S362" s="136"/>
      <c r="T362" s="136"/>
      <c r="U362" s="136"/>
    </row>
    <row r="363" spans="1:21">
      <c r="A363" s="11"/>
      <c r="B363" s="11"/>
      <c r="C363" s="90"/>
      <c r="N363" s="136"/>
      <c r="O363" s="136"/>
      <c r="P363" s="136"/>
      <c r="Q363" s="136"/>
      <c r="R363" s="136"/>
      <c r="S363" s="136"/>
      <c r="T363" s="136"/>
      <c r="U363" s="136"/>
    </row>
    <row r="364" spans="1:21">
      <c r="A364" s="11"/>
      <c r="B364" s="11"/>
      <c r="C364" s="90"/>
      <c r="N364" s="136"/>
      <c r="O364" s="136"/>
      <c r="P364" s="136"/>
      <c r="Q364" s="136"/>
      <c r="R364" s="136"/>
      <c r="S364" s="136"/>
      <c r="T364" s="136"/>
      <c r="U364" s="136"/>
    </row>
    <row r="365" spans="1:21">
      <c r="A365" s="11"/>
      <c r="B365" s="11"/>
      <c r="C365" s="90"/>
      <c r="N365" s="136"/>
      <c r="O365" s="136"/>
      <c r="P365" s="136"/>
      <c r="Q365" s="136"/>
      <c r="R365" s="136"/>
      <c r="S365" s="136"/>
      <c r="T365" s="136"/>
      <c r="U365" s="136"/>
    </row>
    <row r="366" spans="1:21">
      <c r="A366" s="11"/>
      <c r="B366" s="11"/>
      <c r="C366" s="90"/>
      <c r="N366" s="136"/>
      <c r="O366" s="136"/>
      <c r="P366" s="136"/>
      <c r="Q366" s="136"/>
      <c r="R366" s="136"/>
      <c r="S366" s="136"/>
      <c r="T366" s="136"/>
      <c r="U366" s="136"/>
    </row>
    <row r="367" spans="1:21">
      <c r="A367" s="11"/>
      <c r="B367" s="11"/>
      <c r="C367" s="90"/>
      <c r="N367" s="136"/>
      <c r="O367" s="136"/>
      <c r="P367" s="136"/>
      <c r="Q367" s="136"/>
      <c r="R367" s="136"/>
      <c r="S367" s="136"/>
      <c r="T367" s="136"/>
      <c r="U367" s="136"/>
    </row>
    <row r="368" spans="1:21">
      <c r="A368" s="11"/>
      <c r="B368" s="11"/>
      <c r="C368" s="90"/>
      <c r="N368" s="136"/>
      <c r="O368" s="136"/>
      <c r="P368" s="136"/>
      <c r="Q368" s="136"/>
      <c r="R368" s="136"/>
      <c r="S368" s="136"/>
      <c r="T368" s="136"/>
      <c r="U368" s="136"/>
    </row>
    <row r="369" spans="1:21">
      <c r="A369" s="11"/>
      <c r="B369" s="11"/>
      <c r="C369" s="90"/>
      <c r="N369" s="136"/>
      <c r="O369" s="136"/>
      <c r="P369" s="136"/>
      <c r="Q369" s="136"/>
      <c r="R369" s="136"/>
      <c r="S369" s="136"/>
      <c r="T369" s="136"/>
      <c r="U369" s="136"/>
    </row>
    <row r="370" spans="1:21">
      <c r="A370" s="11"/>
      <c r="B370" s="11"/>
      <c r="C370" s="90"/>
      <c r="N370" s="136"/>
      <c r="O370" s="136"/>
      <c r="P370" s="136"/>
      <c r="Q370" s="136"/>
      <c r="R370" s="136"/>
      <c r="S370" s="136"/>
      <c r="T370" s="136"/>
      <c r="U370" s="136"/>
    </row>
    <row r="371" spans="1:21">
      <c r="A371" s="11"/>
      <c r="B371" s="11"/>
      <c r="C371" s="90"/>
      <c r="N371" s="136"/>
      <c r="O371" s="136"/>
      <c r="P371" s="136"/>
      <c r="Q371" s="136"/>
      <c r="R371" s="136"/>
      <c r="S371" s="136"/>
      <c r="T371" s="136"/>
      <c r="U371" s="136"/>
    </row>
    <row r="372" spans="1:21">
      <c r="A372" s="11"/>
      <c r="B372" s="11"/>
      <c r="C372" s="90"/>
      <c r="N372" s="136"/>
      <c r="O372" s="136"/>
      <c r="P372" s="136"/>
      <c r="Q372" s="136"/>
      <c r="R372" s="136"/>
      <c r="S372" s="136"/>
      <c r="T372" s="136"/>
      <c r="U372" s="136"/>
    </row>
    <row r="373" spans="1:21">
      <c r="A373" s="11"/>
      <c r="B373" s="11"/>
      <c r="C373" s="90"/>
      <c r="N373" s="136"/>
      <c r="O373" s="136"/>
      <c r="P373" s="136"/>
      <c r="Q373" s="136"/>
      <c r="R373" s="136"/>
      <c r="S373" s="136"/>
      <c r="T373" s="136"/>
      <c r="U373" s="136"/>
    </row>
    <row r="374" spans="1:21">
      <c r="A374" s="11"/>
      <c r="B374" s="11"/>
      <c r="C374" s="90"/>
      <c r="N374" s="136"/>
      <c r="O374" s="136"/>
      <c r="P374" s="136"/>
      <c r="Q374" s="136"/>
      <c r="R374" s="136"/>
      <c r="S374" s="136"/>
      <c r="T374" s="136"/>
      <c r="U374" s="136"/>
    </row>
    <row r="375" spans="1:21">
      <c r="A375" s="11"/>
      <c r="B375" s="11"/>
      <c r="C375" s="90"/>
      <c r="N375" s="136"/>
      <c r="O375" s="136"/>
      <c r="P375" s="136"/>
      <c r="Q375" s="136"/>
      <c r="R375" s="136"/>
      <c r="S375" s="136"/>
      <c r="T375" s="136"/>
      <c r="U375" s="136"/>
    </row>
    <row r="376" spans="1:21">
      <c r="A376" s="11"/>
      <c r="B376" s="11"/>
      <c r="C376" s="90"/>
      <c r="N376" s="136"/>
      <c r="O376" s="136"/>
      <c r="P376" s="136"/>
      <c r="Q376" s="136"/>
      <c r="R376" s="136"/>
      <c r="S376" s="136"/>
      <c r="T376" s="136"/>
      <c r="U376" s="136"/>
    </row>
    <row r="377" spans="1:21">
      <c r="A377" s="11"/>
      <c r="B377" s="11"/>
      <c r="C377" s="90"/>
      <c r="N377" s="136"/>
      <c r="O377" s="136"/>
      <c r="P377" s="136"/>
      <c r="Q377" s="136"/>
      <c r="R377" s="136"/>
      <c r="S377" s="136"/>
      <c r="T377" s="136"/>
      <c r="U377" s="136"/>
    </row>
    <row r="378" spans="1:21">
      <c r="A378" s="11"/>
      <c r="B378" s="11"/>
      <c r="C378" s="90"/>
      <c r="N378" s="136"/>
      <c r="O378" s="136"/>
      <c r="P378" s="136"/>
      <c r="Q378" s="136"/>
      <c r="R378" s="136"/>
      <c r="S378" s="136"/>
      <c r="T378" s="136"/>
      <c r="U378" s="136"/>
    </row>
    <row r="379" spans="1:21">
      <c r="A379" s="11"/>
      <c r="B379" s="11"/>
      <c r="C379" s="90"/>
      <c r="N379" s="136"/>
      <c r="O379" s="136"/>
      <c r="P379" s="136"/>
      <c r="Q379" s="136"/>
      <c r="R379" s="136"/>
      <c r="S379" s="136"/>
      <c r="T379" s="136"/>
      <c r="U379" s="136"/>
    </row>
    <row r="380" spans="1:21">
      <c r="A380" s="11"/>
      <c r="B380" s="11"/>
      <c r="C380" s="90"/>
      <c r="N380" s="136"/>
      <c r="O380" s="136"/>
      <c r="P380" s="136"/>
      <c r="Q380" s="136"/>
      <c r="R380" s="136"/>
      <c r="S380" s="136"/>
      <c r="T380" s="136"/>
      <c r="U380" s="136"/>
    </row>
    <row r="381" spans="1:21">
      <c r="A381" s="11"/>
      <c r="B381" s="11"/>
      <c r="C381" s="90"/>
      <c r="N381" s="136"/>
      <c r="O381" s="136"/>
      <c r="P381" s="136"/>
      <c r="Q381" s="136"/>
      <c r="R381" s="136"/>
      <c r="S381" s="136"/>
      <c r="T381" s="136"/>
      <c r="U381" s="136"/>
    </row>
    <row r="382" spans="1:21">
      <c r="A382" s="11"/>
      <c r="B382" s="11"/>
      <c r="C382" s="90"/>
      <c r="N382" s="136"/>
      <c r="O382" s="136"/>
      <c r="P382" s="136"/>
      <c r="Q382" s="136"/>
      <c r="R382" s="136"/>
      <c r="S382" s="136"/>
      <c r="T382" s="136"/>
      <c r="U382" s="136"/>
    </row>
    <row r="383" spans="1:21">
      <c r="A383" s="11"/>
      <c r="B383" s="11"/>
      <c r="C383" s="90"/>
      <c r="N383" s="136"/>
      <c r="O383" s="136"/>
      <c r="P383" s="136"/>
      <c r="Q383" s="136"/>
      <c r="R383" s="136"/>
      <c r="S383" s="136"/>
      <c r="T383" s="136"/>
      <c r="U383" s="136"/>
    </row>
    <row r="384" spans="1:21">
      <c r="A384" s="11"/>
      <c r="B384" s="11"/>
      <c r="C384" s="90"/>
      <c r="N384" s="136"/>
      <c r="O384" s="136"/>
      <c r="P384" s="136"/>
      <c r="Q384" s="136"/>
      <c r="R384" s="136"/>
      <c r="S384" s="136"/>
      <c r="T384" s="136"/>
      <c r="U384" s="136"/>
    </row>
    <row r="385" spans="1:21">
      <c r="A385" s="11"/>
      <c r="B385" s="11"/>
      <c r="C385" s="90"/>
      <c r="N385" s="136"/>
      <c r="O385" s="136"/>
      <c r="P385" s="136"/>
      <c r="Q385" s="136"/>
      <c r="R385" s="136"/>
      <c r="S385" s="136"/>
      <c r="T385" s="136"/>
      <c r="U385" s="136"/>
    </row>
    <row r="386" spans="1:21">
      <c r="A386" s="11"/>
      <c r="B386" s="11"/>
      <c r="C386" s="90"/>
      <c r="N386" s="136"/>
      <c r="O386" s="136"/>
      <c r="P386" s="136"/>
      <c r="Q386" s="136"/>
      <c r="R386" s="136"/>
      <c r="S386" s="136"/>
      <c r="T386" s="136"/>
      <c r="U386" s="136"/>
    </row>
    <row r="387" spans="1:21">
      <c r="A387" s="11"/>
      <c r="B387" s="11"/>
      <c r="C387" s="90"/>
      <c r="N387" s="136"/>
      <c r="O387" s="136"/>
      <c r="P387" s="136"/>
      <c r="Q387" s="136"/>
      <c r="R387" s="136"/>
      <c r="S387" s="136"/>
      <c r="T387" s="136"/>
      <c r="U387" s="136"/>
    </row>
    <row r="388" spans="1:21">
      <c r="A388" s="11"/>
      <c r="B388" s="11"/>
      <c r="C388" s="90"/>
      <c r="N388" s="136"/>
      <c r="O388" s="136"/>
      <c r="P388" s="136"/>
      <c r="Q388" s="136"/>
      <c r="R388" s="136"/>
      <c r="S388" s="136"/>
      <c r="T388" s="136"/>
      <c r="U388" s="136"/>
    </row>
    <row r="389" spans="1:21">
      <c r="A389" s="11"/>
      <c r="B389" s="11"/>
      <c r="C389" s="90"/>
      <c r="N389" s="136"/>
      <c r="O389" s="136"/>
      <c r="P389" s="136"/>
      <c r="Q389" s="136"/>
      <c r="R389" s="136"/>
      <c r="S389" s="136"/>
      <c r="T389" s="136"/>
      <c r="U389" s="136"/>
    </row>
    <row r="390" spans="1:21">
      <c r="A390" s="11"/>
      <c r="B390" s="11"/>
      <c r="C390" s="90"/>
      <c r="N390" s="136"/>
      <c r="O390" s="136"/>
      <c r="P390" s="136"/>
      <c r="Q390" s="136"/>
      <c r="R390" s="136"/>
      <c r="S390" s="136"/>
      <c r="T390" s="136"/>
      <c r="U390" s="136"/>
    </row>
    <row r="391" spans="1:21">
      <c r="A391" s="11"/>
      <c r="B391" s="11"/>
      <c r="C391" s="90"/>
      <c r="N391" s="136"/>
      <c r="O391" s="136"/>
      <c r="P391" s="136"/>
      <c r="Q391" s="136"/>
      <c r="R391" s="136"/>
      <c r="S391" s="136"/>
      <c r="T391" s="136"/>
      <c r="U391" s="136"/>
    </row>
    <row r="392" spans="1:21">
      <c r="A392" s="11"/>
      <c r="B392" s="11"/>
      <c r="C392" s="90"/>
      <c r="N392" s="136"/>
      <c r="O392" s="136"/>
      <c r="P392" s="136"/>
      <c r="Q392" s="136"/>
      <c r="R392" s="136"/>
      <c r="S392" s="136"/>
      <c r="T392" s="136"/>
      <c r="U392" s="136"/>
    </row>
    <row r="393" spans="1:21">
      <c r="A393" s="11"/>
      <c r="B393" s="11"/>
      <c r="C393" s="90"/>
      <c r="N393" s="136"/>
      <c r="O393" s="136"/>
      <c r="P393" s="136"/>
      <c r="Q393" s="136"/>
      <c r="R393" s="136"/>
      <c r="S393" s="136"/>
      <c r="T393" s="136"/>
      <c r="U393" s="136"/>
    </row>
    <row r="394" spans="1:21">
      <c r="A394" s="11"/>
      <c r="B394" s="11"/>
      <c r="C394" s="90"/>
      <c r="N394" s="136"/>
      <c r="O394" s="136"/>
      <c r="P394" s="136"/>
      <c r="Q394" s="136"/>
      <c r="R394" s="136"/>
      <c r="S394" s="136"/>
      <c r="T394" s="136"/>
      <c r="U394" s="136"/>
    </row>
    <row r="395" spans="1:21">
      <c r="A395" s="11"/>
      <c r="B395" s="11"/>
      <c r="C395" s="90"/>
      <c r="N395" s="136"/>
      <c r="O395" s="136"/>
      <c r="P395" s="136"/>
      <c r="Q395" s="136"/>
      <c r="R395" s="136"/>
      <c r="S395" s="136"/>
      <c r="T395" s="136"/>
      <c r="U395" s="136"/>
    </row>
    <row r="396" spans="1:21">
      <c r="A396" s="11"/>
      <c r="B396" s="11"/>
      <c r="C396" s="90"/>
      <c r="N396" s="136"/>
      <c r="O396" s="136"/>
      <c r="P396" s="136"/>
      <c r="Q396" s="136"/>
      <c r="R396" s="136"/>
      <c r="S396" s="136"/>
      <c r="T396" s="136"/>
      <c r="U396" s="136"/>
    </row>
    <row r="397" spans="1:21">
      <c r="A397" s="11"/>
      <c r="B397" s="11"/>
      <c r="C397" s="90"/>
      <c r="N397" s="136"/>
      <c r="O397" s="136"/>
      <c r="P397" s="136"/>
      <c r="Q397" s="136"/>
      <c r="R397" s="136"/>
      <c r="S397" s="136"/>
      <c r="T397" s="136"/>
      <c r="U397" s="136"/>
    </row>
    <row r="398" spans="1:21">
      <c r="A398" s="11"/>
      <c r="B398" s="11"/>
      <c r="C398" s="90"/>
      <c r="N398" s="136"/>
      <c r="O398" s="136"/>
      <c r="P398" s="136"/>
      <c r="Q398" s="136"/>
      <c r="R398" s="136"/>
      <c r="S398" s="136"/>
      <c r="T398" s="136"/>
      <c r="U398" s="136"/>
    </row>
    <row r="399" spans="1:21">
      <c r="A399" s="11"/>
      <c r="B399" s="11"/>
      <c r="C399" s="90"/>
      <c r="N399" s="136"/>
      <c r="O399" s="136"/>
      <c r="P399" s="136"/>
      <c r="Q399" s="136"/>
      <c r="R399" s="136"/>
      <c r="S399" s="136"/>
      <c r="T399" s="136"/>
      <c r="U399" s="136"/>
    </row>
    <row r="400" spans="1:21">
      <c r="A400" s="11"/>
      <c r="B400" s="11"/>
      <c r="C400" s="90"/>
      <c r="N400" s="136"/>
      <c r="O400" s="136"/>
      <c r="P400" s="136"/>
      <c r="Q400" s="136"/>
      <c r="R400" s="136"/>
      <c r="S400" s="136"/>
      <c r="T400" s="136"/>
      <c r="U400" s="136"/>
    </row>
    <row r="401" spans="1:21">
      <c r="A401" s="11"/>
      <c r="B401" s="11"/>
      <c r="C401" s="90"/>
      <c r="N401" s="136"/>
      <c r="O401" s="136"/>
      <c r="P401" s="136"/>
      <c r="Q401" s="136"/>
      <c r="R401" s="136"/>
      <c r="S401" s="136"/>
      <c r="T401" s="136"/>
      <c r="U401" s="136"/>
    </row>
    <row r="402" spans="1:21">
      <c r="A402" s="11"/>
      <c r="B402" s="11"/>
      <c r="C402" s="90"/>
      <c r="N402" s="136"/>
      <c r="O402" s="136"/>
      <c r="P402" s="136"/>
      <c r="Q402" s="136"/>
      <c r="R402" s="136"/>
      <c r="S402" s="136"/>
      <c r="T402" s="136"/>
      <c r="U402" s="136"/>
    </row>
    <row r="403" spans="1:21">
      <c r="A403" s="11"/>
      <c r="B403" s="11"/>
      <c r="C403" s="90"/>
      <c r="N403" s="136"/>
      <c r="O403" s="136"/>
      <c r="P403" s="136"/>
      <c r="Q403" s="136"/>
      <c r="R403" s="136"/>
      <c r="S403" s="136"/>
      <c r="T403" s="136"/>
      <c r="U403" s="136"/>
    </row>
    <row r="404" spans="1:21">
      <c r="A404" s="11"/>
      <c r="B404" s="11"/>
      <c r="C404" s="90"/>
      <c r="N404" s="136"/>
      <c r="O404" s="136"/>
      <c r="P404" s="136"/>
      <c r="Q404" s="136"/>
      <c r="R404" s="136"/>
      <c r="S404" s="136"/>
      <c r="T404" s="136"/>
      <c r="U404" s="136"/>
    </row>
    <row r="405" spans="1:21">
      <c r="A405" s="11"/>
      <c r="B405" s="11"/>
      <c r="C405" s="90"/>
      <c r="N405" s="136"/>
      <c r="O405" s="136"/>
      <c r="P405" s="136"/>
      <c r="Q405" s="136"/>
      <c r="R405" s="136"/>
      <c r="S405" s="136"/>
      <c r="T405" s="136"/>
      <c r="U405" s="136"/>
    </row>
    <row r="406" spans="1:21">
      <c r="A406" s="11"/>
      <c r="B406" s="11"/>
      <c r="C406" s="90"/>
      <c r="N406" s="136"/>
      <c r="O406" s="136"/>
      <c r="P406" s="136"/>
      <c r="Q406" s="136"/>
      <c r="R406" s="136"/>
      <c r="S406" s="136"/>
      <c r="T406" s="136"/>
      <c r="U406" s="136"/>
    </row>
    <row r="407" spans="1:21">
      <c r="A407" s="11"/>
      <c r="B407" s="11"/>
      <c r="C407" s="90"/>
      <c r="N407" s="136"/>
      <c r="O407" s="136"/>
      <c r="P407" s="136"/>
      <c r="Q407" s="136"/>
      <c r="R407" s="136"/>
      <c r="S407" s="136"/>
      <c r="T407" s="136"/>
      <c r="U407" s="136"/>
    </row>
    <row r="408" spans="1:21">
      <c r="A408" s="11"/>
      <c r="B408" s="11"/>
      <c r="C408" s="90"/>
      <c r="N408" s="136"/>
      <c r="O408" s="136"/>
      <c r="P408" s="136"/>
      <c r="Q408" s="136"/>
      <c r="R408" s="136"/>
      <c r="S408" s="136"/>
      <c r="T408" s="136"/>
      <c r="U408" s="136"/>
    </row>
    <row r="409" spans="1:21">
      <c r="A409" s="11"/>
      <c r="B409" s="11"/>
      <c r="C409" s="90"/>
      <c r="N409" s="136"/>
      <c r="O409" s="136"/>
      <c r="P409" s="136"/>
      <c r="Q409" s="136"/>
      <c r="R409" s="136"/>
      <c r="S409" s="136"/>
      <c r="T409" s="136"/>
      <c r="U409" s="136"/>
    </row>
    <row r="410" spans="1:21">
      <c r="A410" s="11"/>
      <c r="B410" s="11"/>
      <c r="C410" s="90"/>
      <c r="N410" s="136"/>
      <c r="O410" s="136"/>
      <c r="P410" s="136"/>
      <c r="Q410" s="136"/>
      <c r="R410" s="136"/>
      <c r="S410" s="136"/>
      <c r="T410" s="136"/>
      <c r="U410" s="136"/>
    </row>
    <row r="411" spans="1:21">
      <c r="A411" s="11"/>
      <c r="B411" s="11"/>
      <c r="C411" s="90"/>
      <c r="N411" s="136"/>
      <c r="O411" s="136"/>
      <c r="P411" s="136"/>
      <c r="Q411" s="136"/>
      <c r="R411" s="136"/>
      <c r="S411" s="136"/>
      <c r="T411" s="136"/>
      <c r="U411" s="136"/>
    </row>
    <row r="412" spans="1:21">
      <c r="A412" s="11"/>
      <c r="B412" s="11"/>
      <c r="C412" s="90"/>
      <c r="N412" s="136"/>
      <c r="O412" s="136"/>
      <c r="P412" s="136"/>
      <c r="Q412" s="136"/>
      <c r="R412" s="136"/>
      <c r="S412" s="136"/>
      <c r="T412" s="136"/>
      <c r="U412" s="136"/>
    </row>
    <row r="413" spans="1:21">
      <c r="A413" s="11"/>
      <c r="B413" s="11"/>
      <c r="C413" s="90"/>
      <c r="N413" s="136"/>
      <c r="O413" s="136"/>
      <c r="P413" s="136"/>
      <c r="Q413" s="136"/>
      <c r="R413" s="136"/>
      <c r="S413" s="136"/>
      <c r="T413" s="136"/>
      <c r="U413" s="136"/>
    </row>
    <row r="414" spans="1:21">
      <c r="A414" s="11"/>
      <c r="B414" s="11"/>
      <c r="C414" s="90"/>
      <c r="N414" s="136"/>
      <c r="O414" s="136"/>
      <c r="P414" s="136"/>
      <c r="Q414" s="136"/>
      <c r="R414" s="136"/>
      <c r="S414" s="136"/>
      <c r="T414" s="136"/>
      <c r="U414" s="136"/>
    </row>
    <row r="415" spans="1:21">
      <c r="A415" s="11"/>
      <c r="B415" s="11"/>
      <c r="C415" s="90"/>
      <c r="N415" s="136"/>
      <c r="O415" s="136"/>
      <c r="P415" s="136"/>
      <c r="Q415" s="136"/>
      <c r="R415" s="136"/>
      <c r="S415" s="136"/>
      <c r="T415" s="136"/>
      <c r="U415" s="136"/>
    </row>
    <row r="416" spans="1:21">
      <c r="A416" s="11"/>
      <c r="B416" s="11"/>
      <c r="C416" s="90"/>
      <c r="N416" s="136"/>
      <c r="O416" s="136"/>
      <c r="P416" s="136"/>
      <c r="Q416" s="136"/>
      <c r="R416" s="136"/>
      <c r="S416" s="136"/>
      <c r="T416" s="136"/>
      <c r="U416" s="136"/>
    </row>
    <row r="417" spans="1:21">
      <c r="A417" s="11"/>
      <c r="B417" s="11"/>
      <c r="C417" s="90"/>
      <c r="N417" s="136"/>
      <c r="O417" s="136"/>
      <c r="P417" s="136"/>
      <c r="Q417" s="136"/>
      <c r="R417" s="136"/>
      <c r="S417" s="136"/>
      <c r="T417" s="136"/>
      <c r="U417" s="136"/>
    </row>
    <row r="418" spans="1:21">
      <c r="A418" s="11"/>
      <c r="B418" s="11"/>
      <c r="C418" s="90"/>
      <c r="N418" s="136"/>
      <c r="O418" s="136"/>
      <c r="P418" s="136"/>
      <c r="Q418" s="136"/>
      <c r="R418" s="136"/>
      <c r="S418" s="136"/>
      <c r="T418" s="136"/>
      <c r="U418" s="136"/>
    </row>
    <row r="419" spans="1:21">
      <c r="A419" s="11"/>
      <c r="B419" s="11"/>
      <c r="C419" s="90"/>
      <c r="N419" s="136"/>
      <c r="O419" s="136"/>
      <c r="P419" s="136"/>
      <c r="Q419" s="136"/>
      <c r="R419" s="136"/>
      <c r="S419" s="136"/>
      <c r="T419" s="136"/>
      <c r="U419" s="136"/>
    </row>
    <row r="420" spans="1:21">
      <c r="A420" s="11"/>
      <c r="B420" s="11"/>
      <c r="C420" s="90"/>
      <c r="N420" s="136"/>
      <c r="O420" s="136"/>
      <c r="P420" s="136"/>
      <c r="Q420" s="136"/>
      <c r="R420" s="136"/>
      <c r="S420" s="136"/>
      <c r="T420" s="136"/>
      <c r="U420" s="136"/>
    </row>
    <row r="421" spans="1:21">
      <c r="A421" s="11"/>
      <c r="B421" s="11"/>
      <c r="C421" s="90"/>
      <c r="N421" s="136"/>
      <c r="O421" s="136"/>
      <c r="P421" s="136"/>
      <c r="Q421" s="136"/>
      <c r="R421" s="136"/>
      <c r="S421" s="136"/>
      <c r="T421" s="136"/>
      <c r="U421" s="136"/>
    </row>
    <row r="422" spans="1:21">
      <c r="A422" s="11"/>
      <c r="B422" s="11"/>
      <c r="C422" s="90"/>
      <c r="N422" s="136"/>
      <c r="O422" s="136"/>
      <c r="P422" s="136"/>
      <c r="Q422" s="136"/>
      <c r="R422" s="136"/>
      <c r="S422" s="136"/>
      <c r="T422" s="136"/>
      <c r="U422" s="136"/>
    </row>
    <row r="423" spans="1:21">
      <c r="A423" s="11"/>
      <c r="B423" s="11"/>
      <c r="C423" s="90"/>
      <c r="N423" s="136"/>
      <c r="O423" s="136"/>
      <c r="P423" s="136"/>
      <c r="Q423" s="136"/>
      <c r="R423" s="136"/>
      <c r="S423" s="136"/>
      <c r="T423" s="136"/>
      <c r="U423" s="136"/>
    </row>
    <row r="424" spans="1:21">
      <c r="A424" s="11"/>
      <c r="B424" s="11"/>
      <c r="C424" s="90"/>
      <c r="N424" s="136"/>
      <c r="O424" s="136"/>
      <c r="P424" s="136"/>
      <c r="Q424" s="136"/>
      <c r="R424" s="136"/>
      <c r="S424" s="136"/>
      <c r="T424" s="136"/>
      <c r="U424" s="136"/>
    </row>
    <row r="425" spans="1:21">
      <c r="A425" s="11"/>
      <c r="B425" s="11"/>
      <c r="C425" s="90"/>
      <c r="N425" s="136"/>
      <c r="O425" s="136"/>
      <c r="P425" s="136"/>
      <c r="Q425" s="136"/>
      <c r="R425" s="136"/>
      <c r="S425" s="136"/>
      <c r="T425" s="136"/>
      <c r="U425" s="136"/>
    </row>
    <row r="426" spans="1:21">
      <c r="A426" s="11"/>
      <c r="B426" s="11"/>
      <c r="C426" s="90"/>
      <c r="N426" s="136"/>
      <c r="O426" s="136"/>
      <c r="P426" s="136"/>
      <c r="Q426" s="136"/>
      <c r="R426" s="136"/>
      <c r="S426" s="136"/>
      <c r="T426" s="136"/>
      <c r="U426" s="136"/>
    </row>
    <row r="427" spans="1:21">
      <c r="A427" s="11"/>
      <c r="B427" s="11"/>
      <c r="C427" s="90"/>
      <c r="N427" s="136"/>
      <c r="O427" s="136"/>
      <c r="P427" s="136"/>
      <c r="Q427" s="136"/>
      <c r="R427" s="136"/>
      <c r="S427" s="136"/>
      <c r="T427" s="136"/>
      <c r="U427" s="136"/>
    </row>
    <row r="428" spans="1:21">
      <c r="A428" s="11"/>
      <c r="B428" s="11"/>
      <c r="C428" s="90"/>
      <c r="N428" s="136"/>
      <c r="O428" s="136"/>
      <c r="P428" s="136"/>
      <c r="Q428" s="136"/>
      <c r="R428" s="136"/>
      <c r="S428" s="136"/>
      <c r="T428" s="136"/>
      <c r="U428" s="136"/>
    </row>
    <row r="429" spans="1:21">
      <c r="A429" s="11"/>
      <c r="B429" s="11"/>
      <c r="C429" s="90"/>
      <c r="N429" s="136"/>
      <c r="O429" s="136"/>
      <c r="P429" s="136"/>
      <c r="Q429" s="136"/>
      <c r="R429" s="136"/>
      <c r="S429" s="136"/>
      <c r="T429" s="136"/>
      <c r="U429" s="136"/>
    </row>
    <row r="430" spans="1:21">
      <c r="A430" s="11"/>
      <c r="B430" s="11"/>
      <c r="C430" s="90"/>
      <c r="N430" s="136"/>
      <c r="O430" s="136"/>
      <c r="P430" s="136"/>
      <c r="Q430" s="136"/>
      <c r="R430" s="136"/>
      <c r="S430" s="136"/>
      <c r="T430" s="136"/>
      <c r="U430" s="136"/>
    </row>
    <row r="431" spans="1:21">
      <c r="A431" s="11"/>
      <c r="B431" s="11"/>
      <c r="C431" s="90"/>
      <c r="N431" s="136"/>
      <c r="O431" s="136"/>
      <c r="P431" s="136"/>
      <c r="Q431" s="136"/>
      <c r="R431" s="136"/>
      <c r="S431" s="136"/>
      <c r="T431" s="136"/>
      <c r="U431" s="136"/>
    </row>
    <row r="432" spans="1:21">
      <c r="A432" s="11"/>
      <c r="B432" s="11"/>
      <c r="C432" s="90"/>
      <c r="N432" s="136"/>
      <c r="O432" s="136"/>
      <c r="P432" s="136"/>
      <c r="Q432" s="136"/>
      <c r="R432" s="136"/>
      <c r="S432" s="136"/>
      <c r="T432" s="136"/>
      <c r="U432" s="136"/>
    </row>
    <row r="433" spans="1:21">
      <c r="A433" s="11"/>
      <c r="B433" s="11"/>
      <c r="C433" s="90"/>
      <c r="N433" s="136"/>
      <c r="O433" s="136"/>
      <c r="P433" s="136"/>
      <c r="Q433" s="136"/>
      <c r="R433" s="136"/>
      <c r="S433" s="136"/>
      <c r="T433" s="136"/>
      <c r="U433" s="136"/>
    </row>
    <row r="434" spans="1:21">
      <c r="A434" s="11"/>
      <c r="B434" s="11"/>
      <c r="C434" s="90"/>
      <c r="N434" s="136"/>
      <c r="O434" s="136"/>
      <c r="P434" s="136"/>
      <c r="Q434" s="136"/>
      <c r="R434" s="136"/>
      <c r="S434" s="136"/>
      <c r="T434" s="136"/>
      <c r="U434" s="136"/>
    </row>
    <row r="435" spans="1:21">
      <c r="A435" s="11"/>
      <c r="B435" s="11"/>
      <c r="C435" s="90"/>
      <c r="N435" s="136"/>
      <c r="O435" s="136"/>
      <c r="P435" s="136"/>
      <c r="Q435" s="136"/>
      <c r="R435" s="136"/>
      <c r="S435" s="136"/>
      <c r="T435" s="136"/>
      <c r="U435" s="136"/>
    </row>
    <row r="436" spans="1:21">
      <c r="A436" s="11"/>
      <c r="B436" s="11"/>
      <c r="C436" s="90"/>
      <c r="N436" s="136"/>
      <c r="O436" s="136"/>
      <c r="P436" s="136"/>
      <c r="Q436" s="136"/>
      <c r="R436" s="136"/>
      <c r="S436" s="136"/>
      <c r="T436" s="136"/>
      <c r="U436" s="136"/>
    </row>
    <row r="437" spans="1:21">
      <c r="A437" s="11"/>
      <c r="B437" s="11"/>
      <c r="C437" s="90"/>
      <c r="N437" s="136"/>
      <c r="O437" s="136"/>
      <c r="P437" s="136"/>
      <c r="Q437" s="136"/>
      <c r="R437" s="136"/>
      <c r="S437" s="136"/>
      <c r="T437" s="136"/>
      <c r="U437" s="136"/>
    </row>
    <row r="438" spans="1:21">
      <c r="A438" s="11"/>
      <c r="B438" s="11"/>
      <c r="C438" s="90"/>
      <c r="N438" s="136"/>
      <c r="O438" s="136"/>
      <c r="P438" s="136"/>
      <c r="Q438" s="136"/>
      <c r="R438" s="136"/>
      <c r="S438" s="136"/>
      <c r="T438" s="136"/>
      <c r="U438" s="136"/>
    </row>
    <row r="439" spans="1:21">
      <c r="A439" s="11"/>
      <c r="B439" s="11"/>
      <c r="C439" s="90"/>
      <c r="N439" s="136"/>
      <c r="O439" s="136"/>
      <c r="P439" s="136"/>
      <c r="Q439" s="136"/>
      <c r="R439" s="136"/>
      <c r="S439" s="136"/>
      <c r="T439" s="136"/>
      <c r="U439" s="136"/>
    </row>
    <row r="440" spans="1:21">
      <c r="A440" s="11"/>
      <c r="B440" s="11"/>
      <c r="C440" s="90"/>
      <c r="N440" s="136"/>
      <c r="O440" s="136"/>
      <c r="P440" s="136"/>
      <c r="Q440" s="136"/>
      <c r="R440" s="136"/>
      <c r="S440" s="136"/>
      <c r="T440" s="136"/>
      <c r="U440" s="136"/>
    </row>
    <row r="441" spans="1:21">
      <c r="A441" s="11"/>
      <c r="B441" s="11"/>
      <c r="C441" s="90"/>
      <c r="N441" s="136"/>
      <c r="O441" s="136"/>
      <c r="P441" s="136"/>
      <c r="Q441" s="136"/>
      <c r="R441" s="136"/>
      <c r="S441" s="136"/>
      <c r="T441" s="136"/>
      <c r="U441" s="136"/>
    </row>
    <row r="442" spans="1:21">
      <c r="A442" s="11"/>
      <c r="B442" s="11"/>
      <c r="C442" s="90"/>
      <c r="N442" s="136"/>
      <c r="O442" s="136"/>
      <c r="P442" s="136"/>
      <c r="Q442" s="136"/>
      <c r="R442" s="136"/>
      <c r="S442" s="136"/>
      <c r="T442" s="136"/>
      <c r="U442" s="136"/>
    </row>
    <row r="443" spans="1:21">
      <c r="A443" s="11"/>
      <c r="B443" s="11"/>
      <c r="C443" s="90"/>
      <c r="N443" s="136"/>
      <c r="O443" s="136"/>
      <c r="P443" s="136"/>
      <c r="Q443" s="136"/>
      <c r="R443" s="136"/>
      <c r="S443" s="136"/>
      <c r="T443" s="136"/>
      <c r="U443" s="136"/>
    </row>
    <row r="444" spans="1:21">
      <c r="A444" s="11"/>
      <c r="B444" s="11"/>
      <c r="C444" s="90"/>
      <c r="N444" s="136"/>
      <c r="O444" s="136"/>
      <c r="P444" s="136"/>
      <c r="Q444" s="136"/>
      <c r="R444" s="136"/>
      <c r="S444" s="136"/>
      <c r="T444" s="136"/>
      <c r="U444" s="136"/>
    </row>
    <row r="445" spans="1:21">
      <c r="A445" s="11"/>
      <c r="B445" s="11"/>
      <c r="C445" s="90"/>
      <c r="N445" s="136"/>
      <c r="O445" s="136"/>
      <c r="P445" s="136"/>
      <c r="Q445" s="136"/>
      <c r="R445" s="136"/>
      <c r="S445" s="136"/>
      <c r="T445" s="136"/>
      <c r="U445" s="136"/>
    </row>
    <row r="446" spans="1:21">
      <c r="A446" s="11"/>
      <c r="B446" s="11"/>
      <c r="C446" s="90"/>
      <c r="N446" s="136"/>
      <c r="O446" s="136"/>
      <c r="P446" s="136"/>
      <c r="Q446" s="136"/>
      <c r="R446" s="136"/>
      <c r="S446" s="136"/>
      <c r="T446" s="136"/>
      <c r="U446" s="136"/>
    </row>
    <row r="447" spans="1:21">
      <c r="A447" s="11"/>
      <c r="B447" s="11"/>
      <c r="C447" s="90"/>
      <c r="N447" s="136"/>
      <c r="O447" s="136"/>
      <c r="P447" s="136"/>
      <c r="Q447" s="136"/>
      <c r="R447" s="136"/>
      <c r="S447" s="136"/>
      <c r="T447" s="136"/>
      <c r="U447" s="136"/>
    </row>
    <row r="448" spans="1:21">
      <c r="A448" s="11"/>
      <c r="B448" s="11"/>
      <c r="C448" s="90"/>
      <c r="N448" s="136"/>
      <c r="O448" s="136"/>
      <c r="P448" s="136"/>
      <c r="Q448" s="136"/>
      <c r="R448" s="136"/>
      <c r="S448" s="136"/>
      <c r="T448" s="136"/>
      <c r="U448" s="136"/>
    </row>
    <row r="449" spans="1:21">
      <c r="A449" s="11"/>
      <c r="B449" s="11"/>
      <c r="C449" s="90"/>
      <c r="N449" s="136"/>
      <c r="O449" s="136"/>
      <c r="P449" s="136"/>
      <c r="Q449" s="136"/>
      <c r="R449" s="136"/>
      <c r="S449" s="136"/>
      <c r="T449" s="136"/>
      <c r="U449" s="136"/>
    </row>
    <row r="450" spans="1:21">
      <c r="A450" s="11"/>
      <c r="B450" s="11"/>
      <c r="C450" s="90"/>
      <c r="N450" s="136"/>
      <c r="O450" s="136"/>
      <c r="P450" s="136"/>
      <c r="Q450" s="136"/>
      <c r="R450" s="136"/>
      <c r="S450" s="136"/>
      <c r="T450" s="136"/>
      <c r="U450" s="136"/>
    </row>
    <row r="451" spans="1:21">
      <c r="A451" s="11"/>
      <c r="B451" s="11"/>
      <c r="C451" s="90"/>
      <c r="N451" s="136"/>
      <c r="O451" s="136"/>
      <c r="P451" s="136"/>
      <c r="Q451" s="136"/>
      <c r="R451" s="136"/>
      <c r="S451" s="136"/>
      <c r="T451" s="136"/>
      <c r="U451" s="136"/>
    </row>
    <row r="452" spans="1:21">
      <c r="A452" s="11"/>
      <c r="B452" s="11"/>
      <c r="C452" s="90"/>
      <c r="N452" s="136"/>
      <c r="O452" s="136"/>
      <c r="P452" s="136"/>
      <c r="Q452" s="136"/>
      <c r="R452" s="136"/>
      <c r="S452" s="136"/>
      <c r="T452" s="136"/>
      <c r="U452" s="136"/>
    </row>
    <row r="453" spans="1:21">
      <c r="A453" s="11"/>
      <c r="B453" s="11"/>
      <c r="C453" s="90"/>
      <c r="N453" s="136"/>
      <c r="O453" s="136"/>
      <c r="P453" s="136"/>
      <c r="Q453" s="136"/>
      <c r="R453" s="136"/>
      <c r="S453" s="136"/>
      <c r="T453" s="136"/>
      <c r="U453" s="136"/>
    </row>
    <row r="454" spans="1:21">
      <c r="A454" s="11"/>
      <c r="B454" s="11"/>
      <c r="C454" s="90"/>
      <c r="N454" s="136"/>
      <c r="O454" s="136"/>
      <c r="P454" s="136"/>
      <c r="Q454" s="136"/>
      <c r="R454" s="136"/>
      <c r="S454" s="136"/>
      <c r="T454" s="136"/>
      <c r="U454" s="136"/>
    </row>
    <row r="455" spans="1:21">
      <c r="A455" s="11"/>
      <c r="B455" s="11"/>
      <c r="C455" s="90"/>
      <c r="N455" s="136"/>
      <c r="O455" s="136"/>
      <c r="P455" s="136"/>
      <c r="Q455" s="136"/>
      <c r="R455" s="136"/>
      <c r="S455" s="136"/>
      <c r="T455" s="136"/>
      <c r="U455" s="136"/>
    </row>
    <row r="456" spans="1:21">
      <c r="A456" s="11"/>
      <c r="B456" s="11"/>
      <c r="C456" s="90"/>
      <c r="N456" s="136"/>
      <c r="O456" s="136"/>
      <c r="P456" s="136"/>
      <c r="Q456" s="136"/>
      <c r="R456" s="136"/>
      <c r="S456" s="136"/>
      <c r="T456" s="136"/>
      <c r="U456" s="136"/>
    </row>
    <row r="457" spans="1:21">
      <c r="A457" s="11"/>
      <c r="B457" s="11"/>
      <c r="C457" s="90"/>
      <c r="N457" s="136"/>
      <c r="O457" s="136"/>
      <c r="P457" s="136"/>
      <c r="Q457" s="136"/>
      <c r="R457" s="136"/>
      <c r="S457" s="136"/>
      <c r="T457" s="136"/>
      <c r="U457" s="136"/>
    </row>
    <row r="458" spans="1:21">
      <c r="A458" s="11"/>
      <c r="B458" s="11"/>
      <c r="C458" s="90"/>
      <c r="N458" s="136"/>
      <c r="O458" s="136"/>
      <c r="P458" s="136"/>
      <c r="Q458" s="136"/>
      <c r="R458" s="136"/>
      <c r="S458" s="136"/>
      <c r="T458" s="136"/>
      <c r="U458" s="136"/>
    </row>
    <row r="459" spans="1:21">
      <c r="A459" s="11"/>
      <c r="B459" s="11"/>
      <c r="C459" s="90"/>
      <c r="N459" s="136"/>
      <c r="O459" s="136"/>
      <c r="P459" s="136"/>
      <c r="Q459" s="136"/>
      <c r="R459" s="136"/>
      <c r="S459" s="136"/>
      <c r="T459" s="136"/>
      <c r="U459" s="136"/>
    </row>
    <row r="460" spans="1:21">
      <c r="A460" s="11"/>
      <c r="B460" s="11"/>
      <c r="C460" s="90"/>
      <c r="N460" s="136"/>
      <c r="O460" s="136"/>
      <c r="P460" s="136"/>
      <c r="Q460" s="136"/>
      <c r="R460" s="136"/>
      <c r="S460" s="136"/>
      <c r="T460" s="136"/>
      <c r="U460" s="136"/>
    </row>
    <row r="461" spans="1:21">
      <c r="A461" s="11"/>
      <c r="B461" s="11"/>
      <c r="C461" s="90"/>
      <c r="N461" s="136"/>
      <c r="O461" s="136"/>
      <c r="P461" s="136"/>
      <c r="Q461" s="136"/>
      <c r="R461" s="136"/>
      <c r="S461" s="136"/>
      <c r="T461" s="136"/>
      <c r="U461" s="136"/>
    </row>
    <row r="462" spans="1:21">
      <c r="A462" s="11"/>
      <c r="B462" s="11"/>
      <c r="C462" s="90"/>
      <c r="N462" s="136"/>
      <c r="O462" s="136"/>
      <c r="P462" s="136"/>
      <c r="Q462" s="136"/>
      <c r="R462" s="136"/>
      <c r="S462" s="136"/>
      <c r="T462" s="136"/>
      <c r="U462" s="136"/>
    </row>
    <row r="463" spans="1:21">
      <c r="A463" s="11"/>
      <c r="B463" s="11"/>
      <c r="C463" s="90"/>
      <c r="N463" s="136"/>
      <c r="O463" s="136"/>
      <c r="P463" s="136"/>
      <c r="Q463" s="136"/>
      <c r="R463" s="136"/>
      <c r="S463" s="136"/>
      <c r="T463" s="136"/>
      <c r="U463" s="136"/>
    </row>
    <row r="464" spans="1:21">
      <c r="A464" s="11"/>
      <c r="B464" s="11"/>
      <c r="C464" s="90"/>
      <c r="N464" s="136"/>
      <c r="O464" s="136"/>
      <c r="P464" s="136"/>
      <c r="Q464" s="136"/>
      <c r="R464" s="136"/>
      <c r="S464" s="136"/>
      <c r="T464" s="136"/>
      <c r="U464" s="136"/>
    </row>
    <row r="465" spans="1:21">
      <c r="A465" s="11"/>
      <c r="B465" s="11"/>
      <c r="C465" s="90"/>
      <c r="N465" s="136"/>
      <c r="O465" s="136"/>
      <c r="P465" s="136"/>
      <c r="Q465" s="136"/>
      <c r="R465" s="136"/>
      <c r="S465" s="136"/>
      <c r="T465" s="136"/>
      <c r="U465" s="136"/>
    </row>
    <row r="466" spans="1:21">
      <c r="A466" s="11"/>
      <c r="B466" s="11"/>
      <c r="C466" s="90"/>
      <c r="N466" s="136"/>
      <c r="O466" s="136"/>
      <c r="P466" s="136"/>
      <c r="Q466" s="136"/>
      <c r="R466" s="136"/>
      <c r="S466" s="136"/>
      <c r="T466" s="136"/>
      <c r="U466" s="136"/>
    </row>
    <row r="467" spans="1:21">
      <c r="A467" s="11"/>
      <c r="B467" s="11"/>
      <c r="C467" s="90"/>
      <c r="N467" s="136"/>
      <c r="O467" s="136"/>
      <c r="P467" s="136"/>
      <c r="Q467" s="136"/>
      <c r="R467" s="136"/>
      <c r="S467" s="136"/>
      <c r="T467" s="136"/>
      <c r="U467" s="136"/>
    </row>
    <row r="468" spans="1:21">
      <c r="A468" s="11"/>
      <c r="B468" s="11"/>
      <c r="C468" s="90"/>
      <c r="N468" s="136"/>
      <c r="O468" s="136"/>
      <c r="P468" s="136"/>
      <c r="Q468" s="136"/>
      <c r="R468" s="136"/>
      <c r="S468" s="136"/>
      <c r="T468" s="136"/>
      <c r="U468" s="136"/>
    </row>
    <row r="469" spans="1:21">
      <c r="A469" s="11"/>
      <c r="B469" s="11"/>
      <c r="C469" s="90"/>
      <c r="N469" s="136"/>
      <c r="O469" s="136"/>
      <c r="P469" s="136"/>
      <c r="Q469" s="136"/>
      <c r="R469" s="136"/>
      <c r="S469" s="136"/>
      <c r="T469" s="136"/>
      <c r="U469" s="136"/>
    </row>
    <row r="470" spans="1:21">
      <c r="A470" s="11"/>
      <c r="B470" s="11"/>
      <c r="C470" s="90"/>
      <c r="N470" s="136"/>
      <c r="O470" s="136"/>
      <c r="P470" s="136"/>
      <c r="Q470" s="136"/>
      <c r="R470" s="136"/>
      <c r="S470" s="136"/>
      <c r="T470" s="136"/>
      <c r="U470" s="136"/>
    </row>
    <row r="471" spans="1:21">
      <c r="A471" s="11"/>
      <c r="B471" s="11"/>
      <c r="C471" s="90"/>
      <c r="N471" s="136"/>
      <c r="O471" s="136"/>
      <c r="P471" s="136"/>
      <c r="Q471" s="136"/>
      <c r="R471" s="136"/>
      <c r="S471" s="136"/>
      <c r="T471" s="136"/>
      <c r="U471" s="136"/>
    </row>
    <row r="472" spans="1:21">
      <c r="A472" s="11"/>
      <c r="B472" s="11"/>
      <c r="C472" s="90"/>
      <c r="N472" s="136"/>
      <c r="O472" s="136"/>
      <c r="P472" s="136"/>
      <c r="Q472" s="136"/>
      <c r="R472" s="136"/>
      <c r="S472" s="136"/>
      <c r="T472" s="136"/>
      <c r="U472" s="136"/>
    </row>
    <row r="473" spans="1:21">
      <c r="A473" s="11"/>
      <c r="B473" s="11"/>
      <c r="C473" s="90"/>
      <c r="N473" s="136"/>
      <c r="O473" s="136"/>
      <c r="P473" s="136"/>
      <c r="Q473" s="136"/>
      <c r="R473" s="136"/>
      <c r="S473" s="136"/>
      <c r="T473" s="136"/>
      <c r="U473" s="136"/>
    </row>
    <row r="474" spans="1:21">
      <c r="A474" s="11"/>
      <c r="B474" s="11"/>
      <c r="C474" s="90"/>
      <c r="N474" s="136"/>
      <c r="O474" s="136"/>
      <c r="P474" s="136"/>
      <c r="Q474" s="136"/>
      <c r="R474" s="136"/>
      <c r="S474" s="136"/>
      <c r="T474" s="136"/>
      <c r="U474" s="136"/>
    </row>
    <row r="475" spans="1:21">
      <c r="A475" s="11"/>
      <c r="B475" s="11"/>
      <c r="C475" s="90"/>
      <c r="N475" s="136"/>
      <c r="O475" s="136"/>
      <c r="P475" s="136"/>
      <c r="Q475" s="136"/>
      <c r="R475" s="136"/>
      <c r="S475" s="136"/>
      <c r="T475" s="136"/>
      <c r="U475" s="136"/>
    </row>
    <row r="476" spans="1:21">
      <c r="A476" s="11"/>
      <c r="B476" s="11"/>
      <c r="C476" s="90"/>
      <c r="N476" s="136"/>
      <c r="O476" s="136"/>
      <c r="P476" s="136"/>
      <c r="Q476" s="136"/>
      <c r="R476" s="136"/>
      <c r="S476" s="136"/>
      <c r="T476" s="136"/>
      <c r="U476" s="136"/>
    </row>
    <row r="477" spans="1:21">
      <c r="A477" s="11"/>
      <c r="B477" s="11"/>
      <c r="C477" s="90"/>
      <c r="N477" s="136"/>
      <c r="O477" s="136"/>
      <c r="P477" s="136"/>
      <c r="Q477" s="136"/>
      <c r="R477" s="136"/>
      <c r="S477" s="136"/>
      <c r="T477" s="136"/>
      <c r="U477" s="136"/>
    </row>
    <row r="478" spans="1:21">
      <c r="A478" s="11"/>
      <c r="B478" s="11"/>
      <c r="C478" s="90"/>
      <c r="N478" s="136"/>
      <c r="O478" s="136"/>
      <c r="P478" s="136"/>
      <c r="Q478" s="136"/>
      <c r="R478" s="136"/>
      <c r="S478" s="136"/>
      <c r="T478" s="136"/>
      <c r="U478" s="136"/>
    </row>
    <row r="479" spans="1:21">
      <c r="A479" s="11"/>
      <c r="B479" s="11"/>
      <c r="C479" s="90"/>
      <c r="N479" s="136"/>
      <c r="O479" s="136"/>
      <c r="P479" s="136"/>
      <c r="Q479" s="136"/>
      <c r="R479" s="136"/>
      <c r="S479" s="136"/>
      <c r="T479" s="136"/>
      <c r="U479" s="136"/>
    </row>
    <row r="480" spans="1:21">
      <c r="A480" s="11"/>
      <c r="B480" s="11"/>
      <c r="C480" s="90"/>
      <c r="N480" s="136"/>
      <c r="O480" s="136"/>
      <c r="P480" s="136"/>
      <c r="Q480" s="136"/>
      <c r="R480" s="136"/>
      <c r="S480" s="136"/>
      <c r="T480" s="136"/>
      <c r="U480" s="136"/>
    </row>
    <row r="481" spans="1:21">
      <c r="A481" s="11"/>
      <c r="B481" s="11"/>
      <c r="C481" s="90"/>
      <c r="N481" s="136"/>
      <c r="O481" s="136"/>
      <c r="P481" s="136"/>
      <c r="Q481" s="136"/>
      <c r="R481" s="136"/>
      <c r="S481" s="136"/>
      <c r="T481" s="136"/>
      <c r="U481" s="136"/>
    </row>
    <row r="482" spans="1:21">
      <c r="A482" s="11"/>
      <c r="B482" s="11"/>
      <c r="C482" s="90"/>
      <c r="N482" s="136"/>
      <c r="O482" s="136"/>
      <c r="P482" s="136"/>
      <c r="Q482" s="136"/>
      <c r="R482" s="136"/>
      <c r="S482" s="136"/>
      <c r="T482" s="136"/>
      <c r="U482" s="136"/>
    </row>
    <row r="483" spans="1:21">
      <c r="A483" s="11"/>
      <c r="B483" s="11"/>
      <c r="C483" s="90"/>
      <c r="N483" s="136"/>
      <c r="O483" s="136"/>
      <c r="P483" s="136"/>
      <c r="Q483" s="136"/>
      <c r="R483" s="136"/>
      <c r="S483" s="136"/>
      <c r="T483" s="136"/>
      <c r="U483" s="136"/>
    </row>
    <row r="484" spans="1:21">
      <c r="A484" s="11"/>
      <c r="B484" s="11"/>
      <c r="C484" s="90"/>
      <c r="N484" s="136"/>
      <c r="O484" s="136"/>
      <c r="P484" s="136"/>
      <c r="Q484" s="136"/>
      <c r="R484" s="136"/>
      <c r="S484" s="136"/>
      <c r="T484" s="136"/>
      <c r="U484" s="136"/>
    </row>
    <row r="485" spans="1:21">
      <c r="A485" s="11"/>
      <c r="B485" s="11"/>
      <c r="C485" s="90"/>
      <c r="N485" s="136"/>
      <c r="O485" s="136"/>
      <c r="P485" s="136"/>
      <c r="Q485" s="136"/>
      <c r="R485" s="136"/>
      <c r="S485" s="136"/>
      <c r="T485" s="136"/>
      <c r="U485" s="136"/>
    </row>
    <row r="486" spans="1:21">
      <c r="A486" s="11"/>
      <c r="B486" s="11"/>
      <c r="C486" s="90"/>
      <c r="N486" s="136"/>
      <c r="O486" s="136"/>
      <c r="P486" s="136"/>
      <c r="Q486" s="136"/>
      <c r="R486" s="136"/>
      <c r="S486" s="136"/>
      <c r="T486" s="136"/>
      <c r="U486" s="136"/>
    </row>
    <row r="487" spans="1:21">
      <c r="A487" s="11"/>
      <c r="B487" s="11"/>
      <c r="C487" s="90"/>
      <c r="N487" s="136"/>
      <c r="O487" s="136"/>
      <c r="P487" s="136"/>
      <c r="Q487" s="136"/>
      <c r="R487" s="136"/>
      <c r="S487" s="136"/>
      <c r="T487" s="136"/>
      <c r="U487" s="136"/>
    </row>
    <row r="488" spans="1:21">
      <c r="A488" s="11"/>
      <c r="B488" s="11"/>
      <c r="C488" s="90"/>
      <c r="N488" s="136"/>
      <c r="O488" s="136"/>
      <c r="P488" s="136"/>
      <c r="Q488" s="136"/>
      <c r="R488" s="136"/>
      <c r="S488" s="136"/>
      <c r="T488" s="136"/>
      <c r="U488" s="136"/>
    </row>
    <row r="489" spans="1:21">
      <c r="A489" s="11"/>
      <c r="B489" s="11"/>
      <c r="C489" s="90"/>
      <c r="N489" s="136"/>
      <c r="O489" s="136"/>
      <c r="P489" s="136"/>
      <c r="Q489" s="136"/>
      <c r="R489" s="136"/>
      <c r="S489" s="136"/>
      <c r="T489" s="136"/>
      <c r="U489" s="136"/>
    </row>
    <row r="490" spans="1:21">
      <c r="A490" s="11"/>
      <c r="B490" s="11"/>
      <c r="C490" s="90"/>
      <c r="N490" s="136"/>
      <c r="O490" s="136"/>
      <c r="P490" s="136"/>
      <c r="Q490" s="136"/>
      <c r="R490" s="136"/>
      <c r="S490" s="136"/>
      <c r="T490" s="136"/>
      <c r="U490" s="136"/>
    </row>
    <row r="491" spans="1:21">
      <c r="A491" s="11"/>
      <c r="B491" s="11"/>
      <c r="C491" s="90"/>
      <c r="N491" s="136"/>
      <c r="O491" s="136"/>
      <c r="P491" s="136"/>
      <c r="Q491" s="136"/>
      <c r="R491" s="136"/>
      <c r="S491" s="136"/>
      <c r="T491" s="136"/>
      <c r="U491" s="136"/>
    </row>
    <row r="492" spans="1:21">
      <c r="A492" s="11"/>
      <c r="B492" s="11"/>
      <c r="C492" s="90"/>
      <c r="N492" s="136"/>
      <c r="O492" s="136"/>
      <c r="P492" s="136"/>
      <c r="Q492" s="136"/>
      <c r="R492" s="136"/>
      <c r="S492" s="136"/>
      <c r="T492" s="136"/>
      <c r="U492" s="136"/>
    </row>
    <row r="493" spans="1:21">
      <c r="A493" s="11"/>
      <c r="B493" s="11"/>
      <c r="C493" s="90"/>
      <c r="N493" s="136"/>
      <c r="O493" s="136"/>
      <c r="P493" s="136"/>
      <c r="Q493" s="136"/>
      <c r="R493" s="136"/>
      <c r="S493" s="136"/>
      <c r="T493" s="136"/>
      <c r="U493" s="136"/>
    </row>
    <row r="494" spans="1:21">
      <c r="A494" s="11"/>
      <c r="B494" s="11"/>
      <c r="C494" s="90"/>
      <c r="N494" s="136"/>
      <c r="O494" s="136"/>
      <c r="P494" s="136"/>
      <c r="Q494" s="136"/>
      <c r="R494" s="136"/>
      <c r="S494" s="136"/>
      <c r="T494" s="136"/>
      <c r="U494" s="136"/>
    </row>
    <row r="495" spans="1:21">
      <c r="A495" s="11"/>
      <c r="B495" s="11"/>
      <c r="C495" s="90"/>
      <c r="N495" s="136"/>
      <c r="O495" s="136"/>
      <c r="P495" s="136"/>
      <c r="Q495" s="136"/>
      <c r="R495" s="136"/>
      <c r="S495" s="136"/>
      <c r="T495" s="136"/>
      <c r="U495" s="136"/>
    </row>
    <row r="496" spans="1:21">
      <c r="A496" s="11"/>
      <c r="B496" s="11"/>
      <c r="C496" s="90"/>
      <c r="N496" s="136"/>
      <c r="O496" s="136"/>
      <c r="P496" s="136"/>
      <c r="Q496" s="136"/>
      <c r="R496" s="136"/>
      <c r="S496" s="136"/>
      <c r="T496" s="136"/>
      <c r="U496" s="136"/>
    </row>
    <row r="497" spans="1:21">
      <c r="A497" s="11"/>
      <c r="B497" s="11"/>
      <c r="C497" s="90"/>
      <c r="N497" s="136"/>
      <c r="O497" s="136"/>
      <c r="P497" s="136"/>
      <c r="Q497" s="136"/>
      <c r="R497" s="136"/>
      <c r="S497" s="136"/>
      <c r="T497" s="136"/>
      <c r="U497" s="136"/>
    </row>
    <row r="498" spans="1:21">
      <c r="A498" s="11"/>
      <c r="B498" s="11"/>
      <c r="C498" s="90"/>
      <c r="N498" s="136"/>
      <c r="O498" s="136"/>
      <c r="P498" s="136"/>
      <c r="Q498" s="136"/>
      <c r="R498" s="136"/>
      <c r="S498" s="136"/>
      <c r="T498" s="136"/>
      <c r="U498" s="136"/>
    </row>
    <row r="499" spans="1:21">
      <c r="A499" s="11"/>
      <c r="B499" s="11"/>
      <c r="C499" s="90"/>
      <c r="N499" s="136"/>
      <c r="O499" s="136"/>
      <c r="P499" s="136"/>
      <c r="Q499" s="136"/>
      <c r="R499" s="136"/>
      <c r="S499" s="136"/>
      <c r="T499" s="136"/>
      <c r="U499" s="136"/>
    </row>
    <row r="500" spans="1:21">
      <c r="A500" s="11"/>
      <c r="B500" s="11"/>
      <c r="C500" s="90"/>
      <c r="N500" s="136"/>
      <c r="O500" s="136"/>
      <c r="P500" s="136"/>
      <c r="Q500" s="136"/>
      <c r="R500" s="136"/>
      <c r="S500" s="136"/>
      <c r="T500" s="136"/>
      <c r="U500" s="136"/>
    </row>
    <row r="501" spans="1:21">
      <c r="A501" s="11"/>
      <c r="B501" s="11"/>
      <c r="C501" s="90"/>
      <c r="N501" s="136"/>
      <c r="O501" s="136"/>
      <c r="P501" s="136"/>
      <c r="Q501" s="136"/>
      <c r="R501" s="136"/>
      <c r="S501" s="136"/>
      <c r="T501" s="136"/>
      <c r="U501" s="136"/>
    </row>
    <row r="502" spans="1:21">
      <c r="A502" s="11"/>
      <c r="B502" s="11"/>
      <c r="C502" s="90"/>
      <c r="N502" s="136"/>
      <c r="O502" s="136"/>
      <c r="P502" s="136"/>
      <c r="Q502" s="136"/>
      <c r="R502" s="136"/>
      <c r="S502" s="136"/>
      <c r="T502" s="136"/>
      <c r="U502" s="136"/>
    </row>
    <row r="503" spans="1:21">
      <c r="A503" s="11"/>
      <c r="B503" s="11"/>
      <c r="C503" s="90"/>
      <c r="N503" s="136"/>
      <c r="O503" s="136"/>
      <c r="P503" s="136"/>
      <c r="Q503" s="136"/>
      <c r="R503" s="136"/>
      <c r="S503" s="136"/>
      <c r="T503" s="136"/>
      <c r="U503" s="136"/>
    </row>
    <row r="504" spans="1:21">
      <c r="A504" s="11"/>
      <c r="B504" s="11"/>
      <c r="C504" s="90"/>
      <c r="N504" s="136"/>
      <c r="O504" s="136"/>
      <c r="P504" s="136"/>
      <c r="Q504" s="136"/>
      <c r="R504" s="136"/>
      <c r="S504" s="136"/>
      <c r="T504" s="136"/>
      <c r="U504" s="136"/>
    </row>
    <row r="505" spans="1:21">
      <c r="A505" s="11"/>
      <c r="B505" s="11"/>
      <c r="C505" s="90"/>
      <c r="N505" s="136"/>
      <c r="O505" s="136"/>
      <c r="P505" s="136"/>
      <c r="Q505" s="136"/>
      <c r="R505" s="136"/>
      <c r="S505" s="136"/>
      <c r="T505" s="136"/>
      <c r="U505" s="136"/>
    </row>
    <row r="506" spans="1:21">
      <c r="A506" s="11"/>
      <c r="B506" s="11"/>
      <c r="C506" s="90"/>
      <c r="N506" s="136"/>
      <c r="O506" s="136"/>
      <c r="P506" s="136"/>
      <c r="Q506" s="136"/>
      <c r="R506" s="136"/>
      <c r="S506" s="136"/>
      <c r="T506" s="136"/>
      <c r="U506" s="136"/>
    </row>
    <row r="507" spans="1:21">
      <c r="A507" s="11"/>
      <c r="B507" s="11"/>
      <c r="C507" s="90"/>
      <c r="N507" s="136"/>
      <c r="O507" s="136"/>
      <c r="P507" s="136"/>
      <c r="Q507" s="136"/>
      <c r="R507" s="136"/>
      <c r="S507" s="136"/>
      <c r="T507" s="136"/>
      <c r="U507" s="136"/>
    </row>
    <row r="508" spans="1:21">
      <c r="A508" s="11"/>
      <c r="B508" s="11"/>
      <c r="C508" s="90"/>
      <c r="N508" s="136"/>
      <c r="O508" s="136"/>
      <c r="P508" s="136"/>
      <c r="Q508" s="136"/>
      <c r="R508" s="136"/>
      <c r="S508" s="136"/>
      <c r="T508" s="136"/>
      <c r="U508" s="136"/>
    </row>
    <row r="509" spans="1:21">
      <c r="A509" s="11"/>
      <c r="B509" s="11"/>
      <c r="C509" s="90"/>
      <c r="N509" s="136"/>
      <c r="O509" s="136"/>
      <c r="P509" s="136"/>
      <c r="Q509" s="136"/>
      <c r="R509" s="136"/>
      <c r="S509" s="136"/>
      <c r="T509" s="136"/>
      <c r="U509" s="136"/>
    </row>
    <row r="510" spans="1:21">
      <c r="A510" s="11"/>
      <c r="B510" s="11"/>
      <c r="C510" s="90"/>
      <c r="N510" s="136"/>
      <c r="O510" s="136"/>
      <c r="P510" s="136"/>
      <c r="Q510" s="136"/>
      <c r="R510" s="136"/>
      <c r="S510" s="136"/>
      <c r="T510" s="136"/>
      <c r="U510" s="136"/>
    </row>
    <row r="511" spans="1:21">
      <c r="A511" s="11"/>
      <c r="B511" s="11"/>
      <c r="C511" s="90"/>
      <c r="N511" s="136"/>
      <c r="O511" s="136"/>
      <c r="P511" s="136"/>
      <c r="Q511" s="136"/>
      <c r="R511" s="136"/>
      <c r="S511" s="136"/>
      <c r="T511" s="136"/>
      <c r="U511" s="136"/>
    </row>
    <row r="512" spans="1:21">
      <c r="A512" s="11"/>
      <c r="B512" s="11"/>
      <c r="C512" s="90"/>
      <c r="N512" s="136"/>
      <c r="O512" s="136"/>
      <c r="P512" s="136"/>
      <c r="Q512" s="136"/>
      <c r="R512" s="136"/>
      <c r="S512" s="136"/>
      <c r="T512" s="136"/>
      <c r="U512" s="136"/>
    </row>
    <row r="513" spans="1:21">
      <c r="A513" s="11"/>
      <c r="B513" s="11"/>
      <c r="C513" s="90"/>
      <c r="N513" s="136"/>
      <c r="O513" s="136"/>
      <c r="P513" s="136"/>
      <c r="Q513" s="136"/>
      <c r="R513" s="136"/>
      <c r="S513" s="136"/>
      <c r="T513" s="136"/>
      <c r="U513" s="136"/>
    </row>
    <row r="514" spans="1:21">
      <c r="A514" s="11"/>
      <c r="B514" s="11"/>
      <c r="C514" s="90"/>
      <c r="N514" s="136"/>
      <c r="O514" s="136"/>
      <c r="P514" s="136"/>
      <c r="Q514" s="136"/>
      <c r="R514" s="136"/>
      <c r="S514" s="136"/>
      <c r="T514" s="136"/>
      <c r="U514" s="136"/>
    </row>
    <row r="515" spans="1:21">
      <c r="A515" s="11"/>
      <c r="B515" s="11"/>
      <c r="C515" s="90"/>
      <c r="N515" s="136"/>
      <c r="O515" s="136"/>
      <c r="P515" s="136"/>
      <c r="Q515" s="136"/>
      <c r="R515" s="136"/>
      <c r="S515" s="136"/>
      <c r="T515" s="136"/>
      <c r="U515" s="136"/>
    </row>
    <row r="516" spans="1:21">
      <c r="A516" s="11"/>
      <c r="B516" s="11"/>
      <c r="C516" s="90"/>
      <c r="N516" s="136"/>
      <c r="O516" s="136"/>
      <c r="P516" s="136"/>
      <c r="Q516" s="136"/>
      <c r="R516" s="136"/>
      <c r="S516" s="136"/>
      <c r="T516" s="136"/>
      <c r="U516" s="136"/>
    </row>
    <row r="517" spans="1:21">
      <c r="A517" s="11"/>
      <c r="B517" s="11"/>
      <c r="C517" s="90"/>
      <c r="N517" s="136"/>
      <c r="O517" s="136"/>
      <c r="P517" s="136"/>
      <c r="Q517" s="136"/>
      <c r="R517" s="136"/>
      <c r="S517" s="136"/>
      <c r="T517" s="136"/>
      <c r="U517" s="136"/>
    </row>
    <row r="518" spans="1:21">
      <c r="A518" s="11"/>
      <c r="B518" s="11"/>
      <c r="C518" s="90"/>
      <c r="N518" s="136"/>
      <c r="O518" s="136"/>
      <c r="P518" s="136"/>
      <c r="Q518" s="136"/>
      <c r="R518" s="136"/>
      <c r="S518" s="136"/>
      <c r="T518" s="136"/>
      <c r="U518" s="136"/>
    </row>
    <row r="519" spans="1:21">
      <c r="A519" s="11"/>
      <c r="B519" s="11"/>
      <c r="C519" s="90"/>
      <c r="N519" s="136"/>
      <c r="O519" s="136"/>
      <c r="P519" s="136"/>
      <c r="Q519" s="136"/>
      <c r="R519" s="136"/>
      <c r="S519" s="136"/>
      <c r="T519" s="136"/>
      <c r="U519" s="136"/>
    </row>
    <row r="520" spans="1:21">
      <c r="A520" s="11"/>
      <c r="B520" s="11"/>
      <c r="C520" s="90"/>
      <c r="N520" s="136"/>
      <c r="O520" s="136"/>
      <c r="P520" s="136"/>
      <c r="Q520" s="136"/>
      <c r="R520" s="136"/>
      <c r="S520" s="136"/>
      <c r="T520" s="136"/>
      <c r="U520" s="136"/>
    </row>
    <row r="521" spans="1:21">
      <c r="A521" s="11"/>
      <c r="B521" s="11"/>
      <c r="C521" s="90"/>
      <c r="N521" s="136"/>
      <c r="O521" s="136"/>
      <c r="P521" s="136"/>
      <c r="Q521" s="136"/>
      <c r="R521" s="136"/>
      <c r="S521" s="136"/>
      <c r="T521" s="136"/>
      <c r="U521" s="136"/>
    </row>
    <row r="522" spans="1:21">
      <c r="A522" s="11"/>
      <c r="B522" s="11"/>
      <c r="C522" s="90"/>
      <c r="N522" s="136"/>
      <c r="O522" s="136"/>
      <c r="P522" s="136"/>
      <c r="Q522" s="136"/>
      <c r="R522" s="136"/>
      <c r="S522" s="136"/>
      <c r="T522" s="136"/>
      <c r="U522" s="136"/>
    </row>
    <row r="523" spans="1:21">
      <c r="A523" s="11"/>
      <c r="B523" s="11"/>
      <c r="C523" s="90"/>
      <c r="N523" s="136"/>
      <c r="O523" s="136"/>
      <c r="P523" s="136"/>
      <c r="Q523" s="136"/>
      <c r="R523" s="136"/>
      <c r="S523" s="136"/>
      <c r="T523" s="136"/>
      <c r="U523" s="136"/>
    </row>
    <row r="524" spans="1:21">
      <c r="A524" s="11"/>
      <c r="B524" s="11"/>
      <c r="C524" s="90"/>
      <c r="N524" s="136"/>
      <c r="O524" s="136"/>
      <c r="P524" s="136"/>
      <c r="Q524" s="136"/>
      <c r="R524" s="136"/>
      <c r="S524" s="136"/>
      <c r="T524" s="136"/>
      <c r="U524" s="136"/>
    </row>
    <row r="525" spans="1:21">
      <c r="A525" s="11"/>
      <c r="B525" s="11"/>
      <c r="C525" s="90"/>
      <c r="N525" s="136"/>
      <c r="O525" s="136"/>
      <c r="P525" s="136"/>
      <c r="Q525" s="136"/>
      <c r="R525" s="136"/>
      <c r="S525" s="136"/>
      <c r="T525" s="136"/>
      <c r="U525" s="136"/>
    </row>
    <row r="526" spans="1:21">
      <c r="A526" s="11"/>
      <c r="B526" s="11"/>
      <c r="C526" s="90"/>
      <c r="N526" s="136"/>
      <c r="O526" s="136"/>
      <c r="P526" s="136"/>
      <c r="Q526" s="136"/>
      <c r="R526" s="136"/>
      <c r="S526" s="136"/>
      <c r="T526" s="136"/>
      <c r="U526" s="136"/>
    </row>
    <row r="527" spans="1:21">
      <c r="A527" s="11"/>
      <c r="B527" s="11"/>
      <c r="C527" s="90"/>
      <c r="N527" s="136"/>
      <c r="O527" s="136"/>
      <c r="P527" s="136"/>
      <c r="Q527" s="136"/>
      <c r="R527" s="136"/>
      <c r="S527" s="136"/>
      <c r="T527" s="136"/>
      <c r="U527" s="136"/>
    </row>
    <row r="528" spans="1:21">
      <c r="A528" s="11"/>
      <c r="B528" s="11"/>
      <c r="C528" s="90"/>
      <c r="N528" s="136"/>
      <c r="O528" s="136"/>
      <c r="P528" s="136"/>
      <c r="Q528" s="136"/>
      <c r="R528" s="136"/>
      <c r="S528" s="136"/>
      <c r="T528" s="136"/>
      <c r="U528" s="136"/>
    </row>
    <row r="529" spans="1:21">
      <c r="A529" s="11"/>
      <c r="B529" s="11"/>
      <c r="C529" s="90"/>
      <c r="N529" s="136"/>
      <c r="O529" s="136"/>
      <c r="P529" s="136"/>
      <c r="Q529" s="136"/>
      <c r="R529" s="136"/>
      <c r="S529" s="136"/>
      <c r="T529" s="136"/>
      <c r="U529" s="136"/>
    </row>
    <row r="530" spans="1:21">
      <c r="A530" s="11"/>
      <c r="B530" s="11"/>
      <c r="C530" s="90"/>
      <c r="N530" s="136"/>
      <c r="O530" s="136"/>
      <c r="P530" s="136"/>
      <c r="Q530" s="136"/>
      <c r="R530" s="136"/>
      <c r="S530" s="136"/>
      <c r="T530" s="136"/>
      <c r="U530" s="136"/>
    </row>
    <row r="531" spans="1:21">
      <c r="A531" s="11"/>
      <c r="B531" s="11"/>
      <c r="C531" s="90"/>
      <c r="N531" s="136"/>
      <c r="O531" s="136"/>
      <c r="P531" s="136"/>
      <c r="Q531" s="136"/>
      <c r="R531" s="136"/>
      <c r="S531" s="136"/>
      <c r="T531" s="136"/>
      <c r="U531" s="136"/>
    </row>
    <row r="532" spans="1:21">
      <c r="A532" s="11"/>
      <c r="B532" s="11"/>
      <c r="C532" s="90"/>
      <c r="N532" s="136"/>
      <c r="O532" s="136"/>
      <c r="P532" s="136"/>
      <c r="Q532" s="136"/>
      <c r="R532" s="136"/>
      <c r="S532" s="136"/>
      <c r="T532" s="136"/>
      <c r="U532" s="136"/>
    </row>
    <row r="533" spans="1:21">
      <c r="A533" s="11"/>
      <c r="B533" s="11"/>
      <c r="C533" s="90"/>
      <c r="N533" s="136"/>
      <c r="O533" s="136"/>
      <c r="P533" s="136"/>
      <c r="Q533" s="136"/>
      <c r="R533" s="136"/>
      <c r="S533" s="136"/>
      <c r="T533" s="136"/>
      <c r="U533" s="136"/>
    </row>
    <row r="534" spans="1:21">
      <c r="A534" s="11"/>
      <c r="B534" s="11"/>
      <c r="C534" s="90"/>
      <c r="N534" s="136"/>
      <c r="O534" s="136"/>
      <c r="P534" s="136"/>
      <c r="Q534" s="136"/>
      <c r="R534" s="136"/>
      <c r="S534" s="136"/>
      <c r="T534" s="136"/>
      <c r="U534" s="136"/>
    </row>
    <row r="535" spans="1:21">
      <c r="A535" s="11"/>
      <c r="B535" s="11"/>
      <c r="C535" s="90"/>
      <c r="N535" s="136"/>
      <c r="O535" s="136"/>
      <c r="P535" s="136"/>
      <c r="Q535" s="136"/>
      <c r="R535" s="136"/>
      <c r="S535" s="136"/>
      <c r="T535" s="136"/>
      <c r="U535" s="136"/>
    </row>
    <row r="536" spans="1:21">
      <c r="A536" s="11"/>
      <c r="B536" s="11"/>
      <c r="C536" s="90"/>
      <c r="N536" s="136"/>
      <c r="O536" s="136"/>
      <c r="P536" s="136"/>
      <c r="Q536" s="136"/>
      <c r="R536" s="136"/>
      <c r="S536" s="136"/>
      <c r="T536" s="136"/>
      <c r="U536" s="136"/>
    </row>
    <row r="537" spans="1:21">
      <c r="A537" s="11"/>
      <c r="B537" s="11"/>
      <c r="C537" s="90"/>
      <c r="N537" s="136"/>
      <c r="O537" s="136"/>
      <c r="P537" s="136"/>
      <c r="Q537" s="136"/>
      <c r="R537" s="136"/>
      <c r="S537" s="136"/>
      <c r="T537" s="136"/>
      <c r="U537" s="136"/>
    </row>
    <row r="538" spans="1:21">
      <c r="A538" s="11"/>
      <c r="B538" s="11"/>
      <c r="C538" s="90"/>
      <c r="N538" s="136"/>
      <c r="O538" s="136"/>
      <c r="P538" s="136"/>
      <c r="Q538" s="136"/>
      <c r="R538" s="136"/>
      <c r="S538" s="136"/>
      <c r="T538" s="136"/>
      <c r="U538" s="136"/>
    </row>
    <row r="539" spans="1:21">
      <c r="A539" s="11"/>
      <c r="B539" s="11"/>
      <c r="C539" s="90"/>
      <c r="N539" s="136"/>
      <c r="O539" s="136"/>
      <c r="P539" s="136"/>
      <c r="Q539" s="136"/>
      <c r="R539" s="136"/>
      <c r="S539" s="136"/>
      <c r="T539" s="136"/>
      <c r="U539" s="136"/>
    </row>
    <row r="540" spans="1:21">
      <c r="A540" s="11"/>
      <c r="B540" s="11"/>
      <c r="C540" s="90"/>
      <c r="N540" s="136"/>
      <c r="O540" s="136"/>
      <c r="P540" s="136"/>
      <c r="Q540" s="136"/>
      <c r="R540" s="136"/>
      <c r="S540" s="136"/>
      <c r="T540" s="136"/>
      <c r="U540" s="136"/>
    </row>
    <row r="541" spans="1:21">
      <c r="A541" s="11"/>
      <c r="B541" s="11"/>
      <c r="C541" s="90"/>
      <c r="N541" s="136"/>
      <c r="O541" s="136"/>
      <c r="P541" s="136"/>
      <c r="Q541" s="136"/>
      <c r="R541" s="136"/>
      <c r="S541" s="136"/>
      <c r="T541" s="136"/>
      <c r="U541" s="136"/>
    </row>
    <row r="542" spans="1:21">
      <c r="A542" s="11"/>
      <c r="B542" s="11"/>
      <c r="C542" s="90"/>
      <c r="N542" s="136"/>
      <c r="O542" s="136"/>
      <c r="P542" s="136"/>
      <c r="Q542" s="136"/>
      <c r="R542" s="136"/>
      <c r="S542" s="136"/>
      <c r="T542" s="136"/>
      <c r="U542" s="136"/>
    </row>
    <row r="543" spans="1:21">
      <c r="A543" s="11"/>
      <c r="B543" s="11"/>
      <c r="C543" s="90"/>
      <c r="N543" s="136"/>
      <c r="O543" s="136"/>
      <c r="P543" s="136"/>
      <c r="Q543" s="136"/>
      <c r="R543" s="136"/>
      <c r="S543" s="136"/>
      <c r="T543" s="136"/>
      <c r="U543" s="136"/>
    </row>
    <row r="544" spans="1:21">
      <c r="A544" s="11"/>
      <c r="B544" s="11"/>
      <c r="C544" s="90"/>
      <c r="N544" s="136"/>
      <c r="O544" s="136"/>
      <c r="P544" s="136"/>
      <c r="Q544" s="136"/>
      <c r="R544" s="136"/>
      <c r="S544" s="136"/>
      <c r="T544" s="136"/>
      <c r="U544" s="136"/>
    </row>
    <row r="545" spans="1:21">
      <c r="A545" s="11"/>
      <c r="B545" s="11"/>
      <c r="C545" s="90"/>
      <c r="N545" s="136"/>
      <c r="O545" s="136"/>
      <c r="P545" s="136"/>
      <c r="Q545" s="136"/>
      <c r="R545" s="136"/>
      <c r="S545" s="136"/>
      <c r="T545" s="136"/>
      <c r="U545" s="136"/>
    </row>
    <row r="546" spans="1:21">
      <c r="A546" s="11"/>
      <c r="B546" s="11"/>
      <c r="C546" s="90"/>
      <c r="N546" s="136"/>
      <c r="O546" s="136"/>
      <c r="P546" s="136"/>
      <c r="Q546" s="136"/>
      <c r="R546" s="136"/>
      <c r="S546" s="136"/>
      <c r="T546" s="136"/>
      <c r="U546" s="136"/>
    </row>
    <row r="547" spans="1:21">
      <c r="A547" s="11"/>
      <c r="B547" s="11"/>
      <c r="C547" s="90"/>
      <c r="N547" s="136"/>
      <c r="O547" s="136"/>
      <c r="P547" s="136"/>
      <c r="Q547" s="136"/>
      <c r="R547" s="136"/>
      <c r="S547" s="136"/>
      <c r="T547" s="136"/>
      <c r="U547" s="136"/>
    </row>
    <row r="548" spans="1:21">
      <c r="A548" s="11"/>
      <c r="B548" s="11"/>
      <c r="C548" s="90"/>
      <c r="N548" s="136"/>
      <c r="O548" s="136"/>
      <c r="P548" s="136"/>
      <c r="Q548" s="136"/>
      <c r="R548" s="136"/>
      <c r="S548" s="136"/>
      <c r="T548" s="136"/>
      <c r="U548" s="136"/>
    </row>
    <row r="549" spans="1:21">
      <c r="A549" s="11"/>
      <c r="B549" s="11"/>
      <c r="C549" s="90"/>
      <c r="N549" s="136"/>
      <c r="O549" s="136"/>
      <c r="P549" s="136"/>
      <c r="Q549" s="136"/>
      <c r="R549" s="136"/>
      <c r="S549" s="136"/>
      <c r="T549" s="136"/>
      <c r="U549" s="136"/>
    </row>
    <row r="550" spans="1:21">
      <c r="A550" s="11"/>
      <c r="B550" s="11"/>
      <c r="C550" s="90"/>
      <c r="N550" s="136"/>
      <c r="O550" s="136"/>
      <c r="P550" s="136"/>
      <c r="Q550" s="136"/>
      <c r="R550" s="136"/>
      <c r="S550" s="136"/>
      <c r="T550" s="136"/>
      <c r="U550" s="136"/>
    </row>
    <row r="551" spans="1:21">
      <c r="A551" s="11"/>
      <c r="B551" s="11"/>
      <c r="C551" s="90"/>
      <c r="N551" s="136"/>
      <c r="O551" s="136"/>
      <c r="P551" s="136"/>
      <c r="Q551" s="136"/>
      <c r="R551" s="136"/>
      <c r="S551" s="136"/>
      <c r="T551" s="136"/>
      <c r="U551" s="136"/>
    </row>
    <row r="552" spans="1:21">
      <c r="A552" s="11"/>
      <c r="B552" s="11"/>
      <c r="C552" s="90"/>
      <c r="N552" s="136"/>
      <c r="O552" s="136"/>
      <c r="P552" s="136"/>
      <c r="Q552" s="136"/>
      <c r="R552" s="136"/>
      <c r="S552" s="136"/>
      <c r="T552" s="136"/>
      <c r="U552" s="136"/>
    </row>
    <row r="553" spans="1:21">
      <c r="A553" s="11"/>
      <c r="B553" s="11"/>
      <c r="C553" s="90"/>
      <c r="N553" s="136"/>
      <c r="O553" s="136"/>
      <c r="P553" s="136"/>
      <c r="Q553" s="136"/>
      <c r="R553" s="136"/>
      <c r="S553" s="136"/>
      <c r="T553" s="136"/>
      <c r="U553" s="136"/>
    </row>
    <row r="554" spans="1:21">
      <c r="A554" s="11"/>
      <c r="B554" s="11"/>
      <c r="C554" s="90"/>
      <c r="N554" s="136"/>
      <c r="O554" s="136"/>
      <c r="P554" s="136"/>
      <c r="Q554" s="136"/>
      <c r="R554" s="136"/>
      <c r="S554" s="136"/>
      <c r="T554" s="136"/>
      <c r="U554" s="136"/>
    </row>
    <row r="555" spans="1:21">
      <c r="A555" s="11"/>
      <c r="B555" s="11"/>
      <c r="C555" s="90"/>
      <c r="N555" s="136"/>
      <c r="O555" s="136"/>
      <c r="P555" s="136"/>
      <c r="Q555" s="136"/>
      <c r="R555" s="136"/>
      <c r="S555" s="136"/>
      <c r="T555" s="136"/>
      <c r="U555" s="136"/>
    </row>
    <row r="556" spans="1:21">
      <c r="A556" s="11"/>
      <c r="B556" s="11"/>
      <c r="C556" s="90"/>
      <c r="N556" s="136"/>
      <c r="O556" s="136"/>
      <c r="P556" s="136"/>
      <c r="Q556" s="136"/>
      <c r="R556" s="136"/>
      <c r="S556" s="136"/>
      <c r="T556" s="136"/>
      <c r="U556" s="136"/>
    </row>
    <row r="557" spans="1:21">
      <c r="A557" s="11"/>
      <c r="B557" s="11"/>
      <c r="C557" s="90"/>
      <c r="N557" s="136"/>
      <c r="O557" s="136"/>
      <c r="P557" s="136"/>
      <c r="Q557" s="136"/>
      <c r="R557" s="136"/>
      <c r="S557" s="136"/>
      <c r="T557" s="136"/>
      <c r="U557" s="136"/>
    </row>
    <row r="558" spans="1:21">
      <c r="A558" s="11"/>
      <c r="B558" s="11"/>
      <c r="C558" s="90"/>
      <c r="N558" s="136"/>
      <c r="O558" s="136"/>
      <c r="P558" s="136"/>
      <c r="Q558" s="136"/>
      <c r="R558" s="136"/>
      <c r="S558" s="136"/>
      <c r="T558" s="136"/>
      <c r="U558" s="136"/>
    </row>
    <row r="559" spans="1:21">
      <c r="A559" s="11"/>
      <c r="B559" s="11"/>
      <c r="C559" s="90"/>
      <c r="N559" s="136"/>
      <c r="O559" s="136"/>
      <c r="P559" s="136"/>
      <c r="Q559" s="136"/>
      <c r="R559" s="136"/>
      <c r="S559" s="136"/>
      <c r="T559" s="136"/>
      <c r="U559" s="136"/>
    </row>
    <row r="560" spans="1:21">
      <c r="A560" s="11"/>
      <c r="B560" s="11"/>
      <c r="C560" s="90"/>
      <c r="N560" s="136"/>
      <c r="O560" s="136"/>
      <c r="P560" s="136"/>
      <c r="Q560" s="136"/>
      <c r="R560" s="136"/>
      <c r="S560" s="136"/>
      <c r="T560" s="136"/>
      <c r="U560" s="136"/>
    </row>
    <row r="561" spans="1:21">
      <c r="A561" s="11"/>
      <c r="B561" s="11"/>
      <c r="C561" s="90"/>
      <c r="N561" s="136"/>
      <c r="O561" s="136"/>
      <c r="P561" s="136"/>
      <c r="Q561" s="136"/>
      <c r="R561" s="136"/>
      <c r="S561" s="136"/>
      <c r="T561" s="136"/>
      <c r="U561" s="136"/>
    </row>
    <row r="562" spans="1:21">
      <c r="A562" s="11"/>
      <c r="B562" s="11"/>
      <c r="C562" s="90"/>
      <c r="N562" s="136"/>
      <c r="O562" s="136"/>
      <c r="P562" s="136"/>
      <c r="Q562" s="136"/>
      <c r="R562" s="136"/>
      <c r="S562" s="136"/>
      <c r="T562" s="136"/>
      <c r="U562" s="136"/>
    </row>
    <row r="563" spans="1:21">
      <c r="A563" s="11"/>
      <c r="B563" s="11"/>
      <c r="C563" s="90"/>
      <c r="N563" s="136"/>
      <c r="O563" s="136"/>
      <c r="P563" s="136"/>
      <c r="Q563" s="136"/>
      <c r="R563" s="136"/>
      <c r="S563" s="136"/>
      <c r="T563" s="136"/>
      <c r="U563" s="136"/>
    </row>
    <row r="564" spans="1:21">
      <c r="A564" s="11"/>
      <c r="B564" s="11"/>
      <c r="C564" s="90"/>
      <c r="N564" s="136"/>
      <c r="O564" s="136"/>
      <c r="P564" s="136"/>
      <c r="Q564" s="136"/>
      <c r="R564" s="136"/>
      <c r="S564" s="136"/>
      <c r="T564" s="136"/>
      <c r="U564" s="136"/>
    </row>
    <row r="565" spans="1:21">
      <c r="A565" s="11"/>
      <c r="B565" s="11"/>
      <c r="C565" s="90"/>
      <c r="N565" s="136"/>
      <c r="O565" s="136"/>
      <c r="P565" s="136"/>
      <c r="Q565" s="136"/>
      <c r="R565" s="136"/>
      <c r="S565" s="136"/>
      <c r="T565" s="136"/>
      <c r="U565" s="136"/>
    </row>
    <row r="566" spans="1:21">
      <c r="A566" s="11"/>
      <c r="B566" s="11"/>
      <c r="C566" s="90"/>
      <c r="N566" s="136"/>
      <c r="O566" s="136"/>
      <c r="P566" s="136"/>
      <c r="Q566" s="136"/>
      <c r="R566" s="136"/>
      <c r="S566" s="136"/>
      <c r="T566" s="136"/>
      <c r="U566" s="136"/>
    </row>
    <row r="567" spans="1:21">
      <c r="A567" s="11"/>
      <c r="B567" s="11"/>
      <c r="C567" s="90"/>
      <c r="N567" s="136"/>
      <c r="O567" s="136"/>
      <c r="P567" s="136"/>
      <c r="Q567" s="136"/>
      <c r="R567" s="136"/>
      <c r="S567" s="136"/>
      <c r="T567" s="136"/>
      <c r="U567" s="136"/>
    </row>
    <row r="568" spans="1:21">
      <c r="A568" s="11"/>
      <c r="B568" s="11"/>
      <c r="C568" s="90"/>
      <c r="N568" s="136"/>
      <c r="O568" s="136"/>
      <c r="P568" s="136"/>
      <c r="Q568" s="136"/>
      <c r="R568" s="136"/>
      <c r="S568" s="136"/>
      <c r="T568" s="136"/>
      <c r="U568" s="136"/>
    </row>
    <row r="569" spans="1:21">
      <c r="A569" s="11"/>
      <c r="B569" s="11"/>
      <c r="C569" s="90"/>
      <c r="N569" s="136"/>
      <c r="O569" s="136"/>
      <c r="P569" s="136"/>
      <c r="Q569" s="136"/>
      <c r="R569" s="136"/>
      <c r="S569" s="136"/>
      <c r="T569" s="136"/>
      <c r="U569" s="136"/>
    </row>
    <row r="570" spans="1:21">
      <c r="A570" s="11"/>
      <c r="B570" s="11"/>
      <c r="C570" s="90"/>
      <c r="N570" s="136"/>
      <c r="O570" s="136"/>
      <c r="P570" s="136"/>
      <c r="Q570" s="136"/>
      <c r="R570" s="136"/>
      <c r="S570" s="136"/>
      <c r="T570" s="136"/>
      <c r="U570" s="136"/>
    </row>
    <row r="571" spans="1:21">
      <c r="A571" s="11"/>
      <c r="B571" s="11"/>
      <c r="C571" s="90"/>
      <c r="N571" s="136"/>
      <c r="O571" s="136"/>
      <c r="P571" s="136"/>
      <c r="Q571" s="136"/>
      <c r="R571" s="136"/>
      <c r="S571" s="136"/>
      <c r="T571" s="136"/>
      <c r="U571" s="136"/>
    </row>
    <row r="572" spans="1:21">
      <c r="A572" s="11"/>
      <c r="B572" s="11"/>
      <c r="C572" s="90"/>
      <c r="N572" s="136"/>
      <c r="O572" s="136"/>
      <c r="P572" s="136"/>
      <c r="Q572" s="136"/>
      <c r="R572" s="136"/>
      <c r="S572" s="136"/>
      <c r="T572" s="136"/>
      <c r="U572" s="136"/>
    </row>
    <row r="573" spans="1:21">
      <c r="A573" s="11"/>
      <c r="B573" s="11"/>
      <c r="C573" s="90"/>
      <c r="N573" s="136"/>
      <c r="O573" s="136"/>
      <c r="P573" s="136"/>
      <c r="Q573" s="136"/>
      <c r="R573" s="136"/>
      <c r="S573" s="136"/>
      <c r="T573" s="136"/>
      <c r="U573" s="136"/>
    </row>
    <row r="574" spans="1:21">
      <c r="A574" s="11"/>
      <c r="B574" s="11"/>
      <c r="C574" s="90"/>
      <c r="N574" s="136"/>
      <c r="O574" s="136"/>
      <c r="P574" s="136"/>
      <c r="Q574" s="136"/>
      <c r="R574" s="136"/>
      <c r="S574" s="136"/>
      <c r="T574" s="136"/>
      <c r="U574" s="136"/>
    </row>
    <row r="575" spans="1:21">
      <c r="A575" s="11"/>
      <c r="B575" s="11"/>
      <c r="C575" s="90"/>
      <c r="N575" s="136"/>
      <c r="O575" s="136"/>
      <c r="P575" s="136"/>
      <c r="Q575" s="136"/>
      <c r="R575" s="136"/>
      <c r="S575" s="136"/>
      <c r="T575" s="136"/>
      <c r="U575" s="136"/>
    </row>
    <row r="576" spans="1:21">
      <c r="A576" s="11"/>
      <c r="B576" s="11"/>
      <c r="C576" s="90"/>
      <c r="N576" s="136"/>
      <c r="O576" s="136"/>
      <c r="P576" s="136"/>
      <c r="Q576" s="136"/>
      <c r="R576" s="136"/>
      <c r="S576" s="136"/>
      <c r="T576" s="136"/>
      <c r="U576" s="136"/>
    </row>
    <row r="577" spans="1:21">
      <c r="A577" s="11"/>
      <c r="B577" s="11"/>
      <c r="C577" s="90"/>
      <c r="N577" s="136"/>
      <c r="O577" s="136"/>
      <c r="P577" s="136"/>
      <c r="Q577" s="136"/>
      <c r="R577" s="136"/>
      <c r="S577" s="136"/>
      <c r="T577" s="136"/>
      <c r="U577" s="136"/>
    </row>
    <row r="578" spans="1:21">
      <c r="A578" s="11"/>
      <c r="B578" s="11"/>
      <c r="C578" s="90"/>
      <c r="N578" s="136"/>
      <c r="O578" s="136"/>
      <c r="P578" s="136"/>
      <c r="Q578" s="136"/>
      <c r="R578" s="136"/>
      <c r="S578" s="136"/>
      <c r="T578" s="136"/>
      <c r="U578" s="136"/>
    </row>
    <row r="579" spans="1:21">
      <c r="A579" s="11"/>
      <c r="B579" s="11"/>
      <c r="C579" s="90"/>
      <c r="N579" s="136"/>
      <c r="O579" s="136"/>
      <c r="P579" s="136"/>
      <c r="Q579" s="136"/>
      <c r="R579" s="136"/>
      <c r="S579" s="136"/>
      <c r="T579" s="136"/>
      <c r="U579" s="136"/>
    </row>
    <row r="580" spans="1:21">
      <c r="A580" s="11"/>
      <c r="B580" s="11"/>
      <c r="C580" s="90"/>
      <c r="N580" s="136"/>
      <c r="O580" s="136"/>
      <c r="P580" s="136"/>
      <c r="Q580" s="136"/>
      <c r="R580" s="136"/>
      <c r="S580" s="136"/>
      <c r="T580" s="136"/>
      <c r="U580" s="136"/>
    </row>
    <row r="581" spans="1:21">
      <c r="A581" s="11"/>
      <c r="B581" s="11"/>
      <c r="C581" s="90"/>
      <c r="N581" s="136"/>
      <c r="O581" s="136"/>
      <c r="P581" s="136"/>
      <c r="Q581" s="136"/>
      <c r="R581" s="136"/>
      <c r="S581" s="136"/>
      <c r="T581" s="136"/>
      <c r="U581" s="136"/>
    </row>
    <row r="582" spans="1:21">
      <c r="A582" s="11"/>
      <c r="B582" s="11"/>
      <c r="C582" s="90"/>
      <c r="N582" s="136"/>
      <c r="O582" s="136"/>
      <c r="P582" s="136"/>
      <c r="Q582" s="136"/>
      <c r="R582" s="136"/>
      <c r="S582" s="136"/>
      <c r="T582" s="136"/>
      <c r="U582" s="136"/>
    </row>
    <row r="583" spans="1:21">
      <c r="A583" s="11"/>
      <c r="B583" s="11"/>
      <c r="C583" s="90"/>
      <c r="N583" s="136"/>
      <c r="O583" s="136"/>
      <c r="P583" s="136"/>
      <c r="Q583" s="136"/>
      <c r="R583" s="136"/>
      <c r="S583" s="136"/>
      <c r="T583" s="136"/>
      <c r="U583" s="136"/>
    </row>
    <row r="584" spans="1:21">
      <c r="A584" s="11"/>
      <c r="B584" s="11"/>
      <c r="C584" s="90"/>
      <c r="N584" s="136"/>
      <c r="O584" s="136"/>
      <c r="P584" s="136"/>
      <c r="Q584" s="136"/>
      <c r="R584" s="136"/>
      <c r="S584" s="136"/>
      <c r="T584" s="136"/>
      <c r="U584" s="136"/>
    </row>
    <row r="585" spans="1:21">
      <c r="A585" s="11"/>
      <c r="B585" s="11"/>
      <c r="C585" s="90"/>
      <c r="N585" s="136"/>
      <c r="O585" s="136"/>
      <c r="P585" s="136"/>
      <c r="Q585" s="136"/>
      <c r="R585" s="136"/>
      <c r="S585" s="136"/>
      <c r="T585" s="136"/>
      <c r="U585" s="136"/>
    </row>
    <row r="586" spans="1:21">
      <c r="A586" s="11"/>
      <c r="B586" s="11"/>
      <c r="C586" s="90"/>
      <c r="N586" s="136"/>
      <c r="O586" s="136"/>
      <c r="P586" s="136"/>
      <c r="Q586" s="136"/>
      <c r="R586" s="136"/>
      <c r="S586" s="136"/>
      <c r="T586" s="136"/>
      <c r="U586" s="136"/>
    </row>
    <row r="587" spans="1:21">
      <c r="A587" s="11"/>
      <c r="B587" s="11"/>
      <c r="C587" s="90"/>
      <c r="N587" s="136"/>
      <c r="O587" s="136"/>
      <c r="P587" s="136"/>
      <c r="Q587" s="136"/>
      <c r="R587" s="136"/>
      <c r="S587" s="136"/>
      <c r="T587" s="136"/>
      <c r="U587" s="136"/>
    </row>
    <row r="588" spans="1:21">
      <c r="A588" s="11"/>
      <c r="B588" s="11"/>
      <c r="C588" s="90"/>
      <c r="N588" s="136"/>
      <c r="O588" s="136"/>
      <c r="P588" s="136"/>
      <c r="Q588" s="136"/>
      <c r="R588" s="136"/>
      <c r="S588" s="136"/>
      <c r="T588" s="136"/>
      <c r="U588" s="136"/>
    </row>
    <row r="589" spans="1:21">
      <c r="A589" s="11"/>
      <c r="B589" s="11"/>
      <c r="C589" s="90"/>
      <c r="N589" s="136"/>
      <c r="O589" s="136"/>
      <c r="P589" s="136"/>
      <c r="Q589" s="136"/>
      <c r="R589" s="136"/>
      <c r="S589" s="136"/>
      <c r="T589" s="136"/>
      <c r="U589" s="136"/>
    </row>
    <row r="590" spans="1:21">
      <c r="A590" s="11"/>
      <c r="B590" s="11"/>
      <c r="C590" s="90"/>
      <c r="N590" s="136"/>
      <c r="O590" s="136"/>
      <c r="P590" s="136"/>
      <c r="Q590" s="136"/>
      <c r="R590" s="136"/>
      <c r="S590" s="136"/>
      <c r="T590" s="136"/>
      <c r="U590" s="136"/>
    </row>
    <row r="591" spans="1:21">
      <c r="A591" s="11"/>
      <c r="B591" s="11"/>
      <c r="C591" s="90"/>
      <c r="N591" s="136"/>
      <c r="O591" s="136"/>
      <c r="P591" s="136"/>
      <c r="Q591" s="136"/>
      <c r="R591" s="136"/>
      <c r="S591" s="136"/>
      <c r="T591" s="136"/>
      <c r="U591" s="136"/>
    </row>
    <row r="592" spans="1:21">
      <c r="A592" s="11"/>
      <c r="B592" s="11"/>
      <c r="C592" s="90"/>
      <c r="N592" s="136"/>
      <c r="O592" s="136"/>
      <c r="P592" s="136"/>
      <c r="Q592" s="136"/>
      <c r="R592" s="136"/>
      <c r="S592" s="136"/>
      <c r="T592" s="136"/>
      <c r="U592" s="136"/>
    </row>
    <row r="593" spans="1:21">
      <c r="A593" s="11"/>
      <c r="B593" s="11"/>
      <c r="C593" s="90"/>
      <c r="N593" s="136"/>
      <c r="O593" s="136"/>
      <c r="P593" s="136"/>
      <c r="Q593" s="136"/>
      <c r="R593" s="136"/>
      <c r="S593" s="136"/>
      <c r="T593" s="136"/>
      <c r="U593" s="136"/>
    </row>
    <row r="594" spans="1:21">
      <c r="A594" s="11"/>
      <c r="B594" s="11"/>
      <c r="C594" s="90"/>
      <c r="N594" s="136"/>
      <c r="O594" s="136"/>
      <c r="P594" s="136"/>
      <c r="Q594" s="136"/>
      <c r="R594" s="136"/>
      <c r="S594" s="136"/>
      <c r="T594" s="136"/>
      <c r="U594" s="136"/>
    </row>
    <row r="595" spans="1:21">
      <c r="A595" s="11"/>
      <c r="B595" s="11"/>
      <c r="C595" s="90"/>
      <c r="N595" s="136"/>
      <c r="O595" s="136"/>
      <c r="P595" s="136"/>
      <c r="Q595" s="136"/>
      <c r="R595" s="136"/>
      <c r="S595" s="136"/>
      <c r="T595" s="136"/>
      <c r="U595" s="136"/>
    </row>
    <row r="596" spans="1:21">
      <c r="A596" s="11"/>
      <c r="B596" s="11"/>
      <c r="C596" s="90"/>
      <c r="N596" s="136"/>
      <c r="O596" s="136"/>
      <c r="P596" s="136"/>
      <c r="Q596" s="136"/>
      <c r="R596" s="136"/>
      <c r="S596" s="136"/>
      <c r="T596" s="136"/>
      <c r="U596" s="136"/>
    </row>
    <row r="597" spans="1:21">
      <c r="A597" s="11"/>
      <c r="B597" s="11"/>
      <c r="C597" s="90"/>
      <c r="N597" s="136"/>
      <c r="O597" s="136"/>
      <c r="P597" s="136"/>
      <c r="Q597" s="136"/>
      <c r="R597" s="136"/>
      <c r="S597" s="136"/>
      <c r="T597" s="136"/>
      <c r="U597" s="136"/>
    </row>
    <row r="598" spans="1:21">
      <c r="A598" s="11"/>
      <c r="B598" s="11"/>
      <c r="C598" s="90"/>
      <c r="N598" s="136"/>
      <c r="O598" s="136"/>
      <c r="P598" s="136"/>
      <c r="Q598" s="136"/>
      <c r="R598" s="136"/>
      <c r="S598" s="136"/>
      <c r="T598" s="136"/>
      <c r="U598" s="136"/>
    </row>
    <row r="599" spans="1:21">
      <c r="A599" s="11"/>
      <c r="B599" s="11"/>
      <c r="C599" s="90"/>
      <c r="N599" s="136"/>
      <c r="O599" s="136"/>
      <c r="P599" s="136"/>
      <c r="Q599" s="136"/>
      <c r="R599" s="136"/>
      <c r="S599" s="136"/>
      <c r="T599" s="136"/>
      <c r="U599" s="136"/>
    </row>
    <row r="600" spans="1:21">
      <c r="A600" s="11"/>
      <c r="B600" s="11"/>
      <c r="C600" s="90"/>
      <c r="N600" s="136"/>
      <c r="O600" s="136"/>
      <c r="P600" s="136"/>
      <c r="Q600" s="136"/>
      <c r="R600" s="136"/>
      <c r="S600" s="136"/>
      <c r="T600" s="136"/>
      <c r="U600" s="136"/>
    </row>
    <row r="601" spans="1:21">
      <c r="A601" s="11"/>
      <c r="B601" s="11"/>
      <c r="C601" s="90"/>
      <c r="N601" s="136"/>
      <c r="O601" s="136"/>
      <c r="P601" s="136"/>
      <c r="Q601" s="136"/>
      <c r="R601" s="136"/>
      <c r="S601" s="136"/>
      <c r="T601" s="136"/>
      <c r="U601" s="136"/>
    </row>
    <row r="602" spans="1:21">
      <c r="A602" s="11"/>
      <c r="B602" s="11"/>
      <c r="C602" s="90"/>
      <c r="N602" s="136"/>
      <c r="O602" s="136"/>
      <c r="P602" s="136"/>
      <c r="Q602" s="136"/>
      <c r="R602" s="136"/>
      <c r="S602" s="136"/>
      <c r="T602" s="136"/>
      <c r="U602" s="136"/>
    </row>
    <row r="603" spans="1:21">
      <c r="A603" s="11"/>
      <c r="B603" s="11"/>
      <c r="C603" s="90"/>
      <c r="N603" s="136"/>
      <c r="O603" s="136"/>
      <c r="P603" s="136"/>
      <c r="Q603" s="136"/>
      <c r="R603" s="136"/>
      <c r="S603" s="136"/>
      <c r="T603" s="136"/>
      <c r="U603" s="136"/>
    </row>
    <row r="604" spans="1:21">
      <c r="A604" s="11"/>
      <c r="B604" s="11"/>
      <c r="C604" s="90"/>
      <c r="N604" s="136"/>
      <c r="O604" s="136"/>
      <c r="P604" s="136"/>
      <c r="Q604" s="136"/>
      <c r="R604" s="136"/>
      <c r="S604" s="136"/>
      <c r="T604" s="136"/>
      <c r="U604" s="136"/>
    </row>
    <row r="605" spans="1:21">
      <c r="A605" s="11"/>
      <c r="B605" s="11"/>
      <c r="C605" s="90"/>
      <c r="N605" s="136"/>
      <c r="O605" s="136"/>
      <c r="P605" s="136"/>
      <c r="Q605" s="136"/>
      <c r="R605" s="136"/>
      <c r="S605" s="136"/>
      <c r="T605" s="136"/>
      <c r="U605" s="136"/>
    </row>
    <row r="606" spans="1:21">
      <c r="A606" s="11"/>
      <c r="B606" s="11"/>
      <c r="C606" s="90"/>
      <c r="N606" s="136"/>
      <c r="O606" s="136"/>
      <c r="P606" s="136"/>
      <c r="Q606" s="136"/>
      <c r="R606" s="136"/>
      <c r="S606" s="136"/>
      <c r="T606" s="136"/>
      <c r="U606" s="136"/>
    </row>
    <row r="607" spans="1:21">
      <c r="A607" s="11"/>
      <c r="B607" s="11"/>
      <c r="C607" s="90"/>
      <c r="N607" s="136"/>
      <c r="O607" s="136"/>
      <c r="P607" s="136"/>
      <c r="Q607" s="136"/>
      <c r="R607" s="136"/>
      <c r="S607" s="136"/>
      <c r="T607" s="136"/>
      <c r="U607" s="136"/>
    </row>
    <row r="608" spans="1:21">
      <c r="A608" s="11"/>
      <c r="B608" s="11"/>
      <c r="C608" s="90"/>
      <c r="N608" s="136"/>
      <c r="O608" s="136"/>
      <c r="P608" s="136"/>
      <c r="Q608" s="136"/>
      <c r="R608" s="136"/>
      <c r="S608" s="136"/>
      <c r="T608" s="136"/>
      <c r="U608" s="136"/>
    </row>
    <row r="609" spans="1:21">
      <c r="A609" s="11"/>
      <c r="B609" s="11"/>
      <c r="C609" s="90"/>
      <c r="N609" s="136"/>
      <c r="O609" s="136"/>
      <c r="P609" s="136"/>
      <c r="Q609" s="136"/>
      <c r="R609" s="136"/>
      <c r="S609" s="136"/>
      <c r="T609" s="136"/>
      <c r="U609" s="136"/>
    </row>
    <row r="610" spans="1:21">
      <c r="A610" s="11"/>
      <c r="B610" s="11"/>
      <c r="C610" s="90"/>
      <c r="N610" s="136"/>
      <c r="O610" s="136"/>
      <c r="P610" s="136"/>
      <c r="Q610" s="136"/>
      <c r="R610" s="136"/>
      <c r="S610" s="136"/>
      <c r="T610" s="136"/>
      <c r="U610" s="136"/>
    </row>
    <row r="611" spans="1:21">
      <c r="A611" s="11"/>
      <c r="B611" s="11"/>
      <c r="C611" s="90"/>
      <c r="N611" s="136"/>
      <c r="O611" s="136"/>
      <c r="P611" s="136"/>
      <c r="Q611" s="136"/>
      <c r="R611" s="136"/>
      <c r="S611" s="136"/>
      <c r="T611" s="136"/>
      <c r="U611" s="136"/>
    </row>
    <row r="612" spans="1:21">
      <c r="A612" s="11"/>
      <c r="B612" s="11"/>
      <c r="C612" s="90"/>
      <c r="N612" s="136"/>
      <c r="O612" s="136"/>
      <c r="P612" s="136"/>
      <c r="Q612" s="136"/>
      <c r="R612" s="136"/>
      <c r="S612" s="136"/>
      <c r="T612" s="136"/>
      <c r="U612" s="136"/>
    </row>
    <row r="613" spans="1:21">
      <c r="A613" s="11"/>
      <c r="B613" s="11"/>
      <c r="C613" s="90"/>
      <c r="N613" s="136"/>
      <c r="O613" s="136"/>
      <c r="P613" s="136"/>
      <c r="Q613" s="136"/>
      <c r="R613" s="136"/>
      <c r="S613" s="136"/>
      <c r="T613" s="136"/>
      <c r="U613" s="136"/>
    </row>
    <row r="614" spans="1:21">
      <c r="A614" s="11"/>
      <c r="B614" s="11"/>
      <c r="C614" s="90"/>
      <c r="N614" s="136"/>
      <c r="O614" s="136"/>
      <c r="P614" s="136"/>
      <c r="Q614" s="136"/>
      <c r="R614" s="136"/>
      <c r="S614" s="136"/>
      <c r="T614" s="136"/>
      <c r="U614" s="136"/>
    </row>
    <row r="615" spans="1:21">
      <c r="A615" s="11"/>
      <c r="B615" s="11"/>
      <c r="C615" s="90"/>
      <c r="N615" s="136"/>
      <c r="O615" s="136"/>
      <c r="P615" s="136"/>
      <c r="Q615" s="136"/>
      <c r="R615" s="136"/>
      <c r="S615" s="136"/>
      <c r="T615" s="136"/>
      <c r="U615" s="136"/>
    </row>
    <row r="616" spans="1:21">
      <c r="A616" s="11"/>
      <c r="B616" s="11"/>
      <c r="C616" s="90"/>
      <c r="N616" s="136"/>
      <c r="O616" s="136"/>
      <c r="P616" s="136"/>
      <c r="Q616" s="136"/>
      <c r="R616" s="136"/>
      <c r="S616" s="136"/>
      <c r="T616" s="136"/>
      <c r="U616" s="136"/>
    </row>
    <row r="617" spans="1:21">
      <c r="A617" s="11"/>
      <c r="B617" s="11"/>
      <c r="C617" s="90"/>
      <c r="N617" s="136"/>
      <c r="O617" s="136"/>
      <c r="P617" s="136"/>
      <c r="Q617" s="136"/>
      <c r="R617" s="136"/>
      <c r="S617" s="136"/>
      <c r="T617" s="136"/>
      <c r="U617" s="136"/>
    </row>
    <row r="618" spans="1:21">
      <c r="A618" s="11"/>
      <c r="B618" s="11"/>
      <c r="C618" s="90"/>
      <c r="N618" s="136"/>
      <c r="O618" s="136"/>
      <c r="P618" s="136"/>
      <c r="Q618" s="136"/>
      <c r="R618" s="136"/>
      <c r="S618" s="136"/>
      <c r="T618" s="136"/>
      <c r="U618" s="136"/>
    </row>
    <row r="619" spans="1:21">
      <c r="A619" s="11"/>
      <c r="B619" s="11"/>
      <c r="C619" s="90"/>
      <c r="N619" s="136"/>
      <c r="O619" s="136"/>
      <c r="P619" s="136"/>
      <c r="Q619" s="136"/>
      <c r="R619" s="136"/>
      <c r="S619" s="136"/>
      <c r="T619" s="136"/>
      <c r="U619" s="136"/>
    </row>
    <row r="620" spans="1:21">
      <c r="A620" s="11"/>
      <c r="B620" s="11"/>
      <c r="C620" s="90"/>
      <c r="N620" s="136"/>
      <c r="O620" s="136"/>
      <c r="P620" s="136"/>
      <c r="Q620" s="136"/>
      <c r="R620" s="136"/>
      <c r="S620" s="136"/>
      <c r="T620" s="136"/>
      <c r="U620" s="136"/>
    </row>
    <row r="621" spans="1:21">
      <c r="A621" s="11"/>
      <c r="B621" s="11"/>
      <c r="C621" s="90"/>
      <c r="N621" s="136"/>
      <c r="O621" s="136"/>
      <c r="P621" s="136"/>
      <c r="Q621" s="136"/>
      <c r="R621" s="136"/>
      <c r="S621" s="136"/>
      <c r="T621" s="136"/>
      <c r="U621" s="136"/>
    </row>
    <row r="622" spans="1:21">
      <c r="A622" s="11"/>
      <c r="B622" s="11"/>
      <c r="C622" s="90"/>
      <c r="N622" s="136"/>
      <c r="O622" s="136"/>
      <c r="P622" s="136"/>
      <c r="Q622" s="136"/>
      <c r="R622" s="136"/>
      <c r="S622" s="136"/>
      <c r="T622" s="136"/>
      <c r="U622" s="136"/>
    </row>
    <row r="623" spans="1:21">
      <c r="A623" s="11"/>
      <c r="B623" s="11"/>
      <c r="C623" s="90"/>
      <c r="N623" s="136"/>
      <c r="O623" s="136"/>
      <c r="P623" s="136"/>
      <c r="Q623" s="136"/>
      <c r="R623" s="136"/>
      <c r="S623" s="136"/>
      <c r="T623" s="136"/>
      <c r="U623" s="136"/>
    </row>
    <row r="624" spans="1:21">
      <c r="A624" s="11"/>
      <c r="B624" s="11"/>
      <c r="C624" s="90"/>
      <c r="N624" s="136"/>
      <c r="O624" s="136"/>
      <c r="P624" s="136"/>
      <c r="Q624" s="136"/>
      <c r="R624" s="136"/>
      <c r="S624" s="136"/>
      <c r="T624" s="136"/>
      <c r="U624" s="136"/>
    </row>
    <row r="625" spans="1:21">
      <c r="A625" s="11"/>
      <c r="B625" s="11"/>
      <c r="C625" s="90"/>
      <c r="N625" s="136"/>
      <c r="O625" s="136"/>
      <c r="P625" s="136"/>
      <c r="Q625" s="136"/>
      <c r="R625" s="136"/>
      <c r="S625" s="136"/>
      <c r="T625" s="136"/>
      <c r="U625" s="136"/>
    </row>
    <row r="626" spans="1:21">
      <c r="A626" s="11"/>
      <c r="B626" s="11"/>
      <c r="C626" s="90"/>
      <c r="N626" s="136"/>
      <c r="O626" s="136"/>
      <c r="P626" s="136"/>
      <c r="Q626" s="136"/>
      <c r="R626" s="136"/>
      <c r="S626" s="136"/>
      <c r="T626" s="136"/>
      <c r="U626" s="136"/>
    </row>
    <row r="627" spans="1:21">
      <c r="A627" s="11"/>
      <c r="B627" s="11"/>
      <c r="C627" s="90"/>
      <c r="N627" s="136"/>
      <c r="O627" s="136"/>
      <c r="P627" s="136"/>
      <c r="Q627" s="136"/>
      <c r="R627" s="136"/>
      <c r="S627" s="136"/>
      <c r="T627" s="136"/>
      <c r="U627" s="136"/>
    </row>
    <row r="628" spans="1:21">
      <c r="A628" s="11"/>
      <c r="B628" s="11"/>
      <c r="C628" s="90"/>
      <c r="N628" s="136"/>
      <c r="O628" s="136"/>
      <c r="P628" s="136"/>
      <c r="Q628" s="136"/>
      <c r="R628" s="136"/>
      <c r="S628" s="136"/>
      <c r="T628" s="136"/>
      <c r="U628" s="136"/>
    </row>
    <row r="629" spans="1:21">
      <c r="A629" s="11"/>
      <c r="B629" s="11"/>
      <c r="C629" s="90"/>
      <c r="N629" s="136"/>
      <c r="O629" s="136"/>
      <c r="P629" s="136"/>
      <c r="Q629" s="136"/>
      <c r="R629" s="136"/>
      <c r="S629" s="136"/>
      <c r="T629" s="136"/>
      <c r="U629" s="136"/>
    </row>
    <row r="630" spans="1:21">
      <c r="A630" s="11"/>
      <c r="B630" s="11"/>
      <c r="C630" s="90"/>
      <c r="N630" s="136"/>
      <c r="O630" s="136"/>
      <c r="P630" s="136"/>
      <c r="Q630" s="136"/>
      <c r="R630" s="136"/>
      <c r="S630" s="136"/>
      <c r="T630" s="136"/>
      <c r="U630" s="136"/>
    </row>
    <row r="631" spans="1:21">
      <c r="A631" s="11"/>
      <c r="B631" s="11"/>
      <c r="C631" s="90"/>
      <c r="N631" s="136"/>
      <c r="O631" s="136"/>
      <c r="P631" s="136"/>
      <c r="Q631" s="136"/>
      <c r="R631" s="136"/>
      <c r="S631" s="136"/>
      <c r="T631" s="136"/>
      <c r="U631" s="136"/>
    </row>
    <row r="632" spans="1:21">
      <c r="A632" s="11"/>
      <c r="B632" s="11"/>
      <c r="C632" s="90"/>
      <c r="N632" s="136"/>
      <c r="O632" s="136"/>
      <c r="P632" s="136"/>
      <c r="Q632" s="136"/>
      <c r="R632" s="136"/>
      <c r="S632" s="136"/>
      <c r="T632" s="136"/>
      <c r="U632" s="136"/>
    </row>
    <row r="633" spans="1:21">
      <c r="A633" s="11"/>
      <c r="B633" s="11"/>
      <c r="C633" s="90"/>
      <c r="N633" s="136"/>
      <c r="O633" s="136"/>
      <c r="P633" s="136"/>
      <c r="Q633" s="136"/>
      <c r="R633" s="136"/>
      <c r="S633" s="136"/>
      <c r="T633" s="136"/>
      <c r="U633" s="136"/>
    </row>
    <row r="634" spans="1:21">
      <c r="A634" s="11"/>
      <c r="B634" s="11"/>
      <c r="C634" s="90"/>
      <c r="N634" s="136"/>
      <c r="O634" s="136"/>
      <c r="P634" s="136"/>
      <c r="Q634" s="136"/>
      <c r="R634" s="136"/>
      <c r="S634" s="136"/>
      <c r="T634" s="136"/>
      <c r="U634" s="136"/>
    </row>
    <row r="635" spans="1:21">
      <c r="A635" s="11"/>
      <c r="B635" s="11"/>
      <c r="C635" s="90"/>
      <c r="N635" s="136"/>
      <c r="O635" s="136"/>
      <c r="P635" s="136"/>
      <c r="Q635" s="136"/>
      <c r="R635" s="136"/>
      <c r="S635" s="136"/>
      <c r="T635" s="136"/>
      <c r="U635" s="136"/>
    </row>
    <row r="636" spans="1:21">
      <c r="A636" s="11"/>
      <c r="B636" s="11"/>
      <c r="C636" s="90"/>
      <c r="N636" s="136"/>
      <c r="O636" s="136"/>
      <c r="P636" s="136"/>
      <c r="Q636" s="136"/>
      <c r="R636" s="136"/>
      <c r="S636" s="136"/>
      <c r="T636" s="136"/>
      <c r="U636" s="136"/>
    </row>
    <row r="637" spans="1:21">
      <c r="A637" s="11"/>
      <c r="B637" s="11"/>
      <c r="C637" s="90"/>
      <c r="N637" s="136"/>
      <c r="O637" s="136"/>
      <c r="P637" s="136"/>
      <c r="Q637" s="136"/>
      <c r="R637" s="136"/>
      <c r="S637" s="136"/>
      <c r="T637" s="136"/>
      <c r="U637" s="136"/>
    </row>
    <row r="638" spans="1:21">
      <c r="A638" s="11"/>
      <c r="B638" s="11"/>
      <c r="C638" s="90"/>
      <c r="N638" s="136"/>
      <c r="O638" s="136"/>
      <c r="P638" s="136"/>
      <c r="Q638" s="136"/>
      <c r="R638" s="136"/>
      <c r="S638" s="136"/>
      <c r="T638" s="136"/>
      <c r="U638" s="136"/>
    </row>
    <row r="639" spans="1:21">
      <c r="A639" s="11"/>
      <c r="B639" s="11"/>
      <c r="C639" s="90"/>
      <c r="N639" s="136"/>
      <c r="O639" s="136"/>
      <c r="P639" s="136"/>
      <c r="Q639" s="136"/>
      <c r="R639" s="136"/>
      <c r="S639" s="136"/>
      <c r="T639" s="136"/>
      <c r="U639" s="136"/>
    </row>
    <row r="640" spans="1:21">
      <c r="A640" s="11"/>
      <c r="B640" s="11"/>
      <c r="C640" s="90"/>
      <c r="N640" s="136"/>
      <c r="O640" s="136"/>
      <c r="P640" s="136"/>
      <c r="Q640" s="136"/>
      <c r="R640" s="136"/>
      <c r="S640" s="136"/>
      <c r="T640" s="136"/>
      <c r="U640" s="136"/>
    </row>
    <row r="641" spans="1:21">
      <c r="A641" s="11"/>
      <c r="B641" s="11"/>
      <c r="C641" s="90"/>
      <c r="N641" s="136"/>
      <c r="O641" s="136"/>
      <c r="P641" s="136"/>
      <c r="Q641" s="136"/>
      <c r="R641" s="136"/>
      <c r="S641" s="136"/>
      <c r="T641" s="136"/>
      <c r="U641" s="136"/>
    </row>
    <row r="642" spans="1:21">
      <c r="A642" s="11"/>
      <c r="B642" s="11"/>
      <c r="C642" s="90"/>
      <c r="N642" s="136"/>
      <c r="O642" s="136"/>
      <c r="P642" s="136"/>
      <c r="Q642" s="136"/>
      <c r="R642" s="136"/>
      <c r="S642" s="136"/>
      <c r="T642" s="136"/>
      <c r="U642" s="136"/>
    </row>
    <row r="643" spans="1:21">
      <c r="A643" s="11"/>
      <c r="B643" s="11"/>
      <c r="C643" s="90"/>
      <c r="N643" s="136"/>
      <c r="O643" s="136"/>
      <c r="P643" s="136"/>
      <c r="Q643" s="136"/>
      <c r="R643" s="136"/>
      <c r="S643" s="136"/>
      <c r="T643" s="136"/>
      <c r="U643" s="136"/>
    </row>
    <row r="644" spans="1:21">
      <c r="A644" s="11"/>
      <c r="B644" s="11"/>
      <c r="C644" s="90"/>
      <c r="N644" s="136"/>
      <c r="O644" s="136"/>
      <c r="P644" s="136"/>
      <c r="Q644" s="136"/>
      <c r="R644" s="136"/>
      <c r="S644" s="136"/>
      <c r="T644" s="136"/>
      <c r="U644" s="136"/>
    </row>
    <row r="645" spans="1:21">
      <c r="A645" s="11"/>
      <c r="B645" s="11"/>
      <c r="C645" s="90"/>
      <c r="N645" s="136"/>
      <c r="O645" s="136"/>
      <c r="P645" s="136"/>
      <c r="Q645" s="136"/>
      <c r="R645" s="136"/>
      <c r="S645" s="136"/>
      <c r="T645" s="136"/>
      <c r="U645" s="136"/>
    </row>
    <row r="646" spans="1:21">
      <c r="A646" s="11"/>
      <c r="B646" s="11"/>
      <c r="C646" s="90"/>
      <c r="N646" s="136"/>
      <c r="O646" s="136"/>
      <c r="P646" s="136"/>
      <c r="Q646" s="136"/>
      <c r="R646" s="136"/>
      <c r="S646" s="136"/>
      <c r="T646" s="136"/>
      <c r="U646" s="136"/>
    </row>
    <row r="647" spans="1:21">
      <c r="A647" s="11"/>
      <c r="B647" s="11"/>
      <c r="C647" s="90"/>
      <c r="N647" s="136"/>
      <c r="O647" s="136"/>
      <c r="P647" s="136"/>
      <c r="Q647" s="136"/>
      <c r="R647" s="136"/>
      <c r="S647" s="136"/>
      <c r="T647" s="136"/>
      <c r="U647" s="136"/>
    </row>
    <row r="648" spans="1:21">
      <c r="A648" s="11"/>
      <c r="B648" s="11"/>
      <c r="C648" s="90"/>
      <c r="N648" s="136"/>
      <c r="O648" s="136"/>
      <c r="P648" s="136"/>
      <c r="Q648" s="136"/>
      <c r="R648" s="136"/>
      <c r="S648" s="136"/>
      <c r="T648" s="136"/>
      <c r="U648" s="136"/>
    </row>
    <row r="649" spans="1:21">
      <c r="A649" s="11"/>
      <c r="B649" s="11"/>
      <c r="C649" s="90"/>
      <c r="N649" s="136"/>
      <c r="O649" s="136"/>
      <c r="P649" s="136"/>
      <c r="Q649" s="136"/>
      <c r="R649" s="136"/>
      <c r="S649" s="136"/>
      <c r="T649" s="136"/>
      <c r="U649" s="136"/>
    </row>
    <row r="650" spans="1:21">
      <c r="A650" s="11"/>
      <c r="B650" s="11"/>
      <c r="C650" s="90"/>
      <c r="N650" s="136"/>
      <c r="O650" s="136"/>
      <c r="P650" s="136"/>
      <c r="Q650" s="136"/>
      <c r="R650" s="136"/>
      <c r="S650" s="136"/>
      <c r="T650" s="136"/>
      <c r="U650" s="136"/>
    </row>
    <row r="651" spans="1:21">
      <c r="A651" s="11"/>
      <c r="B651" s="11"/>
      <c r="C651" s="90"/>
      <c r="N651" s="136"/>
      <c r="O651" s="136"/>
      <c r="P651" s="136"/>
      <c r="Q651" s="136"/>
      <c r="R651" s="136"/>
      <c r="S651" s="136"/>
      <c r="T651" s="136"/>
      <c r="U651" s="136"/>
    </row>
    <row r="652" spans="1:21">
      <c r="A652" s="11"/>
      <c r="B652" s="11"/>
      <c r="C652" s="90"/>
      <c r="N652" s="136"/>
      <c r="O652" s="136"/>
      <c r="P652" s="136"/>
      <c r="Q652" s="136"/>
      <c r="R652" s="136"/>
      <c r="S652" s="136"/>
      <c r="T652" s="136"/>
      <c r="U652" s="136"/>
    </row>
    <row r="653" spans="1:21">
      <c r="A653" s="11"/>
      <c r="B653" s="11"/>
      <c r="C653" s="90"/>
      <c r="N653" s="136"/>
      <c r="O653" s="136"/>
      <c r="P653" s="136"/>
      <c r="Q653" s="136"/>
      <c r="R653" s="136"/>
      <c r="S653" s="136"/>
      <c r="T653" s="136"/>
      <c r="U653" s="136"/>
    </row>
    <row r="654" spans="1:21">
      <c r="A654" s="11"/>
      <c r="B654" s="11"/>
      <c r="C654" s="90"/>
      <c r="N654" s="136"/>
      <c r="O654" s="136"/>
      <c r="P654" s="136"/>
      <c r="Q654" s="136"/>
      <c r="R654" s="136"/>
      <c r="S654" s="136"/>
      <c r="T654" s="136"/>
      <c r="U654" s="136"/>
    </row>
    <row r="655" spans="1:21">
      <c r="A655" s="11"/>
      <c r="B655" s="11"/>
      <c r="C655" s="90"/>
      <c r="N655" s="136"/>
      <c r="O655" s="136"/>
      <c r="P655" s="136"/>
      <c r="Q655" s="136"/>
      <c r="R655" s="136"/>
      <c r="S655" s="136"/>
      <c r="T655" s="136"/>
      <c r="U655" s="136"/>
    </row>
    <row r="656" spans="1:21">
      <c r="A656" s="11"/>
      <c r="B656" s="11"/>
      <c r="C656" s="90"/>
      <c r="N656" s="136"/>
      <c r="O656" s="136"/>
      <c r="P656" s="136"/>
      <c r="Q656" s="136"/>
      <c r="R656" s="136"/>
      <c r="S656" s="136"/>
      <c r="T656" s="136"/>
      <c r="U656" s="136"/>
    </row>
    <row r="657" spans="1:21">
      <c r="A657" s="11"/>
      <c r="B657" s="11"/>
      <c r="C657" s="90"/>
      <c r="N657" s="136"/>
      <c r="O657" s="136"/>
      <c r="P657" s="136"/>
      <c r="Q657" s="136"/>
      <c r="R657" s="136"/>
      <c r="S657" s="136"/>
      <c r="T657" s="136"/>
      <c r="U657" s="136"/>
    </row>
    <row r="658" spans="1:21">
      <c r="A658" s="11"/>
      <c r="B658" s="11"/>
      <c r="C658" s="90"/>
      <c r="N658" s="136"/>
      <c r="O658" s="136"/>
      <c r="P658" s="136"/>
      <c r="Q658" s="136"/>
      <c r="R658" s="136"/>
      <c r="S658" s="136"/>
      <c r="T658" s="136"/>
      <c r="U658" s="136"/>
    </row>
    <row r="659" spans="1:21">
      <c r="A659" s="11"/>
      <c r="B659" s="11"/>
      <c r="C659" s="90"/>
      <c r="N659" s="136"/>
      <c r="O659" s="136"/>
      <c r="P659" s="136"/>
      <c r="Q659" s="136"/>
      <c r="R659" s="136"/>
      <c r="S659" s="136"/>
      <c r="T659" s="136"/>
      <c r="U659" s="136"/>
    </row>
    <row r="660" spans="1:21">
      <c r="A660" s="11"/>
      <c r="B660" s="11"/>
      <c r="C660" s="90"/>
      <c r="N660" s="136"/>
      <c r="O660" s="136"/>
      <c r="P660" s="136"/>
      <c r="Q660" s="136"/>
      <c r="R660" s="136"/>
      <c r="S660" s="136"/>
      <c r="T660" s="136"/>
      <c r="U660" s="136"/>
    </row>
    <row r="661" spans="1:21">
      <c r="A661" s="11"/>
      <c r="B661" s="11"/>
      <c r="C661" s="90"/>
      <c r="N661" s="136"/>
      <c r="O661" s="136"/>
      <c r="P661" s="136"/>
      <c r="Q661" s="136"/>
      <c r="R661" s="136"/>
      <c r="S661" s="136"/>
      <c r="T661" s="136"/>
      <c r="U661" s="136"/>
    </row>
    <row r="662" spans="1:21">
      <c r="A662" s="11"/>
      <c r="B662" s="11"/>
      <c r="C662" s="90"/>
      <c r="N662" s="136"/>
      <c r="O662" s="136"/>
      <c r="P662" s="136"/>
      <c r="Q662" s="136"/>
      <c r="R662" s="136"/>
      <c r="S662" s="136"/>
      <c r="T662" s="136"/>
      <c r="U662" s="136"/>
    </row>
    <row r="663" spans="1:21">
      <c r="A663" s="11"/>
      <c r="B663" s="11"/>
      <c r="C663" s="90"/>
      <c r="N663" s="136"/>
      <c r="O663" s="136"/>
      <c r="P663" s="136"/>
      <c r="Q663" s="136"/>
      <c r="R663" s="136"/>
      <c r="S663" s="136"/>
      <c r="T663" s="136"/>
      <c r="U663" s="136"/>
    </row>
    <row r="664" spans="1:21">
      <c r="A664" s="11"/>
      <c r="B664" s="11"/>
      <c r="C664" s="90"/>
      <c r="N664" s="136"/>
      <c r="O664" s="136"/>
      <c r="P664" s="136"/>
      <c r="Q664" s="136"/>
      <c r="R664" s="136"/>
      <c r="S664" s="136"/>
      <c r="T664" s="136"/>
      <c r="U664" s="136"/>
    </row>
    <row r="665" spans="1:21">
      <c r="A665" s="11"/>
      <c r="B665" s="11"/>
      <c r="C665" s="90"/>
      <c r="N665" s="136"/>
      <c r="O665" s="136"/>
      <c r="P665" s="136"/>
      <c r="Q665" s="136"/>
      <c r="R665" s="136"/>
      <c r="S665" s="136"/>
      <c r="T665" s="136"/>
      <c r="U665" s="136"/>
    </row>
    <row r="666" spans="1:21">
      <c r="A666" s="11"/>
      <c r="B666" s="11"/>
      <c r="C666" s="90"/>
      <c r="N666" s="136"/>
      <c r="O666" s="136"/>
      <c r="P666" s="136"/>
      <c r="Q666" s="136"/>
      <c r="R666" s="136"/>
      <c r="S666" s="136"/>
      <c r="T666" s="136"/>
      <c r="U666" s="136"/>
    </row>
    <row r="667" spans="1:21">
      <c r="A667" s="11"/>
      <c r="B667" s="11"/>
      <c r="C667" s="90"/>
      <c r="N667" s="136"/>
      <c r="O667" s="136"/>
      <c r="P667" s="136"/>
      <c r="Q667" s="136"/>
      <c r="R667" s="136"/>
      <c r="S667" s="136"/>
      <c r="T667" s="136"/>
      <c r="U667" s="136"/>
    </row>
    <row r="668" spans="1:21">
      <c r="A668" s="11"/>
      <c r="B668" s="11"/>
      <c r="C668" s="90"/>
      <c r="N668" s="136"/>
      <c r="O668" s="136"/>
      <c r="P668" s="136"/>
      <c r="Q668" s="136"/>
      <c r="R668" s="136"/>
      <c r="S668" s="136"/>
      <c r="T668" s="136"/>
      <c r="U668" s="136"/>
    </row>
    <row r="669" spans="1:21">
      <c r="A669" s="11"/>
      <c r="B669" s="11"/>
      <c r="C669" s="90"/>
      <c r="N669" s="136"/>
      <c r="O669" s="136"/>
      <c r="P669" s="136"/>
      <c r="Q669" s="136"/>
      <c r="R669" s="136"/>
      <c r="S669" s="136"/>
      <c r="T669" s="136"/>
      <c r="U669" s="136"/>
    </row>
    <row r="670" spans="1:21">
      <c r="A670" s="11"/>
      <c r="B670" s="11"/>
      <c r="C670" s="90"/>
      <c r="N670" s="136"/>
      <c r="O670" s="136"/>
      <c r="P670" s="136"/>
      <c r="Q670" s="136"/>
      <c r="R670" s="136"/>
      <c r="S670" s="136"/>
      <c r="T670" s="136"/>
      <c r="U670" s="136"/>
    </row>
    <row r="671" spans="1:21">
      <c r="A671" s="11"/>
      <c r="B671" s="11"/>
      <c r="C671" s="90"/>
      <c r="N671" s="136"/>
      <c r="O671" s="136"/>
      <c r="P671" s="136"/>
      <c r="Q671" s="136"/>
      <c r="R671" s="136"/>
      <c r="S671" s="136"/>
      <c r="T671" s="136"/>
      <c r="U671" s="136"/>
    </row>
    <row r="672" spans="1:21">
      <c r="A672" s="11"/>
      <c r="B672" s="11"/>
      <c r="C672" s="90"/>
      <c r="N672" s="136"/>
      <c r="O672" s="136"/>
      <c r="P672" s="136"/>
      <c r="Q672" s="136"/>
      <c r="R672" s="136"/>
      <c r="S672" s="136"/>
      <c r="T672" s="136"/>
      <c r="U672" s="136"/>
    </row>
    <row r="673" spans="1:21">
      <c r="A673" s="11"/>
      <c r="B673" s="11"/>
      <c r="C673" s="90"/>
      <c r="N673" s="136"/>
      <c r="O673" s="136"/>
      <c r="P673" s="136"/>
      <c r="Q673" s="136"/>
      <c r="R673" s="136"/>
      <c r="S673" s="136"/>
      <c r="T673" s="136"/>
      <c r="U673" s="136"/>
    </row>
    <row r="674" spans="1:21">
      <c r="A674" s="11"/>
      <c r="B674" s="11"/>
      <c r="C674" s="90"/>
      <c r="N674" s="136"/>
      <c r="O674" s="136"/>
      <c r="P674" s="136"/>
      <c r="Q674" s="136"/>
      <c r="R674" s="136"/>
      <c r="S674" s="136"/>
      <c r="T674" s="136"/>
      <c r="U674" s="136"/>
    </row>
    <row r="675" spans="1:21">
      <c r="A675" s="11"/>
      <c r="B675" s="11"/>
      <c r="C675" s="90"/>
      <c r="N675" s="136"/>
      <c r="O675" s="136"/>
      <c r="P675" s="136"/>
      <c r="Q675" s="136"/>
      <c r="R675" s="136"/>
      <c r="S675" s="136"/>
      <c r="T675" s="136"/>
      <c r="U675" s="136"/>
    </row>
    <row r="676" spans="1:21">
      <c r="A676" s="11"/>
      <c r="B676" s="11"/>
      <c r="C676" s="90"/>
      <c r="N676" s="136"/>
      <c r="O676" s="136"/>
      <c r="P676" s="136"/>
      <c r="Q676" s="136"/>
      <c r="R676" s="136"/>
      <c r="S676" s="136"/>
      <c r="T676" s="136"/>
      <c r="U676" s="136"/>
    </row>
    <row r="677" spans="1:21">
      <c r="A677" s="11"/>
      <c r="B677" s="11"/>
      <c r="C677" s="90"/>
      <c r="N677" s="136"/>
      <c r="O677" s="136"/>
      <c r="P677" s="136"/>
      <c r="Q677" s="136"/>
      <c r="R677" s="136"/>
      <c r="S677" s="136"/>
      <c r="T677" s="136"/>
      <c r="U677" s="136"/>
    </row>
    <row r="678" spans="1:21">
      <c r="A678" s="11"/>
      <c r="B678" s="11"/>
      <c r="C678" s="90"/>
      <c r="N678" s="136"/>
      <c r="O678" s="136"/>
      <c r="P678" s="136"/>
      <c r="Q678" s="136"/>
      <c r="R678" s="136"/>
      <c r="S678" s="136"/>
      <c r="T678" s="136"/>
      <c r="U678" s="136"/>
    </row>
    <row r="679" spans="1:21">
      <c r="A679" s="11"/>
      <c r="B679" s="11"/>
      <c r="C679" s="90"/>
      <c r="N679" s="136"/>
      <c r="O679" s="136"/>
      <c r="P679" s="136"/>
      <c r="Q679" s="136"/>
      <c r="R679" s="136"/>
      <c r="S679" s="136"/>
      <c r="T679" s="136"/>
      <c r="U679" s="136"/>
    </row>
    <row r="680" spans="1:21">
      <c r="A680" s="11"/>
      <c r="B680" s="11"/>
      <c r="C680" s="90"/>
      <c r="N680" s="136"/>
      <c r="O680" s="136"/>
      <c r="P680" s="136"/>
      <c r="Q680" s="136"/>
      <c r="R680" s="136"/>
      <c r="S680" s="136"/>
      <c r="T680" s="136"/>
      <c r="U680" s="136"/>
    </row>
    <row r="681" spans="1:21">
      <c r="A681" s="11"/>
      <c r="B681" s="11"/>
      <c r="C681" s="90"/>
      <c r="N681" s="136"/>
      <c r="O681" s="136"/>
      <c r="P681" s="136"/>
      <c r="Q681" s="136"/>
      <c r="R681" s="136"/>
      <c r="S681" s="136"/>
      <c r="T681" s="136"/>
      <c r="U681" s="136"/>
    </row>
    <row r="682" spans="1:21">
      <c r="A682" s="11"/>
      <c r="B682" s="11"/>
      <c r="C682" s="90"/>
      <c r="N682" s="136"/>
      <c r="O682" s="136"/>
      <c r="P682" s="136"/>
      <c r="Q682" s="136"/>
      <c r="R682" s="136"/>
      <c r="S682" s="136"/>
      <c r="T682" s="136"/>
      <c r="U682" s="136"/>
    </row>
    <row r="683" spans="1:21">
      <c r="A683" s="11"/>
      <c r="B683" s="11"/>
      <c r="C683" s="90"/>
      <c r="N683" s="136"/>
      <c r="O683" s="136"/>
      <c r="P683" s="136"/>
      <c r="Q683" s="136"/>
      <c r="R683" s="136"/>
      <c r="S683" s="136"/>
      <c r="T683" s="136"/>
      <c r="U683" s="136"/>
    </row>
    <row r="684" spans="1:21">
      <c r="A684" s="11"/>
      <c r="B684" s="11"/>
      <c r="C684" s="90"/>
      <c r="N684" s="136"/>
      <c r="O684" s="136"/>
      <c r="P684" s="136"/>
      <c r="Q684" s="136"/>
      <c r="R684" s="136"/>
      <c r="S684" s="136"/>
      <c r="T684" s="136"/>
      <c r="U684" s="136"/>
    </row>
    <row r="685" spans="1:21">
      <c r="A685" s="11"/>
      <c r="B685" s="11"/>
      <c r="C685" s="90"/>
      <c r="N685" s="136"/>
      <c r="O685" s="136"/>
      <c r="P685" s="136"/>
      <c r="Q685" s="136"/>
      <c r="R685" s="136"/>
      <c r="S685" s="136"/>
      <c r="T685" s="136"/>
      <c r="U685" s="136"/>
    </row>
    <row r="686" spans="1:21">
      <c r="A686" s="11"/>
      <c r="B686" s="11"/>
      <c r="C686" s="90"/>
      <c r="N686" s="136"/>
      <c r="O686" s="136"/>
      <c r="P686" s="136"/>
      <c r="Q686" s="136"/>
      <c r="R686" s="136"/>
      <c r="S686" s="136"/>
      <c r="T686" s="136"/>
      <c r="U686" s="136"/>
    </row>
    <row r="687" spans="1:21">
      <c r="A687" s="11"/>
      <c r="B687" s="11"/>
      <c r="C687" s="90"/>
      <c r="N687" s="136"/>
      <c r="O687" s="136"/>
      <c r="P687" s="136"/>
      <c r="Q687" s="136"/>
      <c r="R687" s="136"/>
      <c r="S687" s="136"/>
      <c r="T687" s="136"/>
      <c r="U687" s="136"/>
    </row>
    <row r="688" spans="1:21">
      <c r="A688" s="11"/>
      <c r="B688" s="11"/>
      <c r="C688" s="90"/>
      <c r="N688" s="136"/>
      <c r="O688" s="136"/>
      <c r="P688" s="136"/>
      <c r="Q688" s="136"/>
      <c r="R688" s="136"/>
      <c r="S688" s="136"/>
      <c r="T688" s="136"/>
      <c r="U688" s="136"/>
    </row>
    <row r="689" spans="1:21">
      <c r="A689" s="11"/>
      <c r="B689" s="11"/>
      <c r="C689" s="90"/>
      <c r="N689" s="136"/>
      <c r="O689" s="136"/>
      <c r="P689" s="136"/>
      <c r="Q689" s="136"/>
      <c r="R689" s="136"/>
      <c r="S689" s="136"/>
      <c r="T689" s="136"/>
      <c r="U689" s="136"/>
    </row>
    <row r="690" spans="1:21">
      <c r="A690" s="11"/>
      <c r="B690" s="11"/>
      <c r="C690" s="90"/>
      <c r="N690" s="136"/>
      <c r="O690" s="136"/>
      <c r="P690" s="136"/>
      <c r="Q690" s="136"/>
      <c r="R690" s="136"/>
      <c r="S690" s="136"/>
      <c r="T690" s="136"/>
      <c r="U690" s="136"/>
    </row>
    <row r="691" spans="1:21">
      <c r="A691" s="11"/>
      <c r="B691" s="11"/>
      <c r="C691" s="90"/>
      <c r="N691" s="136"/>
      <c r="O691" s="136"/>
      <c r="P691" s="136"/>
      <c r="Q691" s="136"/>
      <c r="R691" s="136"/>
      <c r="S691" s="136"/>
      <c r="T691" s="136"/>
      <c r="U691" s="136"/>
    </row>
    <row r="692" spans="1:21">
      <c r="A692" s="11"/>
      <c r="B692" s="11"/>
      <c r="C692" s="90"/>
      <c r="N692" s="136"/>
      <c r="O692" s="136"/>
      <c r="P692" s="136"/>
      <c r="Q692" s="136"/>
      <c r="R692" s="136"/>
      <c r="S692" s="136"/>
      <c r="T692" s="136"/>
      <c r="U692" s="136"/>
    </row>
    <row r="693" spans="1:21">
      <c r="A693" s="11"/>
      <c r="B693" s="11"/>
      <c r="C693" s="90"/>
      <c r="N693" s="136"/>
      <c r="O693" s="136"/>
      <c r="P693" s="136"/>
      <c r="Q693" s="136"/>
      <c r="R693" s="136"/>
      <c r="S693" s="136"/>
      <c r="T693" s="136"/>
      <c r="U693" s="136"/>
    </row>
    <row r="694" spans="1:21">
      <c r="A694" s="11"/>
      <c r="B694" s="11"/>
      <c r="C694" s="90"/>
      <c r="N694" s="136"/>
      <c r="O694" s="136"/>
      <c r="P694" s="136"/>
      <c r="Q694" s="136"/>
      <c r="R694" s="136"/>
      <c r="S694" s="136"/>
      <c r="T694" s="136"/>
      <c r="U694" s="136"/>
    </row>
    <row r="695" spans="1:21">
      <c r="A695" s="11"/>
      <c r="B695" s="11"/>
      <c r="C695" s="90"/>
      <c r="N695" s="136"/>
      <c r="O695" s="136"/>
      <c r="P695" s="136"/>
      <c r="Q695" s="136"/>
      <c r="R695" s="136"/>
      <c r="S695" s="136"/>
      <c r="T695" s="136"/>
      <c r="U695" s="136"/>
    </row>
    <row r="696" spans="1:21">
      <c r="A696" s="11"/>
      <c r="B696" s="11"/>
      <c r="C696" s="90"/>
      <c r="N696" s="136"/>
      <c r="O696" s="136"/>
      <c r="P696" s="136"/>
      <c r="Q696" s="136"/>
      <c r="R696" s="136"/>
      <c r="S696" s="136"/>
      <c r="T696" s="136"/>
      <c r="U696" s="136"/>
    </row>
    <row r="697" spans="1:21">
      <c r="A697" s="11"/>
      <c r="B697" s="11"/>
      <c r="C697" s="90"/>
      <c r="N697" s="136"/>
      <c r="O697" s="136"/>
      <c r="P697" s="136"/>
      <c r="Q697" s="136"/>
      <c r="R697" s="136"/>
      <c r="S697" s="136"/>
      <c r="T697" s="136"/>
      <c r="U697" s="136"/>
    </row>
    <row r="698" spans="1:21">
      <c r="A698" s="11"/>
      <c r="B698" s="11"/>
      <c r="C698" s="90"/>
      <c r="N698" s="136"/>
      <c r="O698" s="136"/>
      <c r="P698" s="136"/>
      <c r="Q698" s="136"/>
      <c r="R698" s="136"/>
      <c r="S698" s="136"/>
      <c r="T698" s="136"/>
      <c r="U698" s="136"/>
    </row>
    <row r="699" spans="1:21">
      <c r="A699" s="11"/>
      <c r="B699" s="11"/>
      <c r="C699" s="90"/>
      <c r="N699" s="136"/>
      <c r="O699" s="136"/>
      <c r="P699" s="136"/>
      <c r="Q699" s="136"/>
      <c r="R699" s="136"/>
      <c r="S699" s="136"/>
      <c r="T699" s="136"/>
      <c r="U699" s="136"/>
    </row>
    <row r="700" spans="1:21">
      <c r="A700" s="11"/>
      <c r="B700" s="11"/>
      <c r="C700" s="90"/>
      <c r="N700" s="136"/>
      <c r="O700" s="136"/>
      <c r="P700" s="136"/>
      <c r="Q700" s="136"/>
      <c r="R700" s="136"/>
      <c r="S700" s="136"/>
      <c r="T700" s="136"/>
      <c r="U700" s="136"/>
    </row>
    <row r="701" spans="1:21">
      <c r="A701" s="11"/>
      <c r="B701" s="11"/>
      <c r="C701" s="90"/>
      <c r="N701" s="136"/>
      <c r="O701" s="136"/>
      <c r="P701" s="136"/>
      <c r="Q701" s="136"/>
      <c r="R701" s="136"/>
      <c r="S701" s="136"/>
      <c r="T701" s="136"/>
      <c r="U701" s="136"/>
    </row>
    <row r="702" spans="1:21">
      <c r="A702" s="11"/>
      <c r="B702" s="11"/>
      <c r="C702" s="90"/>
      <c r="N702" s="136"/>
      <c r="O702" s="136"/>
      <c r="P702" s="136"/>
      <c r="Q702" s="136"/>
      <c r="R702" s="136"/>
      <c r="S702" s="136"/>
      <c r="T702" s="136"/>
      <c r="U702" s="136"/>
    </row>
    <row r="703" spans="1:21">
      <c r="A703" s="11"/>
      <c r="B703" s="11"/>
      <c r="C703" s="90"/>
      <c r="N703" s="136"/>
      <c r="O703" s="136"/>
      <c r="P703" s="136"/>
      <c r="Q703" s="136"/>
      <c r="R703" s="136"/>
      <c r="S703" s="136"/>
      <c r="T703" s="136"/>
      <c r="U703" s="136"/>
    </row>
    <row r="704" spans="1:21">
      <c r="A704" s="11"/>
      <c r="B704" s="11"/>
      <c r="C704" s="90"/>
      <c r="N704" s="136"/>
      <c r="O704" s="136"/>
      <c r="P704" s="136"/>
      <c r="Q704" s="136"/>
      <c r="R704" s="136"/>
      <c r="S704" s="136"/>
      <c r="T704" s="136"/>
      <c r="U704" s="136"/>
    </row>
    <row r="705" spans="1:21">
      <c r="A705" s="11"/>
      <c r="B705" s="11"/>
      <c r="C705" s="90"/>
      <c r="N705" s="136"/>
      <c r="O705" s="136"/>
      <c r="P705" s="136"/>
      <c r="Q705" s="136"/>
      <c r="R705" s="136"/>
      <c r="S705" s="136"/>
      <c r="T705" s="136"/>
      <c r="U705" s="136"/>
    </row>
    <row r="706" spans="1:21">
      <c r="A706" s="11"/>
      <c r="B706" s="11"/>
      <c r="C706" s="90"/>
      <c r="N706" s="136"/>
      <c r="O706" s="136"/>
      <c r="P706" s="136"/>
      <c r="Q706" s="136"/>
      <c r="R706" s="136"/>
      <c r="S706" s="136"/>
      <c r="T706" s="136"/>
      <c r="U706" s="136"/>
    </row>
    <row r="707" spans="1:21">
      <c r="A707" s="11"/>
      <c r="B707" s="11"/>
      <c r="C707" s="90"/>
      <c r="N707" s="136"/>
      <c r="O707" s="136"/>
      <c r="P707" s="136"/>
      <c r="Q707" s="136"/>
      <c r="R707" s="136"/>
      <c r="S707" s="136"/>
      <c r="T707" s="136"/>
      <c r="U707" s="136"/>
    </row>
    <row r="708" spans="1:21">
      <c r="A708" s="11"/>
      <c r="B708" s="11"/>
      <c r="C708" s="90"/>
      <c r="N708" s="136"/>
      <c r="O708" s="136"/>
      <c r="P708" s="136"/>
      <c r="Q708" s="136"/>
      <c r="R708" s="136"/>
      <c r="S708" s="136"/>
      <c r="T708" s="136"/>
      <c r="U708" s="136"/>
    </row>
    <row r="709" spans="1:21">
      <c r="A709" s="11"/>
      <c r="B709" s="11"/>
      <c r="C709" s="90"/>
      <c r="N709" s="136"/>
      <c r="O709" s="136"/>
      <c r="P709" s="136"/>
      <c r="Q709" s="136"/>
      <c r="R709" s="136"/>
      <c r="S709" s="136"/>
      <c r="T709" s="136"/>
      <c r="U709" s="136"/>
    </row>
    <row r="710" spans="1:21">
      <c r="A710" s="11"/>
      <c r="B710" s="11"/>
      <c r="C710" s="90"/>
      <c r="N710" s="136"/>
      <c r="O710" s="136"/>
      <c r="P710" s="136"/>
      <c r="Q710" s="136"/>
      <c r="R710" s="136"/>
      <c r="S710" s="136"/>
      <c r="T710" s="136"/>
      <c r="U710" s="136"/>
    </row>
    <row r="711" spans="1:21">
      <c r="A711" s="11"/>
      <c r="B711" s="11"/>
      <c r="C711" s="90"/>
      <c r="N711" s="136"/>
      <c r="O711" s="136"/>
      <c r="P711" s="136"/>
      <c r="Q711" s="136"/>
      <c r="R711" s="136"/>
      <c r="S711" s="136"/>
      <c r="T711" s="136"/>
      <c r="U711" s="136"/>
    </row>
    <row r="712" spans="1:21">
      <c r="A712" s="11"/>
      <c r="B712" s="11"/>
      <c r="C712" s="90"/>
      <c r="N712" s="136"/>
      <c r="O712" s="136"/>
      <c r="P712" s="136"/>
      <c r="Q712" s="136"/>
      <c r="R712" s="136"/>
      <c r="S712" s="136"/>
      <c r="T712" s="136"/>
      <c r="U712" s="136"/>
    </row>
    <row r="713" spans="1:21">
      <c r="A713" s="11"/>
      <c r="B713" s="11"/>
      <c r="C713" s="90"/>
      <c r="N713" s="136"/>
      <c r="O713" s="136"/>
      <c r="P713" s="136"/>
      <c r="Q713" s="136"/>
      <c r="R713" s="136"/>
      <c r="S713" s="136"/>
      <c r="T713" s="136"/>
      <c r="U713" s="136"/>
    </row>
    <row r="714" spans="1:21">
      <c r="A714" s="11"/>
      <c r="B714" s="11"/>
      <c r="C714" s="90"/>
      <c r="N714" s="136"/>
      <c r="O714" s="136"/>
      <c r="P714" s="136"/>
      <c r="Q714" s="136"/>
      <c r="R714" s="136"/>
      <c r="S714" s="136"/>
      <c r="T714" s="136"/>
      <c r="U714" s="136"/>
    </row>
    <row r="715" spans="1:21">
      <c r="A715" s="11"/>
      <c r="B715" s="11"/>
      <c r="C715" s="90"/>
      <c r="N715" s="136"/>
      <c r="O715" s="136"/>
      <c r="P715" s="136"/>
      <c r="Q715" s="136"/>
      <c r="R715" s="136"/>
      <c r="S715" s="136"/>
      <c r="T715" s="136"/>
      <c r="U715" s="136"/>
    </row>
    <row r="716" spans="1:21">
      <c r="A716" s="11"/>
      <c r="B716" s="11"/>
      <c r="C716" s="90"/>
      <c r="N716" s="136"/>
      <c r="O716" s="136"/>
      <c r="P716" s="136"/>
      <c r="Q716" s="136"/>
      <c r="R716" s="136"/>
      <c r="S716" s="136"/>
      <c r="T716" s="136"/>
      <c r="U716" s="136"/>
    </row>
    <row r="717" spans="1:21">
      <c r="A717" s="11"/>
      <c r="B717" s="11"/>
      <c r="C717" s="90"/>
      <c r="N717" s="136"/>
      <c r="O717" s="136"/>
      <c r="P717" s="136"/>
      <c r="Q717" s="136"/>
      <c r="R717" s="136"/>
      <c r="S717" s="136"/>
      <c r="T717" s="136"/>
      <c r="U717" s="136"/>
    </row>
    <row r="718" spans="1:21">
      <c r="A718" s="11"/>
      <c r="B718" s="11"/>
      <c r="C718" s="90"/>
      <c r="N718" s="136"/>
      <c r="O718" s="136"/>
      <c r="P718" s="136"/>
      <c r="Q718" s="136"/>
      <c r="R718" s="136"/>
      <c r="S718" s="136"/>
      <c r="T718" s="136"/>
      <c r="U718" s="136"/>
    </row>
    <row r="719" spans="1:21">
      <c r="A719" s="11"/>
      <c r="B719" s="11"/>
      <c r="C719" s="90"/>
      <c r="N719" s="136"/>
      <c r="O719" s="136"/>
      <c r="P719" s="136"/>
      <c r="Q719" s="136"/>
      <c r="R719" s="136"/>
      <c r="S719" s="136"/>
      <c r="T719" s="136"/>
      <c r="U719" s="136"/>
    </row>
    <row r="720" spans="1:21">
      <c r="A720" s="11"/>
      <c r="B720" s="11"/>
      <c r="C720" s="90"/>
      <c r="N720" s="136"/>
      <c r="O720" s="136"/>
      <c r="P720" s="136"/>
      <c r="Q720" s="136"/>
      <c r="R720" s="136"/>
      <c r="S720" s="136"/>
      <c r="T720" s="136"/>
      <c r="U720" s="136"/>
    </row>
    <row r="721" spans="1:21">
      <c r="A721" s="11"/>
      <c r="B721" s="11"/>
      <c r="C721" s="90"/>
      <c r="N721" s="136"/>
      <c r="O721" s="136"/>
      <c r="P721" s="136"/>
      <c r="Q721" s="136"/>
      <c r="R721" s="136"/>
      <c r="S721" s="136"/>
      <c r="T721" s="136"/>
      <c r="U721" s="136"/>
    </row>
    <row r="722" spans="1:21">
      <c r="A722" s="11"/>
      <c r="B722" s="11"/>
      <c r="C722" s="90"/>
      <c r="N722" s="136"/>
      <c r="O722" s="136"/>
      <c r="P722" s="136"/>
      <c r="Q722" s="136"/>
      <c r="R722" s="136"/>
      <c r="S722" s="136"/>
      <c r="T722" s="136"/>
      <c r="U722" s="136"/>
    </row>
    <row r="723" spans="1:21">
      <c r="A723" s="11"/>
      <c r="B723" s="11"/>
      <c r="C723" s="90"/>
      <c r="N723" s="136"/>
      <c r="O723" s="136"/>
      <c r="P723" s="136"/>
      <c r="Q723" s="136"/>
      <c r="R723" s="136"/>
      <c r="S723" s="136"/>
      <c r="T723" s="136"/>
      <c r="U723" s="136"/>
    </row>
    <row r="724" spans="1:21">
      <c r="A724" s="11"/>
      <c r="B724" s="11"/>
      <c r="C724" s="90"/>
      <c r="N724" s="136"/>
      <c r="O724" s="136"/>
      <c r="P724" s="136"/>
      <c r="Q724" s="136"/>
      <c r="R724" s="136"/>
      <c r="S724" s="136"/>
      <c r="T724" s="136"/>
      <c r="U724" s="136"/>
    </row>
    <row r="725" spans="1:21">
      <c r="A725" s="11"/>
      <c r="B725" s="11"/>
      <c r="C725" s="90"/>
      <c r="N725" s="136"/>
      <c r="O725" s="136"/>
      <c r="P725" s="136"/>
      <c r="Q725" s="136"/>
      <c r="R725" s="136"/>
      <c r="S725" s="136"/>
      <c r="T725" s="136"/>
      <c r="U725" s="136"/>
    </row>
    <row r="726" spans="1:21">
      <c r="A726" s="11"/>
      <c r="B726" s="11"/>
      <c r="C726" s="90"/>
      <c r="N726" s="136"/>
      <c r="O726" s="136"/>
      <c r="P726" s="136"/>
      <c r="Q726" s="136"/>
      <c r="R726" s="136"/>
      <c r="S726" s="136"/>
      <c r="T726" s="136"/>
      <c r="U726" s="136"/>
    </row>
    <row r="727" spans="1:21">
      <c r="A727" s="11"/>
      <c r="B727" s="11"/>
      <c r="C727" s="90"/>
      <c r="N727" s="136"/>
      <c r="O727" s="136"/>
      <c r="P727" s="136"/>
      <c r="Q727" s="136"/>
      <c r="R727" s="136"/>
      <c r="S727" s="136"/>
      <c r="T727" s="136"/>
      <c r="U727" s="136"/>
    </row>
    <row r="728" spans="1:21">
      <c r="A728" s="11"/>
      <c r="B728" s="11"/>
      <c r="C728" s="90"/>
      <c r="N728" s="136"/>
      <c r="O728" s="136"/>
      <c r="P728" s="136"/>
      <c r="Q728" s="136"/>
      <c r="R728" s="136"/>
      <c r="S728" s="136"/>
      <c r="T728" s="136"/>
      <c r="U728" s="136"/>
    </row>
    <row r="729" spans="1:21">
      <c r="A729" s="11"/>
      <c r="B729" s="11"/>
      <c r="C729" s="90"/>
      <c r="N729" s="136"/>
      <c r="O729" s="136"/>
      <c r="P729" s="136"/>
      <c r="Q729" s="136"/>
      <c r="R729" s="136"/>
      <c r="S729" s="136"/>
      <c r="T729" s="136"/>
      <c r="U729" s="136"/>
    </row>
    <row r="730" spans="1:21">
      <c r="A730" s="11"/>
      <c r="B730" s="11"/>
      <c r="C730" s="90"/>
      <c r="N730" s="136"/>
      <c r="O730" s="136"/>
      <c r="P730" s="136"/>
      <c r="Q730" s="136"/>
      <c r="R730" s="136"/>
      <c r="S730" s="136"/>
      <c r="T730" s="136"/>
      <c r="U730" s="136"/>
    </row>
    <row r="731" spans="1:21">
      <c r="A731" s="11"/>
      <c r="B731" s="11"/>
      <c r="C731" s="90"/>
      <c r="N731" s="136"/>
      <c r="O731" s="136"/>
      <c r="P731" s="136"/>
      <c r="Q731" s="136"/>
      <c r="R731" s="136"/>
      <c r="S731" s="136"/>
      <c r="T731" s="136"/>
      <c r="U731" s="136"/>
    </row>
    <row r="732" spans="1:21">
      <c r="A732" s="11"/>
      <c r="B732" s="11"/>
      <c r="C732" s="90"/>
      <c r="N732" s="136"/>
      <c r="O732" s="136"/>
      <c r="P732" s="136"/>
      <c r="Q732" s="136"/>
      <c r="R732" s="136"/>
      <c r="S732" s="136"/>
      <c r="T732" s="136"/>
      <c r="U732" s="136"/>
    </row>
    <row r="733" spans="1:21">
      <c r="A733" s="11"/>
      <c r="B733" s="11"/>
      <c r="C733" s="90"/>
      <c r="N733" s="136"/>
      <c r="O733" s="136"/>
      <c r="P733" s="136"/>
      <c r="Q733" s="136"/>
      <c r="R733" s="136"/>
      <c r="S733" s="136"/>
      <c r="T733" s="136"/>
      <c r="U733" s="136"/>
    </row>
    <row r="734" spans="1:21">
      <c r="A734" s="11"/>
      <c r="B734" s="11"/>
      <c r="C734" s="90"/>
      <c r="N734" s="136"/>
      <c r="O734" s="136"/>
      <c r="P734" s="136"/>
      <c r="Q734" s="136"/>
      <c r="R734" s="136"/>
      <c r="S734" s="136"/>
      <c r="T734" s="136"/>
      <c r="U734" s="136"/>
    </row>
    <row r="735" spans="1:21">
      <c r="A735" s="11"/>
      <c r="B735" s="11"/>
      <c r="C735" s="90"/>
      <c r="N735" s="136"/>
      <c r="O735" s="136"/>
      <c r="P735" s="136"/>
      <c r="Q735" s="136"/>
      <c r="R735" s="136"/>
      <c r="S735" s="136"/>
      <c r="T735" s="136"/>
      <c r="U735" s="136"/>
    </row>
    <row r="736" spans="1:21">
      <c r="A736" s="11"/>
      <c r="B736" s="11"/>
      <c r="C736" s="90"/>
      <c r="N736" s="136"/>
      <c r="O736" s="136"/>
      <c r="P736" s="136"/>
      <c r="Q736" s="136"/>
      <c r="R736" s="136"/>
      <c r="S736" s="136"/>
      <c r="T736" s="136"/>
      <c r="U736" s="136"/>
    </row>
    <row r="737" spans="1:21">
      <c r="A737" s="11"/>
      <c r="B737" s="11"/>
      <c r="C737" s="90"/>
      <c r="N737" s="136"/>
      <c r="O737" s="136"/>
      <c r="P737" s="136"/>
      <c r="Q737" s="136"/>
      <c r="R737" s="136"/>
      <c r="S737" s="136"/>
      <c r="T737" s="136"/>
      <c r="U737" s="136"/>
    </row>
    <row r="738" spans="1:21">
      <c r="A738" s="11"/>
      <c r="B738" s="11"/>
      <c r="C738" s="90"/>
      <c r="N738" s="136"/>
      <c r="O738" s="136"/>
      <c r="P738" s="136"/>
      <c r="Q738" s="136"/>
      <c r="R738" s="136"/>
      <c r="S738" s="136"/>
      <c r="T738" s="136"/>
      <c r="U738" s="136"/>
    </row>
    <row r="739" spans="1:21">
      <c r="A739" s="11"/>
      <c r="B739" s="11"/>
      <c r="C739" s="90"/>
      <c r="N739" s="136"/>
      <c r="O739" s="136"/>
      <c r="P739" s="136"/>
      <c r="Q739" s="136"/>
      <c r="R739" s="136"/>
      <c r="S739" s="136"/>
      <c r="T739" s="136"/>
      <c r="U739" s="136"/>
    </row>
    <row r="740" spans="1:21">
      <c r="A740" s="11"/>
      <c r="B740" s="11"/>
      <c r="C740" s="90"/>
      <c r="N740" s="136"/>
      <c r="O740" s="136"/>
      <c r="P740" s="136"/>
      <c r="Q740" s="136"/>
      <c r="R740" s="136"/>
      <c r="S740" s="136"/>
      <c r="T740" s="136"/>
      <c r="U740" s="136"/>
    </row>
    <row r="741" spans="1:21">
      <c r="A741" s="11"/>
      <c r="B741" s="11"/>
      <c r="C741" s="90"/>
      <c r="N741" s="136"/>
      <c r="O741" s="136"/>
      <c r="P741" s="136"/>
      <c r="Q741" s="136"/>
      <c r="R741" s="136"/>
      <c r="S741" s="136"/>
      <c r="T741" s="136"/>
      <c r="U741" s="136"/>
    </row>
    <row r="742" spans="1:21">
      <c r="A742" s="11"/>
      <c r="B742" s="11"/>
      <c r="C742" s="90"/>
      <c r="N742" s="136"/>
      <c r="O742" s="136"/>
      <c r="P742" s="136"/>
      <c r="Q742" s="136"/>
      <c r="R742" s="136"/>
      <c r="S742" s="136"/>
      <c r="T742" s="136"/>
      <c r="U742" s="136"/>
    </row>
    <row r="743" spans="1:21">
      <c r="A743" s="11"/>
      <c r="B743" s="11"/>
      <c r="C743" s="90"/>
      <c r="N743" s="136"/>
      <c r="O743" s="136"/>
      <c r="P743" s="136"/>
      <c r="Q743" s="136"/>
      <c r="R743" s="136"/>
      <c r="S743" s="136"/>
      <c r="T743" s="136"/>
      <c r="U743" s="136"/>
    </row>
    <row r="744" spans="1:21">
      <c r="A744" s="11"/>
      <c r="B744" s="11"/>
      <c r="C744" s="90"/>
      <c r="N744" s="136"/>
      <c r="O744" s="136"/>
      <c r="P744" s="136"/>
      <c r="Q744" s="136"/>
      <c r="R744" s="136"/>
      <c r="S744" s="136"/>
      <c r="T744" s="136"/>
      <c r="U744" s="136"/>
    </row>
    <row r="745" spans="1:21">
      <c r="A745" s="11"/>
      <c r="B745" s="11"/>
      <c r="C745" s="90"/>
      <c r="N745" s="136"/>
      <c r="O745" s="136"/>
      <c r="P745" s="136"/>
      <c r="Q745" s="136"/>
      <c r="R745" s="136"/>
      <c r="S745" s="136"/>
      <c r="T745" s="136"/>
      <c r="U745" s="136"/>
    </row>
    <row r="746" spans="1:21">
      <c r="A746" s="11"/>
      <c r="B746" s="11"/>
      <c r="C746" s="90"/>
      <c r="N746" s="136"/>
      <c r="O746" s="136"/>
      <c r="P746" s="136"/>
      <c r="Q746" s="136"/>
      <c r="R746" s="136"/>
      <c r="S746" s="136"/>
      <c r="T746" s="136"/>
      <c r="U746" s="136"/>
    </row>
    <row r="747" spans="1:21">
      <c r="A747" s="11"/>
      <c r="B747" s="11"/>
      <c r="C747" s="90"/>
      <c r="N747" s="136"/>
      <c r="O747" s="136"/>
      <c r="P747" s="136"/>
      <c r="Q747" s="136"/>
      <c r="R747" s="136"/>
      <c r="S747" s="136"/>
      <c r="T747" s="136"/>
      <c r="U747" s="136"/>
    </row>
    <row r="748" spans="1:21">
      <c r="A748" s="11"/>
      <c r="B748" s="11"/>
      <c r="C748" s="90"/>
      <c r="N748" s="136"/>
      <c r="O748" s="136"/>
      <c r="P748" s="136"/>
      <c r="Q748" s="136"/>
      <c r="R748" s="136"/>
      <c r="S748" s="136"/>
      <c r="T748" s="136"/>
      <c r="U748" s="136"/>
    </row>
    <row r="749" spans="1:21">
      <c r="A749" s="11"/>
      <c r="B749" s="11"/>
      <c r="C749" s="90"/>
      <c r="N749" s="136"/>
      <c r="O749" s="136"/>
      <c r="P749" s="136"/>
      <c r="Q749" s="136"/>
      <c r="R749" s="136"/>
      <c r="S749" s="136"/>
      <c r="T749" s="136"/>
      <c r="U749" s="136"/>
    </row>
    <row r="750" spans="1:21">
      <c r="A750" s="11"/>
      <c r="B750" s="11"/>
      <c r="C750" s="90"/>
      <c r="N750" s="136"/>
      <c r="O750" s="136"/>
      <c r="P750" s="136"/>
      <c r="Q750" s="136"/>
      <c r="R750" s="136"/>
      <c r="S750" s="136"/>
      <c r="T750" s="136"/>
      <c r="U750" s="136"/>
    </row>
    <row r="751" spans="1:21">
      <c r="A751" s="11"/>
      <c r="B751" s="11"/>
      <c r="C751" s="90"/>
      <c r="N751" s="136"/>
      <c r="O751" s="136"/>
      <c r="P751" s="136"/>
      <c r="Q751" s="136"/>
      <c r="R751" s="136"/>
      <c r="S751" s="136"/>
      <c r="T751" s="136"/>
      <c r="U751" s="136"/>
    </row>
    <row r="752" spans="1:21">
      <c r="A752" s="11"/>
      <c r="B752" s="11"/>
      <c r="C752" s="90"/>
      <c r="N752" s="136"/>
      <c r="O752" s="136"/>
      <c r="P752" s="136"/>
      <c r="Q752" s="136"/>
      <c r="R752" s="136"/>
      <c r="S752" s="136"/>
      <c r="T752" s="136"/>
      <c r="U752" s="136"/>
    </row>
    <row r="753" spans="1:21">
      <c r="A753" s="11"/>
      <c r="B753" s="11"/>
      <c r="C753" s="90"/>
      <c r="N753" s="136"/>
      <c r="O753" s="136"/>
      <c r="P753" s="136"/>
      <c r="Q753" s="136"/>
      <c r="R753" s="136"/>
      <c r="S753" s="136"/>
      <c r="T753" s="136"/>
      <c r="U753" s="136"/>
    </row>
    <row r="754" spans="1:21">
      <c r="A754" s="11"/>
      <c r="B754" s="11"/>
      <c r="C754" s="90"/>
      <c r="N754" s="136"/>
      <c r="O754" s="136"/>
      <c r="P754" s="136"/>
      <c r="Q754" s="136"/>
      <c r="R754" s="136"/>
      <c r="S754" s="136"/>
      <c r="T754" s="136"/>
      <c r="U754" s="136"/>
    </row>
    <row r="755" spans="1:21">
      <c r="A755" s="11"/>
      <c r="B755" s="11"/>
      <c r="C755" s="90"/>
      <c r="N755" s="136"/>
      <c r="O755" s="136"/>
      <c r="P755" s="136"/>
      <c r="Q755" s="136"/>
      <c r="R755" s="136"/>
      <c r="S755" s="136"/>
      <c r="T755" s="136"/>
      <c r="U755" s="136"/>
    </row>
    <row r="756" spans="1:21">
      <c r="A756" s="11"/>
      <c r="B756" s="11"/>
      <c r="C756" s="90"/>
      <c r="N756" s="136"/>
      <c r="O756" s="136"/>
      <c r="P756" s="136"/>
      <c r="Q756" s="136"/>
      <c r="R756" s="136"/>
      <c r="S756" s="136"/>
      <c r="T756" s="136"/>
      <c r="U756" s="136"/>
    </row>
    <row r="757" spans="1:21">
      <c r="A757" s="11"/>
      <c r="B757" s="11"/>
      <c r="C757" s="90"/>
      <c r="N757" s="136"/>
      <c r="O757" s="136"/>
      <c r="P757" s="136"/>
      <c r="Q757" s="136"/>
      <c r="R757" s="136"/>
      <c r="S757" s="136"/>
      <c r="T757" s="136"/>
      <c r="U757" s="136"/>
    </row>
    <row r="758" spans="1:21">
      <c r="A758" s="11"/>
      <c r="B758" s="11"/>
      <c r="C758" s="90"/>
      <c r="N758" s="136"/>
      <c r="O758" s="136"/>
      <c r="P758" s="136"/>
      <c r="Q758" s="136"/>
      <c r="R758" s="136"/>
      <c r="S758" s="136"/>
      <c r="T758" s="136"/>
      <c r="U758" s="136"/>
    </row>
    <row r="759" spans="1:21">
      <c r="A759" s="11"/>
      <c r="B759" s="11"/>
      <c r="C759" s="90"/>
      <c r="N759" s="136"/>
      <c r="O759" s="136"/>
      <c r="P759" s="136"/>
      <c r="Q759" s="136"/>
      <c r="R759" s="136"/>
      <c r="S759" s="136"/>
      <c r="T759" s="136"/>
      <c r="U759" s="136"/>
    </row>
    <row r="760" spans="1:21">
      <c r="A760" s="11"/>
      <c r="B760" s="11"/>
      <c r="C760" s="90"/>
      <c r="N760" s="136"/>
      <c r="O760" s="136"/>
      <c r="P760" s="136"/>
      <c r="Q760" s="136"/>
      <c r="R760" s="136"/>
      <c r="S760" s="136"/>
      <c r="T760" s="136"/>
      <c r="U760" s="136"/>
    </row>
    <row r="761" spans="1:21">
      <c r="A761" s="11"/>
      <c r="B761" s="11"/>
      <c r="C761" s="90"/>
      <c r="N761" s="136"/>
      <c r="O761" s="136"/>
      <c r="P761" s="136"/>
      <c r="Q761" s="136"/>
      <c r="R761" s="136"/>
      <c r="S761" s="136"/>
      <c r="T761" s="136"/>
      <c r="U761" s="136"/>
    </row>
    <row r="762" spans="1:21">
      <c r="A762" s="11"/>
      <c r="B762" s="11"/>
      <c r="C762" s="90"/>
      <c r="N762" s="136"/>
      <c r="O762" s="136"/>
      <c r="P762" s="136"/>
      <c r="Q762" s="136"/>
      <c r="R762" s="136"/>
      <c r="S762" s="136"/>
      <c r="T762" s="136"/>
      <c r="U762" s="136"/>
    </row>
    <row r="763" spans="1:21">
      <c r="A763" s="11"/>
      <c r="B763" s="11"/>
      <c r="C763" s="90"/>
      <c r="N763" s="136"/>
      <c r="O763" s="136"/>
      <c r="P763" s="136"/>
      <c r="Q763" s="136"/>
      <c r="R763" s="136"/>
      <c r="S763" s="136"/>
      <c r="T763" s="136"/>
      <c r="U763" s="136"/>
    </row>
    <row r="764" spans="1:21">
      <c r="A764" s="11"/>
      <c r="B764" s="11"/>
      <c r="C764" s="90"/>
      <c r="N764" s="136"/>
      <c r="O764" s="136"/>
      <c r="P764" s="136"/>
      <c r="Q764" s="136"/>
      <c r="R764" s="136"/>
      <c r="S764" s="136"/>
      <c r="T764" s="136"/>
      <c r="U764" s="136"/>
    </row>
    <row r="765" spans="1:21">
      <c r="A765" s="11"/>
      <c r="B765" s="11"/>
      <c r="C765" s="90"/>
      <c r="N765" s="136"/>
      <c r="O765" s="136"/>
      <c r="P765" s="136"/>
      <c r="Q765" s="136"/>
      <c r="R765" s="136"/>
      <c r="S765" s="136"/>
      <c r="T765" s="136"/>
      <c r="U765" s="136"/>
    </row>
    <row r="766" spans="1:21">
      <c r="A766" s="11"/>
      <c r="B766" s="11"/>
      <c r="C766" s="90"/>
      <c r="N766" s="136"/>
      <c r="O766" s="136"/>
      <c r="P766" s="136"/>
      <c r="Q766" s="136"/>
      <c r="R766" s="136"/>
      <c r="S766" s="136"/>
      <c r="T766" s="136"/>
      <c r="U766" s="136"/>
    </row>
    <row r="767" spans="1:21">
      <c r="A767" s="11"/>
      <c r="B767" s="11"/>
      <c r="C767" s="90"/>
      <c r="N767" s="136"/>
      <c r="O767" s="136"/>
      <c r="P767" s="136"/>
      <c r="Q767" s="136"/>
      <c r="R767" s="136"/>
      <c r="S767" s="136"/>
      <c r="T767" s="136"/>
      <c r="U767" s="136"/>
    </row>
    <row r="768" spans="1:21">
      <c r="A768" s="11"/>
      <c r="B768" s="11"/>
      <c r="C768" s="90"/>
      <c r="N768" s="136"/>
      <c r="O768" s="136"/>
      <c r="P768" s="136"/>
      <c r="Q768" s="136"/>
      <c r="R768" s="136"/>
      <c r="S768" s="136"/>
      <c r="T768" s="136"/>
      <c r="U768" s="136"/>
    </row>
    <row r="769" spans="1:21">
      <c r="A769" s="11"/>
      <c r="B769" s="11"/>
      <c r="C769" s="90"/>
      <c r="N769" s="136"/>
      <c r="O769" s="136"/>
      <c r="P769" s="136"/>
      <c r="Q769" s="136"/>
      <c r="R769" s="136"/>
      <c r="S769" s="136"/>
      <c r="T769" s="136"/>
      <c r="U769" s="136"/>
    </row>
    <row r="770" spans="1:21">
      <c r="A770" s="11"/>
      <c r="B770" s="11"/>
      <c r="C770" s="90"/>
      <c r="N770" s="136"/>
      <c r="O770" s="136"/>
      <c r="P770" s="136"/>
      <c r="Q770" s="136"/>
      <c r="R770" s="136"/>
      <c r="S770" s="136"/>
      <c r="T770" s="136"/>
      <c r="U770" s="136"/>
    </row>
    <row r="771" spans="1:21">
      <c r="A771" s="11"/>
      <c r="B771" s="11"/>
      <c r="C771" s="90"/>
      <c r="N771" s="136"/>
      <c r="O771" s="136"/>
      <c r="P771" s="136"/>
      <c r="Q771" s="136"/>
      <c r="R771" s="136"/>
      <c r="S771" s="136"/>
      <c r="T771" s="136"/>
      <c r="U771" s="136"/>
    </row>
    <row r="772" spans="1:21">
      <c r="A772" s="11"/>
      <c r="B772" s="11"/>
      <c r="C772" s="90"/>
      <c r="N772" s="136"/>
      <c r="O772" s="136"/>
      <c r="P772" s="136"/>
      <c r="Q772" s="136"/>
      <c r="R772" s="136"/>
      <c r="S772" s="136"/>
      <c r="T772" s="136"/>
      <c r="U772" s="136"/>
    </row>
    <row r="773" spans="1:21">
      <c r="A773" s="11"/>
      <c r="B773" s="11"/>
      <c r="C773" s="90"/>
      <c r="N773" s="136"/>
      <c r="O773" s="136"/>
      <c r="P773" s="136"/>
      <c r="Q773" s="136"/>
      <c r="R773" s="136"/>
      <c r="S773" s="136"/>
      <c r="T773" s="136"/>
      <c r="U773" s="136"/>
    </row>
    <row r="774" spans="1:21">
      <c r="A774" s="11"/>
      <c r="B774" s="11"/>
      <c r="C774" s="90"/>
      <c r="N774" s="136"/>
      <c r="O774" s="136"/>
      <c r="P774" s="136"/>
      <c r="Q774" s="136"/>
      <c r="R774" s="136"/>
      <c r="S774" s="136"/>
      <c r="T774" s="136"/>
      <c r="U774" s="136"/>
    </row>
    <row r="775" spans="1:21">
      <c r="A775" s="11"/>
      <c r="B775" s="11"/>
      <c r="C775" s="90"/>
      <c r="N775" s="136"/>
      <c r="O775" s="136"/>
      <c r="P775" s="136"/>
      <c r="Q775" s="136"/>
      <c r="R775" s="136"/>
      <c r="S775" s="136"/>
      <c r="T775" s="136"/>
      <c r="U775" s="136"/>
    </row>
    <row r="776" spans="1:21">
      <c r="A776" s="11"/>
      <c r="B776" s="11"/>
      <c r="C776" s="90"/>
      <c r="N776" s="136"/>
      <c r="O776" s="136"/>
      <c r="P776" s="136"/>
      <c r="Q776" s="136"/>
      <c r="R776" s="136"/>
      <c r="S776" s="136"/>
      <c r="T776" s="136"/>
      <c r="U776" s="136"/>
    </row>
    <row r="777" spans="1:21">
      <c r="A777" s="11"/>
      <c r="B777" s="11"/>
      <c r="C777" s="90"/>
      <c r="N777" s="136"/>
      <c r="O777" s="136"/>
      <c r="P777" s="136"/>
      <c r="Q777" s="136"/>
      <c r="R777" s="136"/>
      <c r="S777" s="136"/>
      <c r="T777" s="136"/>
      <c r="U777" s="136"/>
    </row>
    <row r="778" spans="1:21">
      <c r="A778" s="11"/>
      <c r="B778" s="11"/>
      <c r="C778" s="90"/>
      <c r="N778" s="136"/>
      <c r="O778" s="136"/>
      <c r="P778" s="136"/>
      <c r="Q778" s="136"/>
      <c r="R778" s="136"/>
      <c r="S778" s="136"/>
      <c r="T778" s="136"/>
      <c r="U778" s="136"/>
    </row>
    <row r="779" spans="1:21">
      <c r="A779" s="11"/>
      <c r="B779" s="11"/>
      <c r="C779" s="90"/>
      <c r="N779" s="136"/>
      <c r="O779" s="136"/>
      <c r="P779" s="136"/>
      <c r="Q779" s="136"/>
      <c r="R779" s="136"/>
      <c r="S779" s="136"/>
      <c r="T779" s="136"/>
      <c r="U779" s="136"/>
    </row>
    <row r="780" spans="1:21">
      <c r="A780" s="11"/>
      <c r="B780" s="11"/>
      <c r="C780" s="90"/>
      <c r="N780" s="136"/>
      <c r="O780" s="136"/>
      <c r="P780" s="136"/>
      <c r="Q780" s="136"/>
      <c r="R780" s="136"/>
      <c r="S780" s="136"/>
      <c r="T780" s="136"/>
      <c r="U780" s="136"/>
    </row>
    <row r="781" spans="1:21">
      <c r="A781" s="11"/>
      <c r="B781" s="11"/>
      <c r="C781" s="90"/>
      <c r="N781" s="136"/>
      <c r="O781" s="136"/>
      <c r="P781" s="136"/>
      <c r="Q781" s="136"/>
      <c r="R781" s="136"/>
      <c r="S781" s="136"/>
      <c r="T781" s="136"/>
      <c r="U781" s="136"/>
    </row>
    <row r="782" spans="1:21">
      <c r="A782" s="11"/>
      <c r="B782" s="11"/>
      <c r="C782" s="90"/>
      <c r="N782" s="136"/>
      <c r="O782" s="136"/>
      <c r="P782" s="136"/>
      <c r="Q782" s="136"/>
      <c r="R782" s="136"/>
      <c r="S782" s="136"/>
      <c r="T782" s="136"/>
      <c r="U782" s="136"/>
    </row>
    <row r="783" spans="1:21">
      <c r="A783" s="11"/>
      <c r="B783" s="11"/>
      <c r="C783" s="90"/>
      <c r="N783" s="136"/>
      <c r="O783" s="136"/>
      <c r="P783" s="136"/>
      <c r="Q783" s="136"/>
      <c r="R783" s="136"/>
      <c r="S783" s="136"/>
      <c r="T783" s="136"/>
      <c r="U783" s="136"/>
    </row>
    <row r="784" spans="1:21">
      <c r="A784" s="11"/>
      <c r="B784" s="11"/>
      <c r="C784" s="90"/>
      <c r="N784" s="136"/>
      <c r="O784" s="136"/>
      <c r="P784" s="136"/>
      <c r="Q784" s="136"/>
      <c r="R784" s="136"/>
      <c r="S784" s="136"/>
      <c r="T784" s="136"/>
      <c r="U784" s="136"/>
    </row>
    <row r="785" spans="1:21">
      <c r="A785" s="11"/>
      <c r="B785" s="11"/>
      <c r="C785" s="90"/>
      <c r="N785" s="136"/>
      <c r="O785" s="136"/>
      <c r="P785" s="136"/>
      <c r="Q785" s="136"/>
      <c r="R785" s="136"/>
      <c r="S785" s="136"/>
      <c r="T785" s="136"/>
      <c r="U785" s="136"/>
    </row>
    <row r="786" spans="1:21">
      <c r="A786" s="11"/>
      <c r="B786" s="11"/>
      <c r="C786" s="90"/>
      <c r="N786" s="136"/>
      <c r="O786" s="136"/>
      <c r="P786" s="136"/>
      <c r="Q786" s="136"/>
      <c r="R786" s="136"/>
      <c r="S786" s="136"/>
      <c r="T786" s="136"/>
      <c r="U786" s="136"/>
    </row>
    <row r="787" spans="1:21">
      <c r="A787" s="11"/>
      <c r="B787" s="11"/>
      <c r="C787" s="90"/>
      <c r="N787" s="136"/>
      <c r="O787" s="136"/>
      <c r="P787" s="136"/>
      <c r="Q787" s="136"/>
      <c r="R787" s="136"/>
      <c r="S787" s="136"/>
      <c r="T787" s="136"/>
      <c r="U787" s="136"/>
    </row>
    <row r="788" spans="1:21">
      <c r="A788" s="11"/>
      <c r="B788" s="11"/>
      <c r="C788" s="90"/>
      <c r="N788" s="136"/>
      <c r="O788" s="136"/>
      <c r="P788" s="136"/>
      <c r="Q788" s="136"/>
      <c r="R788" s="136"/>
      <c r="S788" s="136"/>
      <c r="T788" s="136"/>
      <c r="U788" s="136"/>
    </row>
    <row r="789" spans="1:21">
      <c r="A789" s="11"/>
      <c r="B789" s="11"/>
      <c r="C789" s="90"/>
      <c r="N789" s="136"/>
      <c r="O789" s="136"/>
      <c r="P789" s="136"/>
      <c r="Q789" s="136"/>
      <c r="R789" s="136"/>
      <c r="S789" s="136"/>
      <c r="T789" s="136"/>
      <c r="U789" s="136"/>
    </row>
    <row r="790" spans="1:21">
      <c r="A790" s="11"/>
      <c r="B790" s="11"/>
      <c r="C790" s="90"/>
      <c r="N790" s="136"/>
      <c r="O790" s="136"/>
      <c r="P790" s="136"/>
      <c r="Q790" s="136"/>
      <c r="R790" s="136"/>
      <c r="S790" s="136"/>
      <c r="T790" s="136"/>
      <c r="U790" s="136"/>
    </row>
    <row r="791" spans="1:21">
      <c r="A791" s="11"/>
      <c r="B791" s="11"/>
      <c r="C791" s="90"/>
      <c r="N791" s="136"/>
      <c r="O791" s="136"/>
      <c r="P791" s="136"/>
      <c r="Q791" s="136"/>
      <c r="R791" s="136"/>
      <c r="S791" s="136"/>
      <c r="T791" s="136"/>
      <c r="U791" s="136"/>
    </row>
    <row r="792" spans="1:21">
      <c r="A792" s="11"/>
      <c r="B792" s="11"/>
      <c r="C792" s="90"/>
      <c r="N792" s="136"/>
      <c r="O792" s="136"/>
      <c r="P792" s="136"/>
      <c r="Q792" s="136"/>
      <c r="R792" s="136"/>
      <c r="S792" s="136"/>
      <c r="T792" s="136"/>
      <c r="U792" s="136"/>
    </row>
    <row r="793" spans="1:21">
      <c r="A793" s="11"/>
      <c r="B793" s="11"/>
      <c r="C793" s="90"/>
      <c r="N793" s="136"/>
      <c r="O793" s="136"/>
      <c r="P793" s="136"/>
      <c r="Q793" s="136"/>
      <c r="R793" s="136"/>
      <c r="S793" s="136"/>
      <c r="T793" s="136"/>
      <c r="U793" s="136"/>
    </row>
    <row r="794" spans="1:21">
      <c r="A794" s="11"/>
      <c r="B794" s="11"/>
      <c r="C794" s="90"/>
      <c r="N794" s="136"/>
      <c r="O794" s="136"/>
      <c r="P794" s="136"/>
      <c r="Q794" s="136"/>
      <c r="R794" s="136"/>
      <c r="S794" s="136"/>
      <c r="T794" s="136"/>
      <c r="U794" s="136"/>
    </row>
    <row r="795" spans="1:21">
      <c r="A795" s="11"/>
      <c r="B795" s="11"/>
      <c r="C795" s="90"/>
      <c r="N795" s="136"/>
      <c r="O795" s="136"/>
      <c r="P795" s="136"/>
      <c r="Q795" s="136"/>
      <c r="R795" s="136"/>
      <c r="S795" s="136"/>
      <c r="T795" s="136"/>
      <c r="U795" s="136"/>
    </row>
    <row r="796" spans="1:21">
      <c r="A796" s="11"/>
      <c r="B796" s="11"/>
      <c r="C796" s="90"/>
      <c r="N796" s="136"/>
      <c r="O796" s="136"/>
      <c r="P796" s="136"/>
      <c r="Q796" s="136"/>
      <c r="R796" s="136"/>
      <c r="S796" s="136"/>
      <c r="T796" s="136"/>
      <c r="U796" s="136"/>
    </row>
    <row r="797" spans="1:21">
      <c r="A797" s="11"/>
      <c r="B797" s="11"/>
      <c r="C797" s="90"/>
      <c r="N797" s="136"/>
      <c r="O797" s="136"/>
      <c r="P797" s="136"/>
      <c r="Q797" s="136"/>
      <c r="R797" s="136"/>
      <c r="S797" s="136"/>
      <c r="T797" s="136"/>
      <c r="U797" s="136"/>
    </row>
    <row r="798" spans="1:21">
      <c r="A798" s="11"/>
      <c r="B798" s="11"/>
      <c r="C798" s="90"/>
      <c r="N798" s="136"/>
      <c r="O798" s="136"/>
      <c r="P798" s="136"/>
      <c r="Q798" s="136"/>
      <c r="R798" s="136"/>
      <c r="S798" s="136"/>
      <c r="T798" s="136"/>
      <c r="U798" s="136"/>
    </row>
    <row r="799" spans="1:21">
      <c r="A799" s="11"/>
      <c r="B799" s="11"/>
      <c r="C799" s="90"/>
      <c r="N799" s="136"/>
      <c r="O799" s="136"/>
      <c r="P799" s="136"/>
      <c r="Q799" s="136"/>
      <c r="R799" s="136"/>
      <c r="S799" s="136"/>
      <c r="T799" s="136"/>
      <c r="U799" s="136"/>
    </row>
    <row r="800" spans="1:21">
      <c r="A800" s="11"/>
      <c r="B800" s="11"/>
      <c r="C800" s="90"/>
      <c r="N800" s="136"/>
      <c r="O800" s="136"/>
      <c r="P800" s="136"/>
      <c r="Q800" s="136"/>
      <c r="R800" s="136"/>
      <c r="S800" s="136"/>
      <c r="T800" s="136"/>
      <c r="U800" s="136"/>
    </row>
    <row r="801" spans="1:21">
      <c r="A801" s="11"/>
      <c r="B801" s="11"/>
      <c r="C801" s="90"/>
      <c r="N801" s="136"/>
      <c r="O801" s="136"/>
      <c r="P801" s="136"/>
      <c r="Q801" s="136"/>
      <c r="R801" s="136"/>
      <c r="S801" s="136"/>
      <c r="T801" s="136"/>
      <c r="U801" s="136"/>
    </row>
    <row r="802" spans="1:21">
      <c r="A802" s="11"/>
      <c r="B802" s="11"/>
      <c r="C802" s="90"/>
      <c r="N802" s="136"/>
      <c r="O802" s="136"/>
      <c r="P802" s="136"/>
      <c r="Q802" s="136"/>
      <c r="R802" s="136"/>
      <c r="S802" s="136"/>
      <c r="T802" s="136"/>
      <c r="U802" s="136"/>
    </row>
    <row r="803" spans="1:21">
      <c r="A803" s="11"/>
      <c r="B803" s="11"/>
      <c r="C803" s="90"/>
      <c r="N803" s="136"/>
      <c r="O803" s="136"/>
      <c r="P803" s="136"/>
      <c r="Q803" s="136"/>
      <c r="R803" s="136"/>
      <c r="S803" s="136"/>
      <c r="T803" s="136"/>
      <c r="U803" s="136"/>
    </row>
    <row r="804" spans="1:21">
      <c r="A804" s="11"/>
      <c r="B804" s="11"/>
      <c r="C804" s="90"/>
      <c r="N804" s="136"/>
      <c r="O804" s="136"/>
      <c r="P804" s="136"/>
      <c r="Q804" s="136"/>
      <c r="R804" s="136"/>
      <c r="S804" s="136"/>
      <c r="T804" s="136"/>
      <c r="U804" s="136"/>
    </row>
    <row r="805" spans="1:21">
      <c r="A805" s="11"/>
      <c r="B805" s="11"/>
      <c r="C805" s="90"/>
      <c r="N805" s="136"/>
      <c r="O805" s="136"/>
      <c r="P805" s="136"/>
      <c r="Q805" s="136"/>
      <c r="R805" s="136"/>
      <c r="S805" s="136"/>
      <c r="T805" s="136"/>
      <c r="U805" s="136"/>
    </row>
    <row r="806" spans="1:21">
      <c r="A806" s="11"/>
      <c r="B806" s="11"/>
      <c r="C806" s="90"/>
      <c r="N806" s="136"/>
      <c r="O806" s="136"/>
      <c r="P806" s="136"/>
      <c r="Q806" s="136"/>
      <c r="R806" s="136"/>
      <c r="S806" s="136"/>
      <c r="T806" s="136"/>
      <c r="U806" s="136"/>
    </row>
    <row r="807" spans="1:21">
      <c r="A807" s="11"/>
      <c r="B807" s="11"/>
      <c r="C807" s="90"/>
      <c r="N807" s="136"/>
      <c r="O807" s="136"/>
      <c r="P807" s="136"/>
      <c r="Q807" s="136"/>
      <c r="R807" s="136"/>
      <c r="S807" s="136"/>
      <c r="T807" s="136"/>
      <c r="U807" s="136"/>
    </row>
    <row r="808" spans="1:21">
      <c r="A808" s="11"/>
      <c r="B808" s="11"/>
      <c r="C808" s="90"/>
      <c r="N808" s="136"/>
      <c r="O808" s="136"/>
      <c r="P808" s="136"/>
      <c r="Q808" s="136"/>
      <c r="R808" s="136"/>
      <c r="S808" s="136"/>
      <c r="T808" s="136"/>
      <c r="U808" s="136"/>
    </row>
    <row r="809" spans="1:21">
      <c r="A809" s="11"/>
      <c r="B809" s="11"/>
      <c r="C809" s="90"/>
      <c r="N809" s="136"/>
      <c r="O809" s="136"/>
      <c r="P809" s="136"/>
      <c r="Q809" s="136"/>
      <c r="R809" s="136"/>
      <c r="S809" s="136"/>
      <c r="T809" s="136"/>
      <c r="U809" s="136"/>
    </row>
    <row r="810" spans="1:21">
      <c r="A810" s="11"/>
      <c r="B810" s="11"/>
      <c r="C810" s="90"/>
      <c r="N810" s="136"/>
      <c r="O810" s="136"/>
      <c r="P810" s="136"/>
      <c r="Q810" s="136"/>
      <c r="R810" s="136"/>
      <c r="S810" s="136"/>
      <c r="T810" s="136"/>
      <c r="U810" s="136"/>
    </row>
    <row r="811" spans="1:21">
      <c r="A811" s="11"/>
      <c r="B811" s="11"/>
      <c r="C811" s="90"/>
      <c r="N811" s="136"/>
      <c r="O811" s="136"/>
      <c r="P811" s="136"/>
      <c r="Q811" s="136"/>
      <c r="R811" s="136"/>
      <c r="S811" s="136"/>
      <c r="T811" s="136"/>
      <c r="U811" s="136"/>
    </row>
    <row r="812" spans="1:21">
      <c r="A812" s="11"/>
      <c r="B812" s="11"/>
      <c r="C812" s="90"/>
      <c r="N812" s="136"/>
      <c r="O812" s="136"/>
      <c r="P812" s="136"/>
      <c r="Q812" s="136"/>
      <c r="R812" s="136"/>
      <c r="S812" s="136"/>
      <c r="T812" s="136"/>
      <c r="U812" s="136"/>
    </row>
    <row r="813" spans="1:21">
      <c r="A813" s="11"/>
      <c r="B813" s="11"/>
      <c r="C813" s="90"/>
      <c r="N813" s="136"/>
      <c r="O813" s="136"/>
      <c r="P813" s="136"/>
      <c r="Q813" s="136"/>
      <c r="R813" s="136"/>
      <c r="S813" s="136"/>
      <c r="T813" s="136"/>
      <c r="U813" s="136"/>
    </row>
    <row r="814" spans="1:21">
      <c r="A814" s="11"/>
      <c r="B814" s="11"/>
      <c r="C814" s="90"/>
      <c r="N814" s="136"/>
      <c r="O814" s="136"/>
      <c r="P814" s="136"/>
      <c r="Q814" s="136"/>
      <c r="R814" s="136"/>
      <c r="S814" s="136"/>
      <c r="T814" s="136"/>
      <c r="U814" s="136"/>
    </row>
    <row r="815" spans="1:21">
      <c r="A815" s="11"/>
      <c r="B815" s="11"/>
      <c r="C815" s="90"/>
      <c r="N815" s="136"/>
      <c r="O815" s="136"/>
      <c r="P815" s="136"/>
      <c r="Q815" s="136"/>
      <c r="R815" s="136"/>
      <c r="S815" s="136"/>
      <c r="T815" s="136"/>
      <c r="U815" s="136"/>
    </row>
    <row r="816" spans="1:21">
      <c r="A816" s="11"/>
      <c r="B816" s="11"/>
      <c r="C816" s="90"/>
      <c r="N816" s="136"/>
      <c r="O816" s="136"/>
      <c r="P816" s="136"/>
      <c r="Q816" s="136"/>
      <c r="R816" s="136"/>
      <c r="S816" s="136"/>
      <c r="T816" s="136"/>
      <c r="U816" s="136"/>
    </row>
    <row r="817" spans="1:21">
      <c r="A817" s="11"/>
      <c r="B817" s="11"/>
      <c r="C817" s="90"/>
      <c r="N817" s="136"/>
      <c r="O817" s="136"/>
      <c r="P817" s="136"/>
      <c r="Q817" s="136"/>
      <c r="R817" s="136"/>
      <c r="S817" s="136"/>
      <c r="T817" s="136"/>
      <c r="U817" s="136"/>
    </row>
    <row r="818" spans="1:21">
      <c r="A818" s="11"/>
      <c r="B818" s="11"/>
      <c r="C818" s="90"/>
      <c r="N818" s="136"/>
      <c r="O818" s="136"/>
      <c r="P818" s="136"/>
      <c r="Q818" s="136"/>
      <c r="R818" s="136"/>
      <c r="S818" s="136"/>
      <c r="T818" s="136"/>
      <c r="U818" s="136"/>
    </row>
    <row r="819" spans="1:21">
      <c r="A819" s="11"/>
      <c r="B819" s="11"/>
      <c r="C819" s="90"/>
      <c r="N819" s="136"/>
      <c r="O819" s="136"/>
      <c r="P819" s="136"/>
      <c r="Q819" s="136"/>
      <c r="R819" s="136"/>
      <c r="S819" s="136"/>
      <c r="T819" s="136"/>
      <c r="U819" s="136"/>
    </row>
    <row r="820" spans="1:21">
      <c r="A820" s="11"/>
      <c r="B820" s="11"/>
      <c r="C820" s="90"/>
      <c r="N820" s="136"/>
      <c r="O820" s="136"/>
      <c r="P820" s="136"/>
      <c r="Q820" s="136"/>
      <c r="R820" s="136"/>
      <c r="S820" s="136"/>
      <c r="T820" s="136"/>
      <c r="U820" s="136"/>
    </row>
    <row r="821" spans="1:21">
      <c r="A821" s="11"/>
      <c r="B821" s="11"/>
      <c r="C821" s="90"/>
      <c r="N821" s="136"/>
      <c r="O821" s="136"/>
      <c r="P821" s="136"/>
      <c r="Q821" s="136"/>
      <c r="R821" s="136"/>
      <c r="S821" s="136"/>
      <c r="T821" s="136"/>
      <c r="U821" s="136"/>
    </row>
    <row r="822" spans="1:21">
      <c r="A822" s="11"/>
      <c r="B822" s="11"/>
      <c r="C822" s="90"/>
      <c r="N822" s="136"/>
      <c r="O822" s="136"/>
      <c r="P822" s="136"/>
      <c r="Q822" s="136"/>
      <c r="R822" s="136"/>
      <c r="S822" s="136"/>
      <c r="T822" s="136"/>
      <c r="U822" s="136"/>
    </row>
    <row r="823" spans="1:21">
      <c r="A823" s="11"/>
      <c r="B823" s="11"/>
      <c r="C823" s="90"/>
      <c r="N823" s="136"/>
      <c r="O823" s="136"/>
      <c r="P823" s="136"/>
      <c r="Q823" s="136"/>
      <c r="R823" s="136"/>
      <c r="S823" s="136"/>
      <c r="T823" s="136"/>
      <c r="U823" s="136"/>
    </row>
    <row r="824" spans="1:21">
      <c r="A824" s="11"/>
      <c r="B824" s="11"/>
      <c r="C824" s="90"/>
      <c r="N824" s="136"/>
      <c r="O824" s="136"/>
      <c r="P824" s="136"/>
      <c r="Q824" s="136"/>
      <c r="R824" s="136"/>
      <c r="S824" s="136"/>
      <c r="T824" s="136"/>
      <c r="U824" s="136"/>
    </row>
    <row r="825" spans="1:21">
      <c r="A825" s="11"/>
      <c r="B825" s="11"/>
      <c r="C825" s="90"/>
      <c r="N825" s="136"/>
      <c r="O825" s="136"/>
      <c r="P825" s="136"/>
      <c r="Q825" s="136"/>
      <c r="R825" s="136"/>
      <c r="S825" s="136"/>
      <c r="T825" s="136"/>
      <c r="U825" s="136"/>
    </row>
    <row r="826" spans="1:21">
      <c r="A826" s="11"/>
      <c r="B826" s="11"/>
      <c r="C826" s="90"/>
      <c r="N826" s="136"/>
      <c r="O826" s="136"/>
      <c r="P826" s="136"/>
      <c r="Q826" s="136"/>
      <c r="R826" s="136"/>
      <c r="S826" s="136"/>
      <c r="T826" s="136"/>
      <c r="U826" s="136"/>
    </row>
    <row r="827" spans="1:21">
      <c r="A827" s="11"/>
      <c r="B827" s="11"/>
      <c r="C827" s="90"/>
      <c r="N827" s="136"/>
      <c r="O827" s="136"/>
      <c r="P827" s="136"/>
      <c r="Q827" s="136"/>
      <c r="R827" s="136"/>
      <c r="S827" s="136"/>
      <c r="T827" s="136"/>
      <c r="U827" s="136"/>
    </row>
    <row r="828" spans="1:21">
      <c r="A828" s="11"/>
      <c r="B828" s="11"/>
      <c r="C828" s="90"/>
      <c r="N828" s="136"/>
      <c r="O828" s="136"/>
      <c r="P828" s="136"/>
      <c r="Q828" s="136"/>
      <c r="R828" s="136"/>
      <c r="S828" s="136"/>
      <c r="T828" s="136"/>
      <c r="U828" s="136"/>
    </row>
    <row r="829" spans="1:21">
      <c r="A829" s="11"/>
      <c r="B829" s="11"/>
      <c r="C829" s="90"/>
      <c r="N829" s="136"/>
      <c r="O829" s="136"/>
      <c r="P829" s="136"/>
      <c r="Q829" s="136"/>
      <c r="R829" s="136"/>
      <c r="S829" s="136"/>
      <c r="T829" s="136"/>
      <c r="U829" s="136"/>
    </row>
    <row r="830" spans="1:21">
      <c r="A830" s="11"/>
      <c r="B830" s="11"/>
      <c r="C830" s="90"/>
      <c r="N830" s="136"/>
      <c r="O830" s="136"/>
      <c r="P830" s="136"/>
      <c r="Q830" s="136"/>
      <c r="R830" s="136"/>
      <c r="S830" s="136"/>
      <c r="T830" s="136"/>
      <c r="U830" s="136"/>
    </row>
    <row r="831" spans="1:21">
      <c r="A831" s="11"/>
      <c r="B831" s="11"/>
      <c r="C831" s="90"/>
      <c r="N831" s="136"/>
      <c r="O831" s="136"/>
      <c r="P831" s="136"/>
      <c r="Q831" s="136"/>
      <c r="R831" s="136"/>
      <c r="S831" s="136"/>
      <c r="T831" s="136"/>
      <c r="U831" s="136"/>
    </row>
    <row r="832" spans="1:21">
      <c r="A832" s="11"/>
      <c r="B832" s="11"/>
      <c r="C832" s="90"/>
      <c r="N832" s="136"/>
      <c r="O832" s="136"/>
      <c r="P832" s="136"/>
      <c r="Q832" s="136"/>
      <c r="R832" s="136"/>
      <c r="S832" s="136"/>
      <c r="T832" s="136"/>
      <c r="U832" s="136"/>
    </row>
    <row r="833" spans="1:21">
      <c r="A833" s="11"/>
      <c r="B833" s="11"/>
      <c r="C833" s="90"/>
      <c r="N833" s="136"/>
      <c r="O833" s="136"/>
      <c r="P833" s="136"/>
      <c r="Q833" s="136"/>
      <c r="R833" s="136"/>
      <c r="S833" s="136"/>
      <c r="T833" s="136"/>
      <c r="U833" s="136"/>
    </row>
    <row r="834" spans="1:21">
      <c r="A834" s="11"/>
      <c r="B834" s="11"/>
      <c r="C834" s="90"/>
      <c r="N834" s="136"/>
      <c r="O834" s="136"/>
      <c r="P834" s="136"/>
      <c r="Q834" s="136"/>
      <c r="R834" s="136"/>
      <c r="S834" s="136"/>
      <c r="T834" s="136"/>
      <c r="U834" s="136"/>
    </row>
    <row r="835" spans="1:21">
      <c r="A835" s="11"/>
      <c r="B835" s="11"/>
      <c r="C835" s="90"/>
      <c r="N835" s="136"/>
      <c r="O835" s="136"/>
      <c r="P835" s="136"/>
      <c r="Q835" s="136"/>
      <c r="R835" s="136"/>
      <c r="S835" s="136"/>
      <c r="T835" s="136"/>
      <c r="U835" s="136"/>
    </row>
    <row r="836" spans="1:21">
      <c r="A836" s="11"/>
      <c r="B836" s="11"/>
      <c r="C836" s="90"/>
      <c r="N836" s="136"/>
      <c r="O836" s="136"/>
      <c r="P836" s="136"/>
      <c r="Q836" s="136"/>
      <c r="R836" s="136"/>
      <c r="S836" s="136"/>
      <c r="T836" s="136"/>
      <c r="U836" s="136"/>
    </row>
    <row r="837" spans="1:21">
      <c r="A837" s="11"/>
      <c r="B837" s="11"/>
      <c r="C837" s="90"/>
      <c r="N837" s="136"/>
      <c r="O837" s="136"/>
      <c r="P837" s="136"/>
      <c r="Q837" s="136"/>
      <c r="R837" s="136"/>
      <c r="S837" s="136"/>
      <c r="T837" s="136"/>
      <c r="U837" s="136"/>
    </row>
    <row r="838" spans="1:21">
      <c r="A838" s="11"/>
      <c r="B838" s="11"/>
      <c r="C838" s="90"/>
      <c r="N838" s="136"/>
      <c r="O838" s="136"/>
      <c r="P838" s="136"/>
      <c r="Q838" s="136"/>
      <c r="R838" s="136"/>
      <c r="S838" s="136"/>
      <c r="T838" s="136"/>
      <c r="U838" s="136"/>
    </row>
    <row r="839" spans="1:21">
      <c r="A839" s="11"/>
      <c r="B839" s="11"/>
      <c r="C839" s="90"/>
      <c r="N839" s="136"/>
      <c r="O839" s="136"/>
      <c r="P839" s="136"/>
      <c r="Q839" s="136"/>
      <c r="R839" s="136"/>
      <c r="S839" s="136"/>
      <c r="T839" s="136"/>
      <c r="U839" s="136"/>
    </row>
    <row r="840" spans="1:21">
      <c r="A840" s="11"/>
      <c r="B840" s="11"/>
      <c r="C840" s="90"/>
      <c r="N840" s="136"/>
      <c r="O840" s="136"/>
      <c r="P840" s="136"/>
      <c r="Q840" s="136"/>
      <c r="R840" s="136"/>
      <c r="S840" s="136"/>
      <c r="T840" s="136"/>
      <c r="U840" s="136"/>
    </row>
    <row r="841" spans="1:21">
      <c r="A841" s="11"/>
      <c r="B841" s="11"/>
      <c r="C841" s="90"/>
      <c r="N841" s="136"/>
      <c r="O841" s="136"/>
      <c r="P841" s="136"/>
      <c r="Q841" s="136"/>
      <c r="R841" s="136"/>
      <c r="S841" s="136"/>
      <c r="T841" s="136"/>
      <c r="U841" s="136"/>
    </row>
    <row r="842" spans="1:21">
      <c r="A842" s="11"/>
      <c r="B842" s="11"/>
      <c r="C842" s="90"/>
      <c r="N842" s="136"/>
      <c r="O842" s="136"/>
      <c r="P842" s="136"/>
      <c r="Q842" s="136"/>
      <c r="R842" s="136"/>
      <c r="S842" s="136"/>
      <c r="T842" s="136"/>
      <c r="U842" s="136"/>
    </row>
    <row r="843" spans="1:21">
      <c r="A843" s="11"/>
      <c r="B843" s="11"/>
      <c r="C843" s="90"/>
      <c r="N843" s="136"/>
      <c r="O843" s="136"/>
      <c r="P843" s="136"/>
      <c r="Q843" s="136"/>
      <c r="R843" s="136"/>
      <c r="S843" s="136"/>
      <c r="T843" s="136"/>
      <c r="U843" s="136"/>
    </row>
    <row r="844" spans="1:21">
      <c r="A844" s="11"/>
      <c r="B844" s="11"/>
      <c r="C844" s="90"/>
      <c r="N844" s="136"/>
      <c r="O844" s="136"/>
      <c r="P844" s="136"/>
      <c r="Q844" s="136"/>
      <c r="R844" s="136"/>
      <c r="S844" s="136"/>
      <c r="T844" s="136"/>
      <c r="U844" s="136"/>
    </row>
    <row r="845" spans="1:21">
      <c r="A845" s="11"/>
      <c r="B845" s="11"/>
      <c r="C845" s="90"/>
      <c r="N845" s="136"/>
      <c r="O845" s="136"/>
      <c r="P845" s="136"/>
      <c r="Q845" s="136"/>
      <c r="R845" s="136"/>
      <c r="S845" s="136"/>
      <c r="T845" s="136"/>
      <c r="U845" s="136"/>
    </row>
    <row r="846" spans="1:21">
      <c r="A846" s="11"/>
      <c r="B846" s="11"/>
      <c r="C846" s="90"/>
      <c r="N846" s="136"/>
      <c r="O846" s="136"/>
      <c r="P846" s="136"/>
      <c r="Q846" s="136"/>
      <c r="R846" s="136"/>
      <c r="S846" s="136"/>
      <c r="T846" s="136"/>
      <c r="U846" s="136"/>
    </row>
    <row r="847" spans="1:21">
      <c r="A847" s="11"/>
      <c r="B847" s="11"/>
      <c r="C847" s="90"/>
      <c r="N847" s="136"/>
      <c r="O847" s="136"/>
      <c r="P847" s="136"/>
      <c r="Q847" s="136"/>
      <c r="R847" s="136"/>
      <c r="S847" s="136"/>
      <c r="T847" s="136"/>
      <c r="U847" s="136"/>
    </row>
    <row r="848" spans="1:21">
      <c r="A848" s="11"/>
      <c r="B848" s="11"/>
      <c r="C848" s="90"/>
      <c r="N848" s="136"/>
      <c r="O848" s="136"/>
      <c r="P848" s="136"/>
      <c r="Q848" s="136"/>
      <c r="R848" s="136"/>
      <c r="S848" s="136"/>
      <c r="T848" s="136"/>
      <c r="U848" s="136"/>
    </row>
    <row r="849" spans="1:21">
      <c r="A849" s="11"/>
      <c r="B849" s="11"/>
      <c r="C849" s="90"/>
      <c r="N849" s="136"/>
      <c r="O849" s="136"/>
      <c r="P849" s="136"/>
      <c r="Q849" s="136"/>
      <c r="R849" s="136"/>
      <c r="S849" s="136"/>
      <c r="T849" s="136"/>
      <c r="U849" s="136"/>
    </row>
    <row r="850" spans="1:21">
      <c r="A850" s="11"/>
      <c r="B850" s="11"/>
      <c r="C850" s="90"/>
      <c r="N850" s="136"/>
      <c r="O850" s="136"/>
      <c r="P850" s="136"/>
      <c r="Q850" s="136"/>
      <c r="R850" s="136"/>
      <c r="S850" s="136"/>
      <c r="T850" s="136"/>
      <c r="U850" s="136"/>
    </row>
    <row r="851" spans="1:21">
      <c r="A851" s="11"/>
      <c r="B851" s="11"/>
      <c r="C851" s="90"/>
      <c r="N851" s="136"/>
      <c r="O851" s="136"/>
      <c r="P851" s="136"/>
      <c r="Q851" s="136"/>
      <c r="R851" s="136"/>
      <c r="S851" s="136"/>
      <c r="T851" s="136"/>
      <c r="U851" s="136"/>
    </row>
    <row r="852" spans="1:21">
      <c r="A852" s="11"/>
      <c r="B852" s="11"/>
      <c r="C852" s="90"/>
      <c r="N852" s="136"/>
      <c r="O852" s="136"/>
      <c r="P852" s="136"/>
      <c r="Q852" s="136"/>
      <c r="R852" s="136"/>
      <c r="S852" s="136"/>
      <c r="T852" s="136"/>
      <c r="U852" s="136"/>
    </row>
    <row r="853" spans="1:21">
      <c r="A853" s="11"/>
      <c r="B853" s="11"/>
      <c r="C853" s="90"/>
      <c r="N853" s="136"/>
      <c r="O853" s="136"/>
      <c r="P853" s="136"/>
      <c r="Q853" s="136"/>
      <c r="R853" s="136"/>
      <c r="S853" s="136"/>
      <c r="T853" s="136"/>
      <c r="U853" s="136"/>
    </row>
    <row r="854" spans="1:21">
      <c r="A854" s="11"/>
      <c r="B854" s="11"/>
      <c r="C854" s="90"/>
      <c r="N854" s="136"/>
      <c r="O854" s="136"/>
      <c r="P854" s="136"/>
      <c r="Q854" s="136"/>
      <c r="R854" s="136"/>
      <c r="S854" s="136"/>
      <c r="T854" s="136"/>
      <c r="U854" s="136"/>
    </row>
    <row r="855" spans="1:21">
      <c r="A855" s="11"/>
      <c r="B855" s="11"/>
      <c r="C855" s="90"/>
      <c r="N855" s="136"/>
      <c r="O855" s="136"/>
      <c r="P855" s="136"/>
      <c r="Q855" s="136"/>
      <c r="R855" s="136"/>
      <c r="S855" s="136"/>
      <c r="T855" s="136"/>
      <c r="U855" s="136"/>
    </row>
    <row r="856" spans="1:21">
      <c r="A856" s="11"/>
      <c r="B856" s="11"/>
      <c r="C856" s="90"/>
      <c r="N856" s="136"/>
      <c r="O856" s="136"/>
      <c r="P856" s="136"/>
      <c r="Q856" s="136"/>
      <c r="R856" s="136"/>
      <c r="S856" s="136"/>
      <c r="T856" s="136"/>
      <c r="U856" s="136"/>
    </row>
    <row r="857" spans="1:21">
      <c r="A857" s="11"/>
      <c r="B857" s="11"/>
      <c r="C857" s="90"/>
      <c r="N857" s="136"/>
      <c r="O857" s="136"/>
      <c r="P857" s="136"/>
      <c r="Q857" s="136"/>
      <c r="R857" s="136"/>
      <c r="S857" s="136"/>
      <c r="T857" s="136"/>
      <c r="U857" s="136"/>
    </row>
    <row r="858" spans="1:21">
      <c r="A858" s="11"/>
      <c r="B858" s="11"/>
      <c r="C858" s="90"/>
      <c r="N858" s="136"/>
      <c r="O858" s="136"/>
      <c r="P858" s="136"/>
      <c r="Q858" s="136"/>
      <c r="R858" s="136"/>
      <c r="S858" s="136"/>
      <c r="T858" s="136"/>
      <c r="U858" s="136"/>
    </row>
    <row r="859" spans="1:21">
      <c r="A859" s="11"/>
      <c r="B859" s="11"/>
      <c r="C859" s="90"/>
      <c r="N859" s="136"/>
      <c r="O859" s="136"/>
      <c r="P859" s="136"/>
      <c r="Q859" s="136"/>
      <c r="R859" s="136"/>
      <c r="S859" s="136"/>
      <c r="T859" s="136"/>
      <c r="U859" s="136"/>
    </row>
    <row r="860" spans="1:21">
      <c r="A860" s="11"/>
      <c r="B860" s="11"/>
      <c r="C860" s="90"/>
      <c r="N860" s="136"/>
      <c r="O860" s="136"/>
      <c r="P860" s="136"/>
      <c r="Q860" s="136"/>
      <c r="R860" s="136"/>
      <c r="S860" s="136"/>
      <c r="T860" s="136"/>
      <c r="U860" s="136"/>
    </row>
    <row r="861" spans="1:21">
      <c r="A861" s="11"/>
      <c r="B861" s="11"/>
      <c r="C861" s="90"/>
      <c r="N861" s="136"/>
      <c r="O861" s="136"/>
      <c r="P861" s="136"/>
      <c r="Q861" s="136"/>
      <c r="R861" s="136"/>
      <c r="S861" s="136"/>
      <c r="T861" s="136"/>
      <c r="U861" s="136"/>
    </row>
    <row r="862" spans="1:21">
      <c r="A862" s="11"/>
      <c r="B862" s="11"/>
      <c r="C862" s="90"/>
      <c r="N862" s="136"/>
      <c r="O862" s="136"/>
      <c r="P862" s="136"/>
      <c r="Q862" s="136"/>
      <c r="R862" s="136"/>
      <c r="S862" s="136"/>
      <c r="T862" s="136"/>
      <c r="U862" s="136"/>
    </row>
    <row r="863" spans="1:21">
      <c r="A863" s="11"/>
      <c r="B863" s="11"/>
      <c r="C863" s="90"/>
      <c r="N863" s="136"/>
      <c r="O863" s="136"/>
      <c r="P863" s="136"/>
      <c r="Q863" s="136"/>
      <c r="R863" s="136"/>
      <c r="S863" s="136"/>
      <c r="T863" s="136"/>
      <c r="U863" s="136"/>
    </row>
    <row r="864" spans="1:21">
      <c r="A864" s="11"/>
      <c r="B864" s="11"/>
      <c r="C864" s="90"/>
      <c r="N864" s="136"/>
      <c r="O864" s="136"/>
      <c r="P864" s="136"/>
      <c r="Q864" s="136"/>
      <c r="R864" s="136"/>
      <c r="S864" s="136"/>
      <c r="T864" s="136"/>
      <c r="U864" s="136"/>
    </row>
    <row r="865" spans="1:21">
      <c r="A865" s="11"/>
      <c r="B865" s="11"/>
      <c r="C865" s="90"/>
      <c r="N865" s="136"/>
      <c r="O865" s="136"/>
      <c r="P865" s="136"/>
      <c r="Q865" s="136"/>
      <c r="R865" s="136"/>
      <c r="S865" s="136"/>
      <c r="T865" s="136"/>
      <c r="U865" s="136"/>
    </row>
    <row r="866" spans="1:21">
      <c r="A866" s="11"/>
      <c r="B866" s="11"/>
      <c r="C866" s="90"/>
      <c r="N866" s="136"/>
      <c r="O866" s="136"/>
      <c r="P866" s="136"/>
      <c r="Q866" s="136"/>
      <c r="R866" s="136"/>
      <c r="S866" s="136"/>
      <c r="T866" s="136"/>
      <c r="U866" s="136"/>
    </row>
    <row r="867" spans="1:21">
      <c r="A867" s="11"/>
      <c r="B867" s="11"/>
      <c r="C867" s="90"/>
      <c r="N867" s="136"/>
      <c r="O867" s="136"/>
      <c r="P867" s="136"/>
      <c r="Q867" s="136"/>
      <c r="R867" s="136"/>
      <c r="S867" s="136"/>
      <c r="T867" s="136"/>
      <c r="U867" s="136"/>
    </row>
    <row r="868" spans="1:21">
      <c r="A868" s="11"/>
      <c r="B868" s="11"/>
      <c r="C868" s="90"/>
      <c r="N868" s="136"/>
      <c r="O868" s="136"/>
      <c r="P868" s="136"/>
      <c r="Q868" s="136"/>
      <c r="R868" s="136"/>
      <c r="S868" s="136"/>
      <c r="T868" s="136"/>
      <c r="U868" s="136"/>
    </row>
    <row r="869" spans="1:21">
      <c r="A869" s="11"/>
      <c r="B869" s="11"/>
      <c r="C869" s="90"/>
      <c r="N869" s="136"/>
      <c r="O869" s="136"/>
      <c r="P869" s="136"/>
      <c r="Q869" s="136"/>
      <c r="R869" s="136"/>
      <c r="S869" s="136"/>
      <c r="T869" s="136"/>
      <c r="U869" s="136"/>
    </row>
    <row r="870" spans="1:21">
      <c r="A870" s="11"/>
      <c r="B870" s="11"/>
      <c r="C870" s="90"/>
      <c r="N870" s="136"/>
      <c r="O870" s="136"/>
      <c r="P870" s="136"/>
      <c r="Q870" s="136"/>
      <c r="R870" s="136"/>
      <c r="S870" s="136"/>
      <c r="T870" s="136"/>
      <c r="U870" s="136"/>
    </row>
    <row r="871" spans="1:21">
      <c r="A871" s="11"/>
      <c r="B871" s="11"/>
      <c r="C871" s="90"/>
      <c r="N871" s="136"/>
      <c r="O871" s="136"/>
      <c r="P871" s="136"/>
      <c r="Q871" s="136"/>
      <c r="R871" s="136"/>
      <c r="S871" s="136"/>
      <c r="T871" s="136"/>
      <c r="U871" s="136"/>
    </row>
    <row r="872" spans="1:21">
      <c r="A872" s="11"/>
      <c r="B872" s="11"/>
      <c r="C872" s="90"/>
      <c r="N872" s="136"/>
      <c r="O872" s="136"/>
      <c r="P872" s="136"/>
      <c r="Q872" s="136"/>
      <c r="R872" s="136"/>
      <c r="S872" s="136"/>
      <c r="T872" s="136"/>
      <c r="U872" s="136"/>
    </row>
    <row r="873" spans="1:21">
      <c r="A873" s="11"/>
      <c r="B873" s="11"/>
      <c r="C873" s="90"/>
      <c r="N873" s="136"/>
      <c r="O873" s="136"/>
      <c r="P873" s="136"/>
      <c r="Q873" s="136"/>
      <c r="R873" s="136"/>
      <c r="S873" s="136"/>
      <c r="T873" s="136"/>
      <c r="U873" s="136"/>
    </row>
    <row r="874" spans="1:21">
      <c r="A874" s="11"/>
      <c r="B874" s="11"/>
      <c r="C874" s="90"/>
      <c r="N874" s="136"/>
      <c r="O874" s="136"/>
      <c r="P874" s="136"/>
      <c r="Q874" s="136"/>
      <c r="R874" s="136"/>
      <c r="S874" s="136"/>
      <c r="T874" s="136"/>
      <c r="U874" s="136"/>
    </row>
    <row r="875" spans="1:21">
      <c r="A875" s="11"/>
      <c r="B875" s="11"/>
      <c r="C875" s="90"/>
      <c r="N875" s="136"/>
      <c r="O875" s="136"/>
      <c r="P875" s="136"/>
      <c r="Q875" s="136"/>
      <c r="R875" s="136"/>
      <c r="S875" s="136"/>
      <c r="T875" s="136"/>
      <c r="U875" s="136"/>
    </row>
    <row r="876" spans="1:21">
      <c r="A876" s="11"/>
      <c r="B876" s="11"/>
      <c r="C876" s="90"/>
      <c r="N876" s="136"/>
      <c r="O876" s="136"/>
      <c r="P876" s="136"/>
      <c r="Q876" s="136"/>
      <c r="R876" s="136"/>
      <c r="S876" s="136"/>
      <c r="T876" s="136"/>
      <c r="U876" s="136"/>
    </row>
    <row r="877" spans="1:21">
      <c r="A877" s="11"/>
      <c r="B877" s="11"/>
      <c r="C877" s="90"/>
      <c r="N877" s="136"/>
      <c r="O877" s="136"/>
      <c r="P877" s="136"/>
      <c r="Q877" s="136"/>
      <c r="R877" s="136"/>
      <c r="S877" s="136"/>
      <c r="T877" s="136"/>
      <c r="U877" s="136"/>
    </row>
    <row r="878" spans="1:21">
      <c r="A878" s="11"/>
      <c r="B878" s="11"/>
      <c r="C878" s="90"/>
      <c r="N878" s="136"/>
      <c r="O878" s="136"/>
      <c r="P878" s="136"/>
      <c r="Q878" s="136"/>
      <c r="R878" s="136"/>
      <c r="S878" s="136"/>
      <c r="T878" s="136"/>
      <c r="U878" s="136"/>
    </row>
    <row r="879" spans="1:21">
      <c r="A879" s="11"/>
      <c r="B879" s="11"/>
      <c r="C879" s="90"/>
      <c r="N879" s="136"/>
      <c r="O879" s="136"/>
      <c r="P879" s="136"/>
      <c r="Q879" s="136"/>
      <c r="R879" s="136"/>
      <c r="S879" s="136"/>
      <c r="T879" s="136"/>
      <c r="U879" s="136"/>
    </row>
    <row r="880" spans="1:21">
      <c r="A880" s="11"/>
      <c r="B880" s="11"/>
      <c r="C880" s="90"/>
      <c r="N880" s="136"/>
      <c r="O880" s="136"/>
      <c r="P880" s="136"/>
      <c r="Q880" s="136"/>
      <c r="R880" s="136"/>
      <c r="S880" s="136"/>
      <c r="T880" s="136"/>
      <c r="U880" s="136"/>
    </row>
    <row r="881" spans="1:21">
      <c r="A881" s="11"/>
      <c r="B881" s="11"/>
      <c r="C881" s="90"/>
      <c r="N881" s="136"/>
      <c r="O881" s="136"/>
      <c r="P881" s="136"/>
      <c r="Q881" s="136"/>
      <c r="R881" s="136"/>
      <c r="S881" s="136"/>
      <c r="T881" s="136"/>
      <c r="U881" s="136"/>
    </row>
    <row r="882" spans="1:21">
      <c r="A882" s="11"/>
      <c r="B882" s="11"/>
      <c r="C882" s="90"/>
      <c r="N882" s="136"/>
      <c r="O882" s="136"/>
      <c r="P882" s="136"/>
      <c r="Q882" s="136"/>
      <c r="R882" s="136"/>
      <c r="S882" s="136"/>
      <c r="T882" s="136"/>
      <c r="U882" s="136"/>
    </row>
    <row r="883" spans="1:21">
      <c r="A883" s="11"/>
      <c r="B883" s="11"/>
      <c r="C883" s="90"/>
      <c r="N883" s="136"/>
      <c r="O883" s="136"/>
      <c r="P883" s="136"/>
      <c r="Q883" s="136"/>
      <c r="R883" s="136"/>
      <c r="S883" s="136"/>
      <c r="T883" s="136"/>
      <c r="U883" s="136"/>
    </row>
    <row r="884" spans="1:21">
      <c r="A884" s="11"/>
      <c r="B884" s="11"/>
      <c r="C884" s="90"/>
      <c r="N884" s="136"/>
      <c r="O884" s="136"/>
      <c r="P884" s="136"/>
      <c r="Q884" s="136"/>
      <c r="R884" s="136"/>
      <c r="S884" s="136"/>
      <c r="T884" s="136"/>
      <c r="U884" s="136"/>
    </row>
    <row r="885" spans="1:21">
      <c r="A885" s="11"/>
      <c r="B885" s="11"/>
      <c r="C885" s="90"/>
      <c r="N885" s="136"/>
      <c r="O885" s="136"/>
      <c r="P885" s="136"/>
      <c r="Q885" s="136"/>
      <c r="R885" s="136"/>
      <c r="S885" s="136"/>
      <c r="T885" s="136"/>
      <c r="U885" s="136"/>
    </row>
    <row r="886" spans="1:21">
      <c r="A886" s="11"/>
      <c r="B886" s="11"/>
      <c r="C886" s="90"/>
      <c r="N886" s="136"/>
      <c r="O886" s="136"/>
      <c r="P886" s="136"/>
      <c r="Q886" s="136"/>
      <c r="R886" s="136"/>
      <c r="S886" s="136"/>
      <c r="T886" s="136"/>
      <c r="U886" s="136"/>
    </row>
    <row r="887" spans="1:21">
      <c r="A887" s="11"/>
      <c r="B887" s="11"/>
      <c r="C887" s="90"/>
      <c r="N887" s="136"/>
      <c r="O887" s="136"/>
      <c r="P887" s="136"/>
      <c r="Q887" s="136"/>
      <c r="R887" s="136"/>
      <c r="S887" s="136"/>
      <c r="T887" s="136"/>
      <c r="U887" s="136"/>
    </row>
    <row r="888" spans="1:21">
      <c r="A888" s="11"/>
      <c r="B888" s="11"/>
      <c r="C888" s="90"/>
      <c r="N888" s="136"/>
      <c r="O888" s="136"/>
      <c r="P888" s="136"/>
      <c r="Q888" s="136"/>
      <c r="R888" s="136"/>
      <c r="S888" s="136"/>
      <c r="T888" s="136"/>
      <c r="U888" s="136"/>
    </row>
    <row r="889" spans="1:21">
      <c r="A889" s="11"/>
      <c r="B889" s="11"/>
      <c r="C889" s="90"/>
      <c r="N889" s="136"/>
      <c r="O889" s="136"/>
      <c r="P889" s="136"/>
      <c r="Q889" s="136"/>
      <c r="R889" s="136"/>
      <c r="S889" s="136"/>
      <c r="T889" s="136"/>
      <c r="U889" s="136"/>
    </row>
    <row r="890" spans="1:21">
      <c r="A890" s="11"/>
      <c r="B890" s="11"/>
      <c r="C890" s="90"/>
      <c r="N890" s="136"/>
      <c r="O890" s="136"/>
      <c r="P890" s="136"/>
      <c r="Q890" s="136"/>
      <c r="R890" s="136"/>
      <c r="S890" s="136"/>
      <c r="T890" s="136"/>
      <c r="U890" s="136"/>
    </row>
    <row r="891" spans="1:21">
      <c r="A891" s="11"/>
      <c r="B891" s="11"/>
      <c r="C891" s="90"/>
      <c r="N891" s="136"/>
      <c r="O891" s="136"/>
      <c r="P891" s="136"/>
      <c r="Q891" s="136"/>
      <c r="R891" s="136"/>
      <c r="S891" s="136"/>
      <c r="T891" s="136"/>
      <c r="U891" s="136"/>
    </row>
    <row r="892" spans="1:21">
      <c r="A892" s="11"/>
      <c r="B892" s="11"/>
      <c r="C892" s="90"/>
      <c r="N892" s="136"/>
      <c r="O892" s="136"/>
      <c r="P892" s="136"/>
      <c r="Q892" s="136"/>
      <c r="R892" s="136"/>
      <c r="S892" s="136"/>
      <c r="T892" s="136"/>
      <c r="U892" s="136"/>
    </row>
    <row r="893" spans="1:21">
      <c r="A893" s="11"/>
      <c r="B893" s="11"/>
      <c r="C893" s="90"/>
      <c r="N893" s="136"/>
      <c r="O893" s="136"/>
      <c r="P893" s="136"/>
      <c r="Q893" s="136"/>
      <c r="R893" s="136"/>
      <c r="S893" s="136"/>
      <c r="T893" s="136"/>
      <c r="U893" s="136"/>
    </row>
    <row r="894" spans="1:21">
      <c r="A894" s="11"/>
      <c r="B894" s="11"/>
      <c r="C894" s="90"/>
      <c r="N894" s="136"/>
      <c r="O894" s="136"/>
      <c r="P894" s="136"/>
      <c r="Q894" s="136"/>
      <c r="R894" s="136"/>
      <c r="S894" s="136"/>
      <c r="T894" s="136"/>
      <c r="U894" s="136"/>
    </row>
    <row r="895" spans="1:21">
      <c r="A895" s="11"/>
      <c r="B895" s="11"/>
      <c r="C895" s="90"/>
      <c r="N895" s="136"/>
      <c r="O895" s="136"/>
      <c r="P895" s="136"/>
      <c r="Q895" s="136"/>
      <c r="R895" s="136"/>
      <c r="S895" s="136"/>
      <c r="T895" s="136"/>
      <c r="U895" s="136"/>
    </row>
    <row r="896" spans="1:21">
      <c r="A896" s="11"/>
      <c r="B896" s="11"/>
      <c r="C896" s="90"/>
      <c r="N896" s="136"/>
      <c r="O896" s="136"/>
      <c r="P896" s="136"/>
      <c r="Q896" s="136"/>
      <c r="R896" s="136"/>
      <c r="S896" s="136"/>
      <c r="T896" s="136"/>
      <c r="U896" s="136"/>
    </row>
    <row r="897" spans="1:21">
      <c r="A897" s="11"/>
      <c r="B897" s="11"/>
      <c r="C897" s="90"/>
      <c r="N897" s="136"/>
      <c r="O897" s="136"/>
      <c r="P897" s="136"/>
      <c r="Q897" s="136"/>
      <c r="R897" s="136"/>
      <c r="S897" s="136"/>
      <c r="T897" s="136"/>
      <c r="U897" s="136"/>
    </row>
    <row r="898" spans="1:21">
      <c r="A898" s="11"/>
      <c r="B898" s="11"/>
      <c r="C898" s="90"/>
      <c r="N898" s="136"/>
      <c r="O898" s="136"/>
      <c r="P898" s="136"/>
      <c r="Q898" s="136"/>
      <c r="R898" s="136"/>
      <c r="S898" s="136"/>
      <c r="T898" s="136"/>
      <c r="U898" s="136"/>
    </row>
    <row r="899" spans="1:21">
      <c r="A899" s="11"/>
      <c r="B899" s="11"/>
      <c r="C899" s="90"/>
      <c r="N899" s="136"/>
      <c r="O899" s="136"/>
      <c r="P899" s="136"/>
      <c r="Q899" s="136"/>
      <c r="R899" s="136"/>
      <c r="S899" s="136"/>
      <c r="T899" s="136"/>
      <c r="U899" s="136"/>
    </row>
    <row r="900" spans="1:21">
      <c r="A900" s="11"/>
      <c r="B900" s="11"/>
      <c r="C900" s="90"/>
      <c r="N900" s="136"/>
      <c r="O900" s="136"/>
      <c r="P900" s="136"/>
      <c r="Q900" s="136"/>
      <c r="R900" s="136"/>
      <c r="S900" s="136"/>
      <c r="T900" s="136"/>
      <c r="U900" s="136"/>
    </row>
    <row r="901" spans="1:21">
      <c r="A901" s="11"/>
      <c r="B901" s="11"/>
      <c r="C901" s="90"/>
      <c r="N901" s="136"/>
      <c r="O901" s="136"/>
      <c r="P901" s="136"/>
      <c r="Q901" s="136"/>
      <c r="R901" s="136"/>
      <c r="S901" s="136"/>
      <c r="T901" s="136"/>
      <c r="U901" s="136"/>
    </row>
    <row r="902" spans="1:21">
      <c r="A902" s="11"/>
      <c r="B902" s="11"/>
      <c r="C902" s="90"/>
      <c r="N902" s="136"/>
      <c r="O902" s="136"/>
      <c r="P902" s="136"/>
      <c r="Q902" s="136"/>
      <c r="R902" s="136"/>
      <c r="S902" s="136"/>
      <c r="T902" s="136"/>
      <c r="U902" s="136"/>
    </row>
    <row r="903" spans="1:21">
      <c r="A903" s="11"/>
      <c r="B903" s="11"/>
      <c r="C903" s="90"/>
      <c r="N903" s="136"/>
      <c r="O903" s="136"/>
      <c r="P903" s="136"/>
      <c r="Q903" s="136"/>
      <c r="R903" s="136"/>
      <c r="S903" s="136"/>
      <c r="T903" s="136"/>
      <c r="U903" s="136"/>
    </row>
    <row r="904" spans="1:21">
      <c r="A904" s="11"/>
      <c r="B904" s="11"/>
      <c r="C904" s="90"/>
      <c r="N904" s="136"/>
      <c r="O904" s="136"/>
      <c r="P904" s="136"/>
      <c r="Q904" s="136"/>
      <c r="R904" s="136"/>
      <c r="S904" s="136"/>
      <c r="T904" s="136"/>
      <c r="U904" s="136"/>
    </row>
    <row r="905" spans="1:21">
      <c r="A905" s="11"/>
      <c r="B905" s="11"/>
      <c r="C905" s="90"/>
      <c r="N905" s="136"/>
      <c r="O905" s="136"/>
      <c r="P905" s="136"/>
      <c r="Q905" s="136"/>
      <c r="R905" s="136"/>
      <c r="S905" s="136"/>
      <c r="T905" s="136"/>
      <c r="U905" s="136"/>
    </row>
    <row r="906" spans="1:21">
      <c r="A906" s="11"/>
      <c r="B906" s="11"/>
      <c r="C906" s="90"/>
      <c r="N906" s="136"/>
      <c r="O906" s="136"/>
      <c r="P906" s="136"/>
      <c r="Q906" s="136"/>
      <c r="R906" s="136"/>
      <c r="S906" s="136"/>
      <c r="T906" s="136"/>
      <c r="U906" s="136"/>
    </row>
    <row r="907" spans="1:21">
      <c r="A907" s="11"/>
      <c r="B907" s="11"/>
      <c r="C907" s="90"/>
      <c r="N907" s="136"/>
      <c r="O907" s="136"/>
      <c r="P907" s="136"/>
      <c r="Q907" s="136"/>
      <c r="R907" s="136"/>
      <c r="S907" s="136"/>
      <c r="T907" s="136"/>
      <c r="U907" s="136"/>
    </row>
    <row r="908" spans="1:21">
      <c r="A908" s="11"/>
      <c r="B908" s="11"/>
      <c r="C908" s="90"/>
      <c r="N908" s="136"/>
      <c r="O908" s="136"/>
      <c r="P908" s="136"/>
      <c r="Q908" s="136"/>
      <c r="R908" s="136"/>
      <c r="S908" s="136"/>
      <c r="T908" s="136"/>
      <c r="U908" s="136"/>
    </row>
    <row r="909" spans="1:21">
      <c r="A909" s="11"/>
      <c r="B909" s="11"/>
      <c r="C909" s="90"/>
      <c r="N909" s="136"/>
      <c r="O909" s="136"/>
      <c r="P909" s="136"/>
      <c r="Q909" s="136"/>
      <c r="R909" s="136"/>
      <c r="S909" s="136"/>
      <c r="T909" s="136"/>
      <c r="U909" s="136"/>
    </row>
    <row r="910" spans="1:21">
      <c r="A910" s="11"/>
      <c r="B910" s="11"/>
      <c r="C910" s="90"/>
      <c r="N910" s="136"/>
      <c r="O910" s="136"/>
      <c r="P910" s="136"/>
      <c r="Q910" s="136"/>
      <c r="R910" s="136"/>
      <c r="S910" s="136"/>
      <c r="T910" s="136"/>
      <c r="U910" s="136"/>
    </row>
    <row r="911" spans="1:21">
      <c r="A911" s="11"/>
      <c r="B911" s="11"/>
      <c r="C911" s="90"/>
      <c r="N911" s="136"/>
      <c r="O911" s="136"/>
      <c r="P911" s="136"/>
      <c r="Q911" s="136"/>
      <c r="R911" s="136"/>
      <c r="S911" s="136"/>
      <c r="T911" s="136"/>
      <c r="U911" s="136"/>
    </row>
    <row r="912" spans="1:21">
      <c r="A912" s="11"/>
      <c r="B912" s="11"/>
      <c r="C912" s="90"/>
      <c r="N912" s="136"/>
      <c r="O912" s="136"/>
      <c r="P912" s="136"/>
      <c r="Q912" s="136"/>
      <c r="R912" s="136"/>
      <c r="S912" s="136"/>
      <c r="T912" s="136"/>
      <c r="U912" s="136"/>
    </row>
    <row r="913" spans="1:21">
      <c r="A913" s="11"/>
      <c r="B913" s="11"/>
      <c r="C913" s="90"/>
      <c r="N913" s="136"/>
      <c r="O913" s="136"/>
      <c r="P913" s="136"/>
      <c r="Q913" s="136"/>
      <c r="R913" s="136"/>
      <c r="S913" s="136"/>
      <c r="T913" s="136"/>
      <c r="U913" s="136"/>
    </row>
    <row r="914" spans="1:21">
      <c r="A914" s="11"/>
      <c r="B914" s="11"/>
      <c r="C914" s="90"/>
      <c r="N914" s="136"/>
      <c r="O914" s="136"/>
      <c r="P914" s="136"/>
      <c r="Q914" s="136"/>
      <c r="R914" s="136"/>
      <c r="S914" s="136"/>
      <c r="T914" s="136"/>
      <c r="U914" s="136"/>
    </row>
    <row r="915" spans="1:21">
      <c r="A915" s="11"/>
      <c r="B915" s="11"/>
      <c r="C915" s="90"/>
      <c r="N915" s="136"/>
      <c r="O915" s="136"/>
      <c r="P915" s="136"/>
      <c r="Q915" s="136"/>
      <c r="R915" s="136"/>
      <c r="S915" s="136"/>
      <c r="T915" s="136"/>
      <c r="U915" s="136"/>
    </row>
    <row r="916" spans="1:21">
      <c r="A916" s="11"/>
      <c r="B916" s="11"/>
      <c r="C916" s="90"/>
      <c r="N916" s="136"/>
      <c r="O916" s="136"/>
      <c r="P916" s="136"/>
      <c r="Q916" s="136"/>
      <c r="R916" s="136"/>
      <c r="S916" s="136"/>
      <c r="T916" s="136"/>
      <c r="U916" s="136"/>
    </row>
    <row r="917" spans="1:21">
      <c r="A917" s="11"/>
      <c r="B917" s="11"/>
      <c r="C917" s="90"/>
      <c r="N917" s="136"/>
      <c r="O917" s="136"/>
      <c r="P917" s="136"/>
      <c r="Q917" s="136"/>
      <c r="R917" s="136"/>
      <c r="S917" s="136"/>
      <c r="T917" s="136"/>
      <c r="U917" s="136"/>
    </row>
    <row r="918" spans="1:21">
      <c r="A918" s="11"/>
      <c r="B918" s="11"/>
      <c r="C918" s="90"/>
      <c r="N918" s="136"/>
      <c r="O918" s="136"/>
      <c r="P918" s="136"/>
      <c r="Q918" s="136"/>
      <c r="R918" s="136"/>
      <c r="S918" s="136"/>
      <c r="T918" s="136"/>
      <c r="U918" s="136"/>
    </row>
    <row r="919" spans="1:21">
      <c r="A919" s="11"/>
      <c r="B919" s="11"/>
      <c r="C919" s="90"/>
      <c r="N919" s="136"/>
      <c r="O919" s="136"/>
      <c r="P919" s="136"/>
      <c r="Q919" s="136"/>
      <c r="R919" s="136"/>
      <c r="S919" s="136"/>
      <c r="T919" s="136"/>
      <c r="U919" s="136"/>
    </row>
    <row r="920" spans="1:21">
      <c r="A920" s="11"/>
      <c r="B920" s="11"/>
      <c r="C920" s="90"/>
      <c r="N920" s="136"/>
      <c r="O920" s="136"/>
      <c r="P920" s="136"/>
      <c r="Q920" s="136"/>
      <c r="R920" s="136"/>
      <c r="S920" s="136"/>
      <c r="T920" s="136"/>
      <c r="U920" s="136"/>
    </row>
    <row r="921" spans="1:21">
      <c r="A921" s="11"/>
      <c r="B921" s="11"/>
      <c r="C921" s="90"/>
      <c r="N921" s="136"/>
      <c r="O921" s="136"/>
      <c r="P921" s="136"/>
      <c r="Q921" s="136"/>
      <c r="R921" s="136"/>
      <c r="S921" s="136"/>
      <c r="T921" s="136"/>
      <c r="U921" s="136"/>
    </row>
    <row r="922" spans="1:21">
      <c r="A922" s="11"/>
      <c r="B922" s="11"/>
      <c r="C922" s="90"/>
      <c r="N922" s="136"/>
      <c r="O922" s="136"/>
      <c r="P922" s="136"/>
      <c r="Q922" s="136"/>
      <c r="R922" s="136"/>
      <c r="S922" s="136"/>
      <c r="T922" s="136"/>
      <c r="U922" s="136"/>
    </row>
    <row r="923" spans="1:21">
      <c r="A923" s="11"/>
      <c r="B923" s="11"/>
      <c r="C923" s="90"/>
      <c r="N923" s="136"/>
      <c r="O923" s="136"/>
      <c r="P923" s="136"/>
      <c r="Q923" s="136"/>
      <c r="R923" s="136"/>
      <c r="S923" s="136"/>
      <c r="T923" s="136"/>
      <c r="U923" s="136"/>
    </row>
    <row r="924" spans="1:21">
      <c r="A924" s="11"/>
      <c r="B924" s="11"/>
      <c r="C924" s="90"/>
      <c r="N924" s="136"/>
      <c r="O924" s="136"/>
      <c r="P924" s="136"/>
      <c r="Q924" s="136"/>
      <c r="R924" s="136"/>
      <c r="S924" s="136"/>
      <c r="T924" s="136"/>
      <c r="U924" s="136"/>
    </row>
    <row r="925" spans="1:21">
      <c r="A925" s="11"/>
      <c r="B925" s="11"/>
      <c r="C925" s="90"/>
      <c r="N925" s="136"/>
      <c r="O925" s="136"/>
      <c r="P925" s="136"/>
      <c r="Q925" s="136"/>
      <c r="R925" s="136"/>
      <c r="S925" s="136"/>
      <c r="T925" s="136"/>
      <c r="U925" s="136"/>
    </row>
    <row r="926" spans="1:21">
      <c r="A926" s="11"/>
      <c r="B926" s="11"/>
      <c r="C926" s="90"/>
      <c r="N926" s="136"/>
      <c r="O926" s="136"/>
      <c r="P926" s="136"/>
      <c r="Q926" s="136"/>
      <c r="R926" s="136"/>
      <c r="S926" s="136"/>
      <c r="T926" s="136"/>
      <c r="U926" s="136"/>
    </row>
    <row r="927" spans="1:21">
      <c r="A927" s="11"/>
      <c r="B927" s="11"/>
      <c r="C927" s="90"/>
      <c r="N927" s="136"/>
      <c r="O927" s="136"/>
      <c r="P927" s="136"/>
      <c r="Q927" s="136"/>
      <c r="R927" s="136"/>
      <c r="S927" s="136"/>
      <c r="T927" s="136"/>
      <c r="U927" s="136"/>
    </row>
    <row r="928" spans="1:21">
      <c r="A928" s="11"/>
      <c r="B928" s="11"/>
      <c r="C928" s="90"/>
      <c r="N928" s="136"/>
      <c r="O928" s="136"/>
      <c r="P928" s="136"/>
      <c r="Q928" s="136"/>
      <c r="R928" s="136"/>
      <c r="S928" s="136"/>
      <c r="T928" s="136"/>
      <c r="U928" s="136"/>
    </row>
    <row r="929" spans="1:21">
      <c r="A929" s="11"/>
      <c r="B929" s="11"/>
      <c r="C929" s="90"/>
      <c r="N929" s="136"/>
      <c r="O929" s="136"/>
      <c r="P929" s="136"/>
      <c r="Q929" s="136"/>
      <c r="R929" s="136"/>
      <c r="S929" s="136"/>
      <c r="T929" s="136"/>
      <c r="U929" s="136"/>
    </row>
    <row r="930" spans="1:21">
      <c r="A930" s="11"/>
      <c r="B930" s="11"/>
      <c r="C930" s="90"/>
      <c r="N930" s="136"/>
      <c r="O930" s="136"/>
      <c r="P930" s="136"/>
      <c r="Q930" s="136"/>
      <c r="R930" s="136"/>
      <c r="S930" s="136"/>
      <c r="T930" s="136"/>
      <c r="U930" s="136"/>
    </row>
    <row r="931" spans="1:21">
      <c r="A931" s="11"/>
      <c r="B931" s="11"/>
      <c r="C931" s="90"/>
      <c r="N931" s="136"/>
      <c r="O931" s="136"/>
      <c r="P931" s="136"/>
      <c r="Q931" s="136"/>
      <c r="R931" s="136"/>
      <c r="S931" s="136"/>
      <c r="T931" s="136"/>
      <c r="U931" s="136"/>
    </row>
    <row r="932" spans="1:21">
      <c r="A932" s="11"/>
      <c r="B932" s="11"/>
      <c r="C932" s="90"/>
      <c r="N932" s="136"/>
      <c r="O932" s="136"/>
      <c r="P932" s="136"/>
      <c r="Q932" s="136"/>
      <c r="R932" s="136"/>
      <c r="S932" s="136"/>
      <c r="T932" s="136"/>
      <c r="U932" s="136"/>
    </row>
    <row r="933" spans="1:21">
      <c r="A933" s="11"/>
      <c r="B933" s="11"/>
      <c r="C933" s="90"/>
      <c r="N933" s="136"/>
      <c r="O933" s="136"/>
      <c r="P933" s="136"/>
      <c r="Q933" s="136"/>
      <c r="R933" s="136"/>
      <c r="S933" s="136"/>
      <c r="T933" s="136"/>
      <c r="U933" s="136"/>
    </row>
    <row r="934" spans="1:21">
      <c r="A934" s="11"/>
      <c r="B934" s="11"/>
      <c r="C934" s="90"/>
      <c r="N934" s="136"/>
      <c r="O934" s="136"/>
      <c r="P934" s="136"/>
      <c r="Q934" s="136"/>
      <c r="R934" s="136"/>
      <c r="S934" s="136"/>
      <c r="T934" s="136"/>
      <c r="U934" s="136"/>
    </row>
    <row r="935" spans="1:21">
      <c r="A935" s="11"/>
      <c r="B935" s="11"/>
      <c r="C935" s="90"/>
      <c r="N935" s="136"/>
      <c r="O935" s="136"/>
      <c r="P935" s="136"/>
      <c r="Q935" s="136"/>
      <c r="R935" s="136"/>
      <c r="S935" s="136"/>
      <c r="T935" s="136"/>
      <c r="U935" s="136"/>
    </row>
    <row r="936" spans="1:21">
      <c r="A936" s="11"/>
      <c r="B936" s="11"/>
      <c r="C936" s="90"/>
      <c r="N936" s="136"/>
      <c r="O936" s="136"/>
      <c r="P936" s="136"/>
      <c r="Q936" s="136"/>
      <c r="R936" s="136"/>
      <c r="S936" s="136"/>
      <c r="T936" s="136"/>
      <c r="U936" s="136"/>
    </row>
    <row r="937" spans="1:21">
      <c r="A937" s="11"/>
      <c r="B937" s="11"/>
      <c r="C937" s="90"/>
      <c r="N937" s="136"/>
      <c r="O937" s="136"/>
      <c r="P937" s="136"/>
      <c r="Q937" s="136"/>
      <c r="R937" s="136"/>
      <c r="S937" s="136"/>
      <c r="T937" s="136"/>
      <c r="U937" s="136"/>
    </row>
    <row r="938" spans="1:21">
      <c r="A938" s="11"/>
      <c r="B938" s="11"/>
      <c r="C938" s="90"/>
      <c r="N938" s="136"/>
      <c r="O938" s="136"/>
      <c r="P938" s="136"/>
      <c r="Q938" s="136"/>
      <c r="R938" s="136"/>
      <c r="S938" s="136"/>
      <c r="T938" s="136"/>
      <c r="U938" s="136"/>
    </row>
    <row r="939" spans="1:21">
      <c r="A939" s="11"/>
      <c r="B939" s="11"/>
      <c r="C939" s="90"/>
      <c r="N939" s="136"/>
      <c r="O939" s="136"/>
      <c r="P939" s="136"/>
      <c r="Q939" s="136"/>
      <c r="R939" s="136"/>
      <c r="S939" s="136"/>
      <c r="T939" s="136"/>
      <c r="U939" s="136"/>
    </row>
    <row r="940" spans="1:21">
      <c r="A940" s="11"/>
      <c r="B940" s="11"/>
      <c r="C940" s="90"/>
      <c r="N940" s="136"/>
      <c r="O940" s="136"/>
      <c r="P940" s="136"/>
      <c r="Q940" s="136"/>
      <c r="R940" s="136"/>
      <c r="S940" s="136"/>
      <c r="T940" s="136"/>
      <c r="U940" s="136"/>
    </row>
    <row r="941" spans="1:21">
      <c r="A941" s="11"/>
      <c r="B941" s="11"/>
      <c r="C941" s="90"/>
      <c r="N941" s="136"/>
      <c r="O941" s="136"/>
      <c r="P941" s="136"/>
      <c r="Q941" s="136"/>
      <c r="R941" s="136"/>
      <c r="S941" s="136"/>
      <c r="T941" s="136"/>
      <c r="U941" s="136"/>
    </row>
    <row r="942" spans="1:21">
      <c r="A942" s="11"/>
      <c r="B942" s="11"/>
      <c r="C942" s="90"/>
      <c r="N942" s="136"/>
      <c r="O942" s="136"/>
      <c r="P942" s="136"/>
      <c r="Q942" s="136"/>
      <c r="R942" s="136"/>
      <c r="S942" s="136"/>
      <c r="T942" s="136"/>
      <c r="U942" s="136"/>
    </row>
    <row r="943" spans="1:21">
      <c r="A943" s="11"/>
      <c r="B943" s="11"/>
      <c r="C943" s="90"/>
      <c r="N943" s="136"/>
      <c r="O943" s="136"/>
      <c r="P943" s="136"/>
      <c r="Q943" s="136"/>
      <c r="R943" s="136"/>
      <c r="S943" s="136"/>
      <c r="T943" s="136"/>
      <c r="U943" s="136"/>
    </row>
    <row r="944" spans="1:21">
      <c r="A944" s="11"/>
      <c r="B944" s="11"/>
      <c r="C944" s="90"/>
      <c r="N944" s="136"/>
      <c r="O944" s="136"/>
      <c r="P944" s="136"/>
      <c r="Q944" s="136"/>
      <c r="R944" s="136"/>
      <c r="S944" s="136"/>
      <c r="T944" s="136"/>
      <c r="U944" s="136"/>
    </row>
    <row r="945" spans="1:21">
      <c r="A945" s="11"/>
      <c r="B945" s="11"/>
      <c r="C945" s="90"/>
      <c r="N945" s="136"/>
      <c r="O945" s="136"/>
      <c r="P945" s="136"/>
      <c r="Q945" s="136"/>
      <c r="R945" s="136"/>
      <c r="S945" s="136"/>
      <c r="T945" s="136"/>
      <c r="U945" s="136"/>
    </row>
    <row r="946" spans="1:21">
      <c r="A946" s="11"/>
      <c r="B946" s="11"/>
      <c r="C946" s="90"/>
      <c r="N946" s="136"/>
      <c r="O946" s="136"/>
      <c r="P946" s="136"/>
      <c r="Q946" s="136"/>
      <c r="R946" s="136"/>
      <c r="S946" s="136"/>
      <c r="T946" s="136"/>
      <c r="U946" s="136"/>
    </row>
    <row r="947" spans="1:21">
      <c r="A947" s="11"/>
      <c r="B947" s="11"/>
      <c r="C947" s="90"/>
      <c r="N947" s="136"/>
      <c r="O947" s="136"/>
      <c r="P947" s="136"/>
      <c r="Q947" s="136"/>
      <c r="R947" s="136"/>
      <c r="S947" s="136"/>
      <c r="T947" s="136"/>
      <c r="U947" s="136"/>
    </row>
    <row r="948" spans="1:21">
      <c r="A948" s="11"/>
      <c r="B948" s="11"/>
      <c r="C948" s="90"/>
      <c r="N948" s="136"/>
      <c r="O948" s="136"/>
      <c r="P948" s="136"/>
      <c r="Q948" s="136"/>
      <c r="R948" s="136"/>
      <c r="S948" s="136"/>
      <c r="T948" s="136"/>
      <c r="U948" s="136"/>
    </row>
    <row r="949" spans="1:21">
      <c r="A949" s="11"/>
      <c r="B949" s="11"/>
      <c r="C949" s="90"/>
      <c r="N949" s="136"/>
      <c r="O949" s="136"/>
      <c r="P949" s="136"/>
      <c r="Q949" s="136"/>
      <c r="R949" s="136"/>
      <c r="S949" s="136"/>
      <c r="T949" s="136"/>
      <c r="U949" s="136"/>
    </row>
    <row r="950" spans="1:21">
      <c r="A950" s="11"/>
      <c r="B950" s="11"/>
      <c r="C950" s="90"/>
      <c r="N950" s="136"/>
      <c r="O950" s="136"/>
      <c r="P950" s="136"/>
      <c r="Q950" s="136"/>
      <c r="R950" s="136"/>
      <c r="S950" s="136"/>
      <c r="T950" s="136"/>
      <c r="U950" s="136"/>
    </row>
    <row r="951" spans="1:21">
      <c r="A951" s="11"/>
      <c r="B951" s="11"/>
      <c r="C951" s="90"/>
      <c r="N951" s="136"/>
      <c r="O951" s="136"/>
      <c r="P951" s="136"/>
      <c r="Q951" s="136"/>
      <c r="R951" s="136"/>
      <c r="S951" s="136"/>
      <c r="T951" s="136"/>
      <c r="U951" s="136"/>
    </row>
    <row r="952" spans="1:21">
      <c r="A952" s="11"/>
      <c r="B952" s="11"/>
      <c r="C952" s="90"/>
      <c r="N952" s="136"/>
      <c r="O952" s="136"/>
      <c r="P952" s="136"/>
      <c r="Q952" s="136"/>
      <c r="R952" s="136"/>
      <c r="S952" s="136"/>
      <c r="T952" s="136"/>
      <c r="U952" s="136"/>
    </row>
    <row r="953" spans="1:21">
      <c r="A953" s="11"/>
      <c r="B953" s="11"/>
      <c r="C953" s="90"/>
      <c r="N953" s="136"/>
      <c r="O953" s="136"/>
      <c r="P953" s="136"/>
      <c r="Q953" s="136"/>
      <c r="R953" s="136"/>
      <c r="S953" s="136"/>
      <c r="T953" s="136"/>
      <c r="U953" s="136"/>
    </row>
    <row r="954" spans="1:21">
      <c r="A954" s="11"/>
      <c r="B954" s="11"/>
      <c r="C954" s="90"/>
      <c r="N954" s="136"/>
      <c r="O954" s="136"/>
      <c r="P954" s="136"/>
      <c r="Q954" s="136"/>
      <c r="R954" s="136"/>
      <c r="S954" s="136"/>
      <c r="T954" s="136"/>
      <c r="U954" s="136"/>
    </row>
    <row r="955" spans="1:21">
      <c r="A955" s="11"/>
      <c r="B955" s="11"/>
      <c r="C955" s="90"/>
      <c r="N955" s="136"/>
      <c r="O955" s="136"/>
      <c r="P955" s="136"/>
      <c r="Q955" s="136"/>
      <c r="R955" s="136"/>
      <c r="S955" s="136"/>
      <c r="T955" s="136"/>
      <c r="U955" s="136"/>
    </row>
    <row r="956" spans="1:21">
      <c r="A956" s="11"/>
      <c r="B956" s="11"/>
      <c r="C956" s="90"/>
      <c r="N956" s="136"/>
      <c r="O956" s="136"/>
      <c r="P956" s="136"/>
      <c r="Q956" s="136"/>
      <c r="R956" s="136"/>
      <c r="S956" s="136"/>
      <c r="T956" s="136"/>
      <c r="U956" s="136"/>
    </row>
    <row r="957" spans="1:21">
      <c r="A957" s="11"/>
      <c r="B957" s="11"/>
      <c r="C957" s="90"/>
      <c r="N957" s="136"/>
      <c r="O957" s="136"/>
      <c r="P957" s="136"/>
      <c r="Q957" s="136"/>
      <c r="R957" s="136"/>
      <c r="S957" s="136"/>
      <c r="T957" s="136"/>
      <c r="U957" s="136"/>
    </row>
    <row r="958" spans="1:21">
      <c r="A958" s="11"/>
      <c r="B958" s="11"/>
      <c r="C958" s="90"/>
      <c r="N958" s="136"/>
      <c r="O958" s="136"/>
      <c r="P958" s="136"/>
      <c r="Q958" s="136"/>
      <c r="R958" s="136"/>
      <c r="S958" s="136"/>
      <c r="T958" s="136"/>
      <c r="U958" s="136"/>
    </row>
    <row r="959" spans="1:21">
      <c r="A959" s="11"/>
      <c r="B959" s="11"/>
      <c r="C959" s="90"/>
      <c r="N959" s="136"/>
      <c r="O959" s="136"/>
      <c r="P959" s="136"/>
      <c r="Q959" s="136"/>
      <c r="R959" s="136"/>
      <c r="S959" s="136"/>
      <c r="T959" s="136"/>
      <c r="U959" s="136"/>
    </row>
    <row r="960" spans="1:21">
      <c r="A960" s="11"/>
      <c r="B960" s="11"/>
      <c r="C960" s="90"/>
      <c r="N960" s="136"/>
      <c r="O960" s="136"/>
      <c r="P960" s="136"/>
      <c r="Q960" s="136"/>
      <c r="R960" s="136"/>
      <c r="S960" s="136"/>
      <c r="T960" s="136"/>
      <c r="U960" s="136"/>
    </row>
    <row r="961" spans="1:21">
      <c r="A961" s="11"/>
      <c r="B961" s="11"/>
      <c r="C961" s="90"/>
      <c r="N961" s="136"/>
      <c r="O961" s="136"/>
      <c r="P961" s="136"/>
      <c r="Q961" s="136"/>
      <c r="R961" s="136"/>
      <c r="S961" s="136"/>
      <c r="T961" s="136"/>
      <c r="U961" s="136"/>
    </row>
    <row r="962" spans="1:21">
      <c r="A962" s="11"/>
      <c r="B962" s="11"/>
      <c r="C962" s="90"/>
      <c r="N962" s="136"/>
      <c r="O962" s="136"/>
      <c r="P962" s="136"/>
      <c r="Q962" s="136"/>
      <c r="R962" s="136"/>
      <c r="S962" s="136"/>
      <c r="T962" s="136"/>
      <c r="U962" s="136"/>
    </row>
    <row r="963" spans="1:21">
      <c r="A963" s="11"/>
      <c r="B963" s="11"/>
      <c r="C963" s="90"/>
      <c r="N963" s="136"/>
      <c r="O963" s="136"/>
      <c r="P963" s="136"/>
      <c r="Q963" s="136"/>
      <c r="R963" s="136"/>
      <c r="S963" s="136"/>
      <c r="T963" s="136"/>
      <c r="U963" s="136"/>
    </row>
    <row r="964" spans="1:21">
      <c r="A964" s="11"/>
      <c r="B964" s="11"/>
      <c r="C964" s="90"/>
      <c r="N964" s="136"/>
      <c r="O964" s="136"/>
      <c r="P964" s="136"/>
      <c r="Q964" s="136"/>
      <c r="R964" s="136"/>
      <c r="S964" s="136"/>
      <c r="T964" s="136"/>
      <c r="U964" s="136"/>
    </row>
    <row r="965" spans="1:21">
      <c r="A965" s="11"/>
      <c r="B965" s="11"/>
      <c r="C965" s="90"/>
      <c r="N965" s="136"/>
      <c r="O965" s="136"/>
      <c r="P965" s="136"/>
      <c r="Q965" s="136"/>
      <c r="R965" s="136"/>
      <c r="S965" s="136"/>
      <c r="T965" s="136"/>
      <c r="U965" s="136"/>
    </row>
    <row r="966" spans="1:21">
      <c r="A966" s="11"/>
      <c r="B966" s="11"/>
      <c r="C966" s="90"/>
      <c r="N966" s="136"/>
      <c r="O966" s="136"/>
      <c r="P966" s="136"/>
      <c r="Q966" s="136"/>
      <c r="R966" s="136"/>
      <c r="S966" s="136"/>
      <c r="T966" s="136"/>
      <c r="U966" s="136"/>
    </row>
    <row r="967" spans="1:21">
      <c r="A967" s="11"/>
      <c r="B967" s="11"/>
      <c r="C967" s="90"/>
      <c r="N967" s="136"/>
      <c r="O967" s="136"/>
      <c r="P967" s="136"/>
      <c r="Q967" s="136"/>
      <c r="R967" s="136"/>
      <c r="S967" s="136"/>
      <c r="T967" s="136"/>
      <c r="U967" s="136"/>
    </row>
    <row r="968" spans="1:21">
      <c r="A968" s="11"/>
      <c r="B968" s="11"/>
      <c r="C968" s="90"/>
      <c r="N968" s="136"/>
      <c r="O968" s="136"/>
      <c r="P968" s="136"/>
      <c r="Q968" s="136"/>
      <c r="R968" s="136"/>
      <c r="S968" s="136"/>
      <c r="T968" s="136"/>
      <c r="U968" s="136"/>
    </row>
    <row r="969" spans="1:21">
      <c r="A969" s="11"/>
      <c r="B969" s="11"/>
      <c r="C969" s="90"/>
      <c r="N969" s="136"/>
      <c r="O969" s="136"/>
      <c r="P969" s="136"/>
      <c r="Q969" s="136"/>
      <c r="R969" s="136"/>
      <c r="S969" s="136"/>
      <c r="T969" s="136"/>
      <c r="U969" s="136"/>
    </row>
    <row r="970" spans="1:21">
      <c r="A970" s="11"/>
      <c r="B970" s="11"/>
      <c r="C970" s="90"/>
      <c r="N970" s="136"/>
      <c r="O970" s="136"/>
      <c r="P970" s="136"/>
      <c r="Q970" s="136"/>
      <c r="R970" s="136"/>
      <c r="S970" s="136"/>
      <c r="T970" s="136"/>
      <c r="U970" s="136"/>
    </row>
    <row r="971" spans="1:21">
      <c r="A971" s="11"/>
      <c r="B971" s="11"/>
      <c r="C971" s="90"/>
      <c r="N971" s="136"/>
      <c r="O971" s="136"/>
      <c r="P971" s="136"/>
      <c r="Q971" s="136"/>
      <c r="R971" s="136"/>
      <c r="S971" s="136"/>
      <c r="T971" s="136"/>
      <c r="U971" s="136"/>
    </row>
    <row r="972" spans="1:21">
      <c r="A972" s="11"/>
      <c r="B972" s="11"/>
      <c r="C972" s="90"/>
      <c r="N972" s="136"/>
      <c r="O972" s="136"/>
      <c r="P972" s="136"/>
      <c r="Q972" s="136"/>
      <c r="R972" s="136"/>
      <c r="S972" s="136"/>
      <c r="T972" s="136"/>
      <c r="U972" s="136"/>
    </row>
    <row r="973" spans="1:21">
      <c r="A973" s="11"/>
      <c r="B973" s="11"/>
      <c r="C973" s="90"/>
      <c r="N973" s="136"/>
      <c r="O973" s="136"/>
      <c r="P973" s="136"/>
      <c r="Q973" s="136"/>
      <c r="R973" s="136"/>
      <c r="S973" s="136"/>
      <c r="T973" s="136"/>
      <c r="U973" s="136"/>
    </row>
    <row r="974" spans="1:21">
      <c r="A974" s="11"/>
      <c r="B974" s="11"/>
      <c r="C974" s="90"/>
      <c r="N974" s="136"/>
      <c r="O974" s="136"/>
      <c r="P974" s="136"/>
      <c r="Q974" s="136"/>
      <c r="R974" s="136"/>
      <c r="S974" s="136"/>
      <c r="T974" s="136"/>
      <c r="U974" s="136"/>
    </row>
    <row r="975" spans="1:21">
      <c r="A975" s="11"/>
      <c r="B975" s="11"/>
      <c r="C975" s="90"/>
      <c r="N975" s="136"/>
      <c r="O975" s="136"/>
      <c r="P975" s="136"/>
      <c r="Q975" s="136"/>
      <c r="R975" s="136"/>
      <c r="S975" s="136"/>
      <c r="T975" s="136"/>
      <c r="U975" s="136"/>
    </row>
    <row r="976" spans="1:21">
      <c r="A976" s="11"/>
      <c r="B976" s="11"/>
      <c r="C976" s="90"/>
      <c r="N976" s="136"/>
      <c r="O976" s="136"/>
      <c r="P976" s="136"/>
      <c r="Q976" s="136"/>
      <c r="R976" s="136"/>
      <c r="S976" s="136"/>
      <c r="T976" s="136"/>
      <c r="U976" s="136"/>
    </row>
    <row r="977" spans="1:21">
      <c r="A977" s="11"/>
      <c r="B977" s="11"/>
      <c r="C977" s="90"/>
      <c r="N977" s="136"/>
      <c r="O977" s="136"/>
      <c r="P977" s="136"/>
      <c r="Q977" s="136"/>
      <c r="R977" s="136"/>
      <c r="S977" s="136"/>
      <c r="T977" s="136"/>
      <c r="U977" s="136"/>
    </row>
    <row r="978" spans="1:21">
      <c r="A978" s="11"/>
      <c r="B978" s="11"/>
      <c r="C978" s="90"/>
      <c r="N978" s="136"/>
      <c r="O978" s="136"/>
      <c r="P978" s="136"/>
      <c r="Q978" s="136"/>
      <c r="R978" s="136"/>
      <c r="S978" s="136"/>
      <c r="T978" s="136"/>
      <c r="U978" s="136"/>
    </row>
    <row r="979" spans="1:21">
      <c r="A979" s="11"/>
      <c r="B979" s="11"/>
      <c r="C979" s="90"/>
      <c r="N979" s="136"/>
      <c r="O979" s="136"/>
      <c r="P979" s="136"/>
      <c r="Q979" s="136"/>
      <c r="R979" s="136"/>
      <c r="S979" s="136"/>
      <c r="T979" s="136"/>
      <c r="U979" s="136"/>
    </row>
    <row r="980" spans="1:21">
      <c r="A980" s="11"/>
      <c r="B980" s="11"/>
      <c r="C980" s="90"/>
      <c r="N980" s="136"/>
      <c r="O980" s="136"/>
      <c r="P980" s="136"/>
      <c r="Q980" s="136"/>
      <c r="R980" s="136"/>
      <c r="S980" s="136"/>
      <c r="T980" s="136"/>
      <c r="U980" s="136"/>
    </row>
    <row r="981" spans="1:21">
      <c r="A981" s="11"/>
      <c r="B981" s="11"/>
      <c r="C981" s="90"/>
      <c r="N981" s="136"/>
      <c r="O981" s="136"/>
      <c r="P981" s="136"/>
      <c r="Q981" s="136"/>
      <c r="R981" s="136"/>
      <c r="S981" s="136"/>
      <c r="T981" s="136"/>
      <c r="U981" s="136"/>
    </row>
    <row r="982" spans="1:21">
      <c r="A982" s="11"/>
      <c r="B982" s="11"/>
      <c r="C982" s="90"/>
      <c r="N982" s="136"/>
      <c r="O982" s="136"/>
      <c r="P982" s="136"/>
      <c r="Q982" s="136"/>
      <c r="R982" s="136"/>
      <c r="S982" s="136"/>
      <c r="T982" s="136"/>
      <c r="U982" s="136"/>
    </row>
    <row r="983" spans="1:21">
      <c r="A983" s="11"/>
      <c r="B983" s="11"/>
      <c r="C983" s="90"/>
      <c r="N983" s="136"/>
      <c r="O983" s="136"/>
      <c r="P983" s="136"/>
      <c r="Q983" s="136"/>
      <c r="R983" s="136"/>
      <c r="S983" s="136"/>
      <c r="T983" s="136"/>
      <c r="U983" s="136"/>
    </row>
    <row r="984" spans="1:21">
      <c r="A984" s="11"/>
      <c r="B984" s="11"/>
      <c r="C984" s="90"/>
      <c r="N984" s="136"/>
      <c r="O984" s="136"/>
      <c r="P984" s="136"/>
      <c r="Q984" s="136"/>
      <c r="R984" s="136"/>
      <c r="S984" s="136"/>
      <c r="T984" s="136"/>
      <c r="U984" s="136"/>
    </row>
    <row r="985" spans="1:21">
      <c r="A985" s="11"/>
      <c r="B985" s="11"/>
      <c r="C985" s="90"/>
      <c r="N985" s="136"/>
      <c r="O985" s="136"/>
      <c r="P985" s="136"/>
      <c r="Q985" s="136"/>
      <c r="R985" s="136"/>
      <c r="S985" s="136"/>
      <c r="T985" s="136"/>
      <c r="U985" s="136"/>
    </row>
    <row r="986" spans="1:21">
      <c r="A986" s="11"/>
      <c r="B986" s="11"/>
      <c r="C986" s="90"/>
      <c r="N986" s="136"/>
      <c r="O986" s="136"/>
      <c r="P986" s="136"/>
      <c r="Q986" s="136"/>
      <c r="R986" s="136"/>
      <c r="S986" s="136"/>
      <c r="T986" s="136"/>
      <c r="U986" s="136"/>
    </row>
    <row r="987" spans="1:21">
      <c r="A987" s="11"/>
      <c r="B987" s="11"/>
      <c r="C987" s="90"/>
      <c r="N987" s="136"/>
      <c r="O987" s="136"/>
      <c r="P987" s="136"/>
      <c r="Q987" s="136"/>
      <c r="R987" s="136"/>
      <c r="S987" s="136"/>
      <c r="T987" s="136"/>
      <c r="U987" s="136"/>
    </row>
    <row r="988" spans="1:21">
      <c r="A988" s="11"/>
      <c r="B988" s="11"/>
      <c r="C988" s="90"/>
      <c r="N988" s="136"/>
      <c r="O988" s="136"/>
      <c r="P988" s="136"/>
      <c r="Q988" s="136"/>
      <c r="R988" s="136"/>
      <c r="S988" s="136"/>
      <c r="T988" s="136"/>
      <c r="U988" s="136"/>
    </row>
    <row r="989" spans="1:21">
      <c r="A989" s="11"/>
      <c r="B989" s="11"/>
      <c r="C989" s="90"/>
      <c r="N989" s="136"/>
      <c r="O989" s="136"/>
      <c r="P989" s="136"/>
      <c r="Q989" s="136"/>
      <c r="R989" s="136"/>
      <c r="S989" s="136"/>
      <c r="T989" s="136"/>
      <c r="U989" s="136"/>
    </row>
    <row r="990" spans="1:21">
      <c r="A990" s="11"/>
      <c r="B990" s="11"/>
      <c r="C990" s="90"/>
      <c r="N990" s="136"/>
      <c r="O990" s="136"/>
      <c r="P990" s="136"/>
      <c r="Q990" s="136"/>
      <c r="R990" s="136"/>
      <c r="S990" s="136"/>
      <c r="T990" s="136"/>
      <c r="U990" s="136"/>
    </row>
    <row r="991" spans="1:21">
      <c r="A991" s="11"/>
      <c r="B991" s="11"/>
      <c r="C991" s="90"/>
      <c r="N991" s="136"/>
      <c r="O991" s="136"/>
      <c r="P991" s="136"/>
      <c r="Q991" s="136"/>
      <c r="R991" s="136"/>
      <c r="S991" s="136"/>
      <c r="T991" s="136"/>
      <c r="U991" s="136"/>
    </row>
    <row r="992" spans="1:21">
      <c r="A992" s="11"/>
      <c r="B992" s="11"/>
      <c r="C992" s="90"/>
      <c r="N992" s="136"/>
      <c r="O992" s="136"/>
      <c r="P992" s="136"/>
      <c r="Q992" s="136"/>
      <c r="R992" s="136"/>
      <c r="S992" s="136"/>
      <c r="T992" s="136"/>
      <c r="U992" s="136"/>
    </row>
    <row r="993" spans="1:21">
      <c r="A993" s="11"/>
      <c r="B993" s="11"/>
      <c r="C993" s="90"/>
      <c r="N993" s="136"/>
      <c r="O993" s="136"/>
      <c r="P993" s="136"/>
      <c r="Q993" s="136"/>
      <c r="R993" s="136"/>
      <c r="S993" s="136"/>
      <c r="T993" s="136"/>
      <c r="U993" s="136"/>
    </row>
    <row r="994" spans="1:21">
      <c r="A994" s="11"/>
      <c r="B994" s="11"/>
      <c r="C994" s="90"/>
      <c r="N994" s="136"/>
      <c r="O994" s="136"/>
      <c r="P994" s="136"/>
      <c r="Q994" s="136"/>
      <c r="R994" s="136"/>
      <c r="S994" s="136"/>
      <c r="T994" s="136"/>
      <c r="U994" s="136"/>
    </row>
    <row r="995" spans="1:21">
      <c r="A995" s="11"/>
      <c r="B995" s="11"/>
      <c r="C995" s="90"/>
      <c r="N995" s="136"/>
      <c r="O995" s="136"/>
      <c r="P995" s="136"/>
      <c r="Q995" s="136"/>
      <c r="R995" s="136"/>
      <c r="S995" s="136"/>
      <c r="T995" s="136"/>
      <c r="U995" s="136"/>
    </row>
    <row r="996" spans="1:21">
      <c r="A996" s="11"/>
      <c r="B996" s="11"/>
      <c r="C996" s="90"/>
      <c r="N996" s="136"/>
      <c r="O996" s="136"/>
      <c r="P996" s="136"/>
      <c r="Q996" s="136"/>
      <c r="R996" s="136"/>
      <c r="S996" s="136"/>
      <c r="T996" s="136"/>
      <c r="U996" s="136"/>
    </row>
    <row r="997" spans="1:21">
      <c r="A997" s="11"/>
      <c r="B997" s="11"/>
      <c r="C997" s="90"/>
      <c r="N997" s="136"/>
      <c r="O997" s="136"/>
      <c r="P997" s="136"/>
      <c r="Q997" s="136"/>
      <c r="R997" s="136"/>
      <c r="S997" s="136"/>
      <c r="T997" s="136"/>
      <c r="U997" s="136"/>
    </row>
    <row r="998" spans="1:21">
      <c r="A998" s="11"/>
      <c r="B998" s="11"/>
      <c r="C998" s="90"/>
      <c r="N998" s="136"/>
      <c r="O998" s="136"/>
      <c r="P998" s="136"/>
      <c r="Q998" s="136"/>
      <c r="R998" s="136"/>
      <c r="S998" s="136"/>
      <c r="T998" s="136"/>
      <c r="U998" s="136"/>
    </row>
    <row r="999" spans="1:21">
      <c r="A999" s="11"/>
      <c r="B999" s="11"/>
      <c r="C999" s="90"/>
      <c r="N999" s="136"/>
      <c r="O999" s="136"/>
      <c r="P999" s="136"/>
      <c r="Q999" s="136"/>
      <c r="R999" s="136"/>
      <c r="S999" s="136"/>
      <c r="T999" s="136"/>
      <c r="U999" s="136"/>
    </row>
    <row r="1000" spans="1:21">
      <c r="A1000" s="11"/>
      <c r="B1000" s="11"/>
      <c r="C1000" s="90"/>
      <c r="N1000" s="136"/>
      <c r="O1000" s="136"/>
      <c r="P1000" s="136"/>
      <c r="Q1000" s="136"/>
      <c r="R1000" s="136"/>
      <c r="S1000" s="136"/>
      <c r="T1000" s="136"/>
      <c r="U1000" s="136"/>
    </row>
    <row r="1001" spans="1:21">
      <c r="A1001" s="11"/>
      <c r="B1001" s="11"/>
      <c r="C1001" s="90"/>
      <c r="N1001" s="136"/>
      <c r="O1001" s="136"/>
      <c r="P1001" s="136"/>
      <c r="Q1001" s="136"/>
      <c r="R1001" s="136"/>
      <c r="S1001" s="136"/>
      <c r="T1001" s="136"/>
      <c r="U1001" s="136"/>
    </row>
    <row r="1002" spans="1:21">
      <c r="A1002" s="11"/>
      <c r="B1002" s="11"/>
      <c r="C1002" s="90"/>
      <c r="N1002" s="136"/>
      <c r="O1002" s="136"/>
      <c r="P1002" s="136"/>
      <c r="Q1002" s="136"/>
      <c r="R1002" s="136"/>
      <c r="S1002" s="136"/>
      <c r="T1002" s="136"/>
      <c r="U1002" s="136"/>
    </row>
    <row r="1003" spans="1:21">
      <c r="A1003" s="11"/>
      <c r="B1003" s="11"/>
      <c r="C1003" s="90"/>
      <c r="N1003" s="136"/>
      <c r="O1003" s="136"/>
      <c r="P1003" s="136"/>
      <c r="Q1003" s="136"/>
      <c r="R1003" s="136"/>
      <c r="S1003" s="136"/>
      <c r="T1003" s="136"/>
      <c r="U1003" s="136"/>
    </row>
    <row r="1004" spans="1:21">
      <c r="A1004" s="11"/>
      <c r="B1004" s="11"/>
      <c r="C1004" s="90"/>
      <c r="N1004" s="136"/>
      <c r="O1004" s="136"/>
      <c r="P1004" s="136"/>
      <c r="Q1004" s="136"/>
      <c r="R1004" s="136"/>
      <c r="S1004" s="136"/>
      <c r="T1004" s="136"/>
      <c r="U1004" s="136"/>
    </row>
    <row r="1005" spans="1:21">
      <c r="A1005" s="11"/>
      <c r="B1005" s="11"/>
      <c r="C1005" s="90"/>
      <c r="N1005" s="136"/>
      <c r="O1005" s="136"/>
      <c r="P1005" s="136"/>
      <c r="Q1005" s="136"/>
      <c r="R1005" s="136"/>
      <c r="S1005" s="136"/>
      <c r="T1005" s="136"/>
      <c r="U1005" s="136"/>
    </row>
    <row r="1006" spans="1:21">
      <c r="A1006" s="11"/>
      <c r="B1006" s="11"/>
      <c r="C1006" s="90"/>
      <c r="N1006" s="136"/>
      <c r="O1006" s="136"/>
      <c r="P1006" s="136"/>
      <c r="Q1006" s="136"/>
      <c r="R1006" s="136"/>
      <c r="S1006" s="136"/>
      <c r="T1006" s="136"/>
      <c r="U1006" s="136"/>
    </row>
    <row r="1007" spans="1:21">
      <c r="A1007" s="11"/>
      <c r="B1007" s="11"/>
      <c r="C1007" s="90"/>
      <c r="N1007" s="136"/>
      <c r="O1007" s="136"/>
      <c r="P1007" s="136"/>
      <c r="Q1007" s="136"/>
      <c r="R1007" s="136"/>
      <c r="S1007" s="136"/>
      <c r="T1007" s="136"/>
      <c r="U1007" s="136"/>
    </row>
    <row r="1008" spans="1:21">
      <c r="A1008" s="11"/>
      <c r="B1008" s="11"/>
      <c r="C1008" s="90"/>
      <c r="N1008" s="136"/>
      <c r="O1008" s="136"/>
      <c r="P1008" s="136"/>
      <c r="Q1008" s="136"/>
      <c r="R1008" s="136"/>
      <c r="S1008" s="136"/>
      <c r="T1008" s="136"/>
      <c r="U1008" s="136"/>
    </row>
    <row r="1009" spans="1:21">
      <c r="A1009" s="11"/>
      <c r="B1009" s="11"/>
      <c r="C1009" s="90"/>
      <c r="N1009" s="136"/>
      <c r="O1009" s="136"/>
      <c r="P1009" s="136"/>
      <c r="Q1009" s="136"/>
      <c r="R1009" s="136"/>
      <c r="S1009" s="136"/>
      <c r="T1009" s="136"/>
      <c r="U1009" s="136"/>
    </row>
    <row r="1010" spans="1:21">
      <c r="A1010" s="11"/>
      <c r="B1010" s="11"/>
      <c r="C1010" s="90"/>
      <c r="N1010" s="136"/>
      <c r="O1010" s="136"/>
      <c r="P1010" s="136"/>
      <c r="Q1010" s="136"/>
      <c r="R1010" s="136"/>
      <c r="S1010" s="136"/>
      <c r="T1010" s="136"/>
      <c r="U1010" s="136"/>
    </row>
    <row r="1011" spans="1:21">
      <c r="A1011" s="11"/>
      <c r="B1011" s="11"/>
      <c r="C1011" s="90"/>
      <c r="N1011" s="136"/>
      <c r="O1011" s="136"/>
      <c r="P1011" s="136"/>
      <c r="Q1011" s="136"/>
      <c r="R1011" s="136"/>
      <c r="S1011" s="136"/>
      <c r="T1011" s="136"/>
      <c r="U1011" s="136"/>
    </row>
    <row r="1012" spans="1:21">
      <c r="A1012" s="11"/>
      <c r="B1012" s="11"/>
      <c r="C1012" s="90"/>
      <c r="N1012" s="136"/>
      <c r="O1012" s="136"/>
      <c r="P1012" s="136"/>
      <c r="Q1012" s="136"/>
      <c r="R1012" s="136"/>
      <c r="S1012" s="136"/>
      <c r="T1012" s="136"/>
      <c r="U1012" s="136"/>
    </row>
    <row r="1013" spans="1:21">
      <c r="A1013" s="11"/>
      <c r="B1013" s="11"/>
      <c r="C1013" s="90"/>
      <c r="N1013" s="136"/>
      <c r="O1013" s="136"/>
      <c r="P1013" s="136"/>
      <c r="Q1013" s="136"/>
      <c r="R1013" s="136"/>
      <c r="S1013" s="136"/>
      <c r="T1013" s="136"/>
      <c r="U1013" s="136"/>
    </row>
    <row r="1014" spans="1:21">
      <c r="A1014" s="11"/>
      <c r="B1014" s="11"/>
      <c r="C1014" s="90"/>
      <c r="N1014" s="136"/>
      <c r="O1014" s="136"/>
      <c r="P1014" s="136"/>
      <c r="Q1014" s="136"/>
      <c r="R1014" s="136"/>
      <c r="S1014" s="136"/>
      <c r="T1014" s="136"/>
      <c r="U1014" s="136"/>
    </row>
    <row r="1015" spans="1:21">
      <c r="A1015" s="11"/>
      <c r="B1015" s="11"/>
      <c r="C1015" s="90"/>
      <c r="N1015" s="136"/>
      <c r="O1015" s="136"/>
      <c r="P1015" s="136"/>
      <c r="Q1015" s="136"/>
      <c r="R1015" s="136"/>
      <c r="S1015" s="136"/>
      <c r="T1015" s="136"/>
      <c r="U1015" s="136"/>
    </row>
    <row r="1016" spans="1:21">
      <c r="A1016" s="11"/>
      <c r="B1016" s="11"/>
      <c r="C1016" s="90"/>
      <c r="N1016" s="136"/>
      <c r="O1016" s="136"/>
      <c r="P1016" s="136"/>
      <c r="Q1016" s="136"/>
      <c r="R1016" s="136"/>
      <c r="S1016" s="136"/>
      <c r="T1016" s="136"/>
      <c r="U1016" s="136"/>
    </row>
    <row r="1017" spans="1:21">
      <c r="A1017" s="11"/>
      <c r="B1017" s="11"/>
      <c r="C1017" s="90"/>
      <c r="N1017" s="136"/>
      <c r="O1017" s="136"/>
      <c r="P1017" s="136"/>
      <c r="Q1017" s="136"/>
      <c r="R1017" s="136"/>
      <c r="S1017" s="136"/>
      <c r="T1017" s="136"/>
      <c r="U1017" s="136"/>
    </row>
  </sheetData>
  <autoFilter ref="A2:AZ80" xr:uid="{00000000-0009-0000-0000-000005000000}">
    <filterColumn colId="21">
      <filters>
        <filter val="Sí"/>
      </filters>
    </filterColumn>
    <sortState xmlns:xlrd2="http://schemas.microsoft.com/office/spreadsheetml/2017/richdata2" ref="A2:AZ80">
      <sortCondition ref="A2:A80"/>
      <sortCondition descending="1" sortBy="cellColor" ref="C2:C80" dxfId="0"/>
    </sortState>
  </autoFilter>
  <customSheetViews>
    <customSheetView guid="{A27FCDC5-7847-4B1F-80EC-EB56859AFF4C}" filter="1" showAutoFilter="1">
      <autoFilter ref="A2:AZ102" xr:uid="{6A2525D3-CE1B-4E09-AA13-C80BDFE2B6D6}">
        <filterColumn colId="2">
          <colorFilter/>
        </filterColumn>
      </autoFilter>
    </customSheetView>
    <customSheetView guid="{43C74F61-3695-48F6-921B-FC7E9F2F288E}" filter="1" showAutoFilter="1">
      <autoFilter ref="A2:AZ80" xr:uid="{9F45AEE0-A588-4900-BDFA-2699418967D9}">
        <filterColumn colId="12">
          <filters>
            <filter val="Jose Puebla"/>
          </filters>
        </filterColumn>
      </autoFilter>
    </customSheetView>
    <customSheetView guid="{547D9B4D-E646-4DE4-89E3-7402CE505ED6}" filter="1" showAutoFilter="1">
      <autoFilter ref="A1:Z80" xr:uid="{C1E09E9D-04E0-445E-A006-E20DA371EA22}"/>
    </customSheetView>
    <customSheetView guid="{8DFCF9F4-226C-4943-87CB-E49A587DAFFE}" filter="1" showAutoFilter="1">
      <autoFilter ref="A1:Z80" xr:uid="{EAE5B546-4FF0-4AA5-8C47-15ADD6F23F1A}"/>
    </customSheetView>
    <customSheetView guid="{7EAC52BE-AB17-44E6-8B34-241C0D096AFE}" filter="1" showAutoFilter="1">
      <autoFilter ref="A2:AZ80" xr:uid="{C7F9D130-5FD6-445E-A1BA-65F294A66B17}">
        <filterColumn colId="12">
          <filters>
            <filter val="Jose Puebla"/>
          </filters>
        </filterColumn>
      </autoFilter>
    </customSheetView>
    <customSheetView guid="{B55D5AC0-2DCD-4393-87D1-9D8120E31AB8}" filter="1" showAutoFilter="1">
      <autoFilter ref="A1:Z80" xr:uid="{384D2A07-7E0F-4A29-8FF6-63BA77CA3344}">
        <filterColumn colId="12">
          <filters>
            <filter val="Jose Puebla"/>
          </filters>
        </filterColumn>
      </autoFilter>
    </customSheetView>
    <customSheetView guid="{4555EE6F-2362-48F4-8152-FB35C89F66D3}" filter="1" showAutoFilter="1">
      <autoFilter ref="A2:AZ80" xr:uid="{63441A33-3533-46AA-B1C9-76DD2222B4A0}">
        <filterColumn colId="12">
          <filters>
            <filter val="Jose Puebla"/>
          </filters>
        </filterColumn>
      </autoFilter>
    </customSheetView>
  </customSheetViews>
  <mergeCells count="3">
    <mergeCell ref="D1:L1"/>
    <mergeCell ref="N1:U1"/>
    <mergeCell ref="V1:Z1"/>
  </mergeCells>
  <dataValidations count="3">
    <dataValidation type="list" allowBlank="1" showErrorMessage="1" sqref="L3:L97" xr:uid="{00000000-0002-0000-0500-000000000000}">
      <formula1>"Backlog,En diseño,En construcción,En QA,Liberadas"</formula1>
    </dataValidation>
    <dataValidation type="list" allowBlank="1" showErrorMessage="1" sqref="V3:V97" xr:uid="{00000000-0002-0000-0500-000001000000}">
      <formula1>"Sí,No,Post MVP"</formula1>
    </dataValidation>
    <dataValidation type="list" allowBlank="1" showErrorMessage="1" sqref="W3:W97" xr:uid="{00000000-0002-0000-0500-000002000000}">
      <formula1>"Cerrado,En proceso,Por definir"</formula1>
    </dataValidation>
  </dataValidation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001"/>
  <sheetViews>
    <sheetView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1.25" defaultRowHeight="15.75" customHeight="1"/>
  <cols>
    <col min="1" max="1" width="10.25" customWidth="1"/>
    <col min="2" max="2" width="58.625" customWidth="1"/>
    <col min="3" max="3" width="6.5" customWidth="1"/>
    <col min="4" max="4" width="9.75" customWidth="1"/>
    <col min="5" max="5" width="8.375" customWidth="1"/>
    <col min="6" max="6" width="9.375" customWidth="1"/>
    <col min="7" max="7" width="10.5" customWidth="1"/>
    <col min="8" max="8" width="9" customWidth="1"/>
    <col min="9" max="9" width="11.375" customWidth="1"/>
    <col min="10" max="11" width="10.125" style="114" customWidth="1"/>
    <col min="12" max="12" width="9.625" style="114" customWidth="1"/>
    <col min="13" max="13" width="10.625" style="114" customWidth="1"/>
    <col min="14" max="14" width="9.5" style="114" customWidth="1"/>
    <col min="15" max="15" width="8.75" style="114" customWidth="1"/>
    <col min="16" max="16" width="20.875" style="115" customWidth="1"/>
    <col min="17" max="17" width="11.25" style="115"/>
    <col min="20" max="20" width="11.25" style="115"/>
    <col min="21" max="21" width="11.25" style="116"/>
    <col min="22" max="22" width="10.875" style="117" customWidth="1"/>
    <col min="23" max="23" width="11.375" style="117" customWidth="1"/>
    <col min="24" max="24" width="11" style="117" customWidth="1"/>
    <col min="25" max="25" width="16.875" style="117" customWidth="1"/>
  </cols>
  <sheetData>
    <row r="1" spans="1:25">
      <c r="A1" s="105" t="s">
        <v>58</v>
      </c>
      <c r="B1" s="105" t="s">
        <v>43</v>
      </c>
      <c r="C1" s="106" t="s">
        <v>517</v>
      </c>
      <c r="D1" s="106" t="s">
        <v>518</v>
      </c>
      <c r="E1" s="106" t="s">
        <v>519</v>
      </c>
      <c r="F1" s="106" t="s">
        <v>518</v>
      </c>
      <c r="G1" s="106" t="s">
        <v>520</v>
      </c>
      <c r="H1" s="106" t="s">
        <v>518</v>
      </c>
      <c r="I1" s="106" t="s">
        <v>521</v>
      </c>
      <c r="J1" s="106" t="s">
        <v>518</v>
      </c>
      <c r="K1" s="106" t="s">
        <v>522</v>
      </c>
      <c r="L1" s="106" t="s">
        <v>518</v>
      </c>
      <c r="M1" s="106" t="s">
        <v>523</v>
      </c>
      <c r="N1" s="106" t="s">
        <v>518</v>
      </c>
      <c r="O1" s="107" t="s">
        <v>58</v>
      </c>
      <c r="P1" s="108" t="s">
        <v>339</v>
      </c>
      <c r="Q1" s="108" t="s">
        <v>339</v>
      </c>
      <c r="R1" s="108"/>
      <c r="S1" s="108"/>
      <c r="T1" s="108" t="s">
        <v>524</v>
      </c>
      <c r="U1" s="109" t="s">
        <v>525</v>
      </c>
      <c r="V1" s="110" t="s">
        <v>77</v>
      </c>
      <c r="W1" s="110" t="s">
        <v>80</v>
      </c>
      <c r="X1" s="110" t="s">
        <v>526</v>
      </c>
      <c r="Y1" s="110" t="s">
        <v>527</v>
      </c>
    </row>
    <row r="2" spans="1:25">
      <c r="A2" s="111" t="s">
        <v>358</v>
      </c>
      <c r="B2" s="112" t="s">
        <v>359</v>
      </c>
      <c r="C2" s="113"/>
      <c r="D2" s="113"/>
      <c r="E2" s="113"/>
      <c r="F2" s="113"/>
      <c r="G2" s="113"/>
      <c r="H2" s="114"/>
      <c r="I2" s="114"/>
      <c r="P2" s="115" t="s">
        <v>528</v>
      </c>
      <c r="R2" s="115"/>
      <c r="S2" s="115"/>
      <c r="V2" s="117" t="s">
        <v>107</v>
      </c>
    </row>
    <row r="3" spans="1:25">
      <c r="A3" s="111" t="s">
        <v>395</v>
      </c>
      <c r="B3" s="112" t="s">
        <v>396</v>
      </c>
      <c r="C3" s="113"/>
      <c r="D3" s="113"/>
      <c r="E3" s="113"/>
      <c r="F3" s="113"/>
      <c r="G3" s="113"/>
      <c r="H3" s="114"/>
      <c r="I3" s="114"/>
      <c r="P3" s="115" t="s">
        <v>529</v>
      </c>
      <c r="R3" s="115"/>
      <c r="S3" s="115"/>
      <c r="W3" s="117" t="s">
        <v>530</v>
      </c>
      <c r="X3" s="117" t="s">
        <v>107</v>
      </c>
      <c r="Y3" s="117" t="s">
        <v>107</v>
      </c>
    </row>
    <row r="4" spans="1:25">
      <c r="A4" s="111" t="s">
        <v>399</v>
      </c>
      <c r="B4" s="118" t="s">
        <v>400</v>
      </c>
      <c r="C4" s="119" t="s">
        <v>107</v>
      </c>
      <c r="D4" s="120" t="s">
        <v>531</v>
      </c>
      <c r="E4" s="119" t="s">
        <v>107</v>
      </c>
      <c r="F4" s="120" t="s">
        <v>531</v>
      </c>
      <c r="G4" s="119"/>
      <c r="H4" s="121">
        <v>45434</v>
      </c>
      <c r="I4" s="122"/>
      <c r="J4" s="121">
        <v>45504</v>
      </c>
      <c r="L4" s="123">
        <f>WORKDAY(H4,20)</f>
        <v>45462</v>
      </c>
      <c r="N4" s="123">
        <f>WORKDAY(J4,10)</f>
        <v>45518</v>
      </c>
      <c r="O4" s="114" t="s">
        <v>80</v>
      </c>
      <c r="P4" s="115" t="s">
        <v>532</v>
      </c>
      <c r="R4" s="115"/>
      <c r="S4" s="115"/>
      <c r="W4" s="117" t="s">
        <v>530</v>
      </c>
    </row>
    <row r="5" spans="1:25">
      <c r="A5" s="111" t="s">
        <v>401</v>
      </c>
      <c r="B5" s="124" t="s">
        <v>402</v>
      </c>
      <c r="C5" s="113"/>
      <c r="D5" s="113"/>
      <c r="E5" s="113"/>
      <c r="F5" s="113"/>
      <c r="G5" s="113"/>
      <c r="H5" s="114"/>
      <c r="I5" s="114"/>
      <c r="P5" s="115" t="s">
        <v>533</v>
      </c>
      <c r="R5" s="115"/>
      <c r="S5" s="115"/>
    </row>
    <row r="6" spans="1:25">
      <c r="A6" s="111" t="s">
        <v>403</v>
      </c>
      <c r="B6" s="118" t="s">
        <v>404</v>
      </c>
      <c r="C6" s="119" t="s">
        <v>107</v>
      </c>
      <c r="D6" s="120" t="s">
        <v>531</v>
      </c>
      <c r="E6" s="120" t="s">
        <v>107</v>
      </c>
      <c r="F6" s="120" t="s">
        <v>531</v>
      </c>
      <c r="G6" s="119"/>
      <c r="H6" s="121">
        <v>45434</v>
      </c>
      <c r="I6" s="122"/>
      <c r="J6" s="121">
        <v>45504</v>
      </c>
      <c r="L6" s="123">
        <f>WORKDAY(H6,20)</f>
        <v>45462</v>
      </c>
      <c r="N6" s="123">
        <f>WORKDAY(J6,10)</f>
        <v>45518</v>
      </c>
      <c r="O6" s="114" t="s">
        <v>80</v>
      </c>
      <c r="P6" s="115" t="s">
        <v>533</v>
      </c>
      <c r="R6" s="115"/>
      <c r="S6" s="115"/>
      <c r="W6" s="117" t="s">
        <v>530</v>
      </c>
    </row>
    <row r="7" spans="1:25">
      <c r="A7" s="120" t="s">
        <v>405</v>
      </c>
      <c r="B7" s="112" t="s">
        <v>534</v>
      </c>
      <c r="C7" s="113"/>
      <c r="D7" s="113"/>
      <c r="E7" s="113"/>
      <c r="F7" s="113"/>
      <c r="G7" s="113"/>
      <c r="H7" s="114"/>
      <c r="I7" s="114"/>
      <c r="P7" s="115" t="s">
        <v>535</v>
      </c>
      <c r="R7" s="115"/>
      <c r="S7" s="115"/>
    </row>
    <row r="8" spans="1:25">
      <c r="A8" s="111" t="s">
        <v>407</v>
      </c>
      <c r="B8" s="118" t="s">
        <v>408</v>
      </c>
      <c r="C8" s="119"/>
      <c r="D8" s="125">
        <v>45422</v>
      </c>
      <c r="E8" s="119"/>
      <c r="F8" s="125">
        <v>45429</v>
      </c>
      <c r="G8" s="119"/>
      <c r="H8" s="121">
        <v>45465</v>
      </c>
      <c r="I8" s="122"/>
      <c r="J8" s="123">
        <v>45534</v>
      </c>
      <c r="L8" s="123">
        <f t="shared" ref="L8:L9" si="0">WORKDAY(H8,20)</f>
        <v>45492</v>
      </c>
      <c r="N8" s="123">
        <f t="shared" ref="N8:N9" si="1">WORKDAY(J8,10)</f>
        <v>45548</v>
      </c>
      <c r="O8" s="114" t="s">
        <v>80</v>
      </c>
      <c r="P8" s="115" t="s">
        <v>536</v>
      </c>
      <c r="R8" s="115"/>
      <c r="S8" s="115"/>
      <c r="W8" s="117" t="s">
        <v>530</v>
      </c>
    </row>
    <row r="9" spans="1:25">
      <c r="A9" s="111" t="s">
        <v>409</v>
      </c>
      <c r="B9" s="118" t="s">
        <v>410</v>
      </c>
      <c r="C9" s="119"/>
      <c r="D9" s="125">
        <v>45429</v>
      </c>
      <c r="E9" s="119"/>
      <c r="F9" s="125">
        <v>45436</v>
      </c>
      <c r="G9" s="119"/>
      <c r="H9" s="121">
        <v>45495</v>
      </c>
      <c r="I9" s="122"/>
      <c r="J9" s="123">
        <v>45563</v>
      </c>
      <c r="L9" s="123">
        <f t="shared" si="0"/>
        <v>45523</v>
      </c>
      <c r="N9" s="123">
        <f t="shared" si="1"/>
        <v>45576</v>
      </c>
      <c r="O9" s="114" t="s">
        <v>80</v>
      </c>
      <c r="P9" s="115" t="s">
        <v>537</v>
      </c>
      <c r="R9" s="115"/>
      <c r="S9" s="115"/>
      <c r="W9" s="117" t="s">
        <v>530</v>
      </c>
    </row>
    <row r="10" spans="1:25">
      <c r="A10" s="111" t="s">
        <v>411</v>
      </c>
      <c r="B10" s="112" t="s">
        <v>412</v>
      </c>
      <c r="C10" s="113"/>
      <c r="D10" s="113"/>
      <c r="E10" s="113"/>
      <c r="F10" s="113"/>
      <c r="G10" s="113"/>
      <c r="H10" s="114"/>
      <c r="I10" s="114"/>
      <c r="O10" s="114" t="s">
        <v>80</v>
      </c>
      <c r="P10" s="115" t="s">
        <v>538</v>
      </c>
      <c r="R10" s="115"/>
      <c r="S10" s="115"/>
      <c r="W10" s="117" t="s">
        <v>530</v>
      </c>
    </row>
    <row r="11" spans="1:25">
      <c r="A11" s="111" t="s">
        <v>360</v>
      </c>
      <c r="B11" s="112" t="s">
        <v>361</v>
      </c>
      <c r="C11" s="113"/>
      <c r="D11" s="113"/>
      <c r="E11" s="113"/>
      <c r="F11" s="113"/>
      <c r="G11" s="113"/>
      <c r="H11" s="114"/>
      <c r="I11" s="114"/>
      <c r="P11" s="115" t="s">
        <v>538</v>
      </c>
      <c r="R11" s="115"/>
      <c r="S11" s="115"/>
    </row>
    <row r="12" spans="1:25">
      <c r="A12" s="111" t="s">
        <v>383</v>
      </c>
      <c r="B12" s="112" t="s">
        <v>384</v>
      </c>
      <c r="C12" s="113"/>
      <c r="D12" s="113"/>
      <c r="E12" s="113"/>
      <c r="F12" s="113"/>
      <c r="G12" s="113"/>
      <c r="H12" s="114"/>
      <c r="I12" s="114"/>
      <c r="P12" s="115" t="s">
        <v>539</v>
      </c>
      <c r="R12" s="115"/>
      <c r="S12" s="115"/>
    </row>
    <row r="13" spans="1:25">
      <c r="A13" s="111" t="s">
        <v>385</v>
      </c>
      <c r="B13" s="112" t="s">
        <v>386</v>
      </c>
      <c r="C13" s="113"/>
      <c r="D13" s="113"/>
      <c r="E13" s="113"/>
      <c r="F13" s="113"/>
      <c r="G13" s="113"/>
      <c r="H13" s="114"/>
      <c r="I13" s="114"/>
      <c r="P13" s="115" t="s">
        <v>539</v>
      </c>
      <c r="R13" s="115"/>
      <c r="S13" s="115"/>
    </row>
    <row r="14" spans="1:25">
      <c r="A14" s="111" t="s">
        <v>387</v>
      </c>
      <c r="B14" s="118" t="s">
        <v>388</v>
      </c>
      <c r="C14" s="119"/>
      <c r="D14" s="126">
        <v>45415</v>
      </c>
      <c r="E14" s="119"/>
      <c r="F14" s="125">
        <v>45421</v>
      </c>
      <c r="G14" s="119"/>
      <c r="H14" s="121">
        <v>45465</v>
      </c>
      <c r="I14" s="122"/>
      <c r="J14" s="123">
        <v>45534</v>
      </c>
      <c r="L14" s="123">
        <f t="shared" ref="L14:L15" si="2">WORKDAY(H14,20)</f>
        <v>45492</v>
      </c>
      <c r="N14" s="123">
        <f t="shared" ref="N14:N15" si="3">WORKDAY(J14,10)</f>
        <v>45548</v>
      </c>
      <c r="O14" s="114" t="s">
        <v>80</v>
      </c>
      <c r="P14" s="115" t="s">
        <v>540</v>
      </c>
      <c r="R14" s="115"/>
      <c r="S14" s="115"/>
      <c r="W14" s="117" t="s">
        <v>530</v>
      </c>
    </row>
    <row r="15" spans="1:25">
      <c r="A15" s="111" t="s">
        <v>389</v>
      </c>
      <c r="B15" s="118" t="s">
        <v>541</v>
      </c>
      <c r="C15" s="119" t="s">
        <v>107</v>
      </c>
      <c r="D15" s="119" t="s">
        <v>531</v>
      </c>
      <c r="E15" s="119"/>
      <c r="F15" s="125">
        <v>45425</v>
      </c>
      <c r="G15" s="119"/>
      <c r="H15" s="121">
        <v>45465</v>
      </c>
      <c r="I15" s="122"/>
      <c r="J15" s="123">
        <v>45534</v>
      </c>
      <c r="L15" s="123">
        <f t="shared" si="2"/>
        <v>45492</v>
      </c>
      <c r="N15" s="123">
        <f t="shared" si="3"/>
        <v>45548</v>
      </c>
      <c r="O15" s="114" t="s">
        <v>80</v>
      </c>
      <c r="P15" s="115" t="s">
        <v>542</v>
      </c>
      <c r="R15" s="115"/>
      <c r="S15" s="115"/>
      <c r="W15" s="117" t="s">
        <v>530</v>
      </c>
    </row>
    <row r="16" spans="1:25">
      <c r="A16" s="120" t="s">
        <v>393</v>
      </c>
      <c r="B16" s="127" t="s">
        <v>543</v>
      </c>
      <c r="C16" s="113"/>
      <c r="D16" s="113"/>
      <c r="E16" s="113"/>
      <c r="F16" s="113"/>
      <c r="G16" s="113"/>
      <c r="H16" s="114"/>
      <c r="I16" s="114"/>
      <c r="P16" s="115" t="s">
        <v>533</v>
      </c>
      <c r="R16" s="115"/>
      <c r="S16" s="115"/>
    </row>
    <row r="17" spans="1:19">
      <c r="A17" s="111" t="s">
        <v>544</v>
      </c>
      <c r="B17" s="127" t="s">
        <v>545</v>
      </c>
      <c r="C17" s="113"/>
      <c r="D17" s="113"/>
      <c r="E17" s="113"/>
      <c r="F17" s="113"/>
      <c r="G17" s="113"/>
      <c r="H17" s="114"/>
      <c r="I17" s="114"/>
      <c r="P17" s="115" t="s">
        <v>546</v>
      </c>
      <c r="R17" s="115"/>
      <c r="S17" s="115"/>
    </row>
    <row r="18" spans="1:19">
      <c r="A18" s="111" t="s">
        <v>397</v>
      </c>
      <c r="B18" s="112" t="s">
        <v>398</v>
      </c>
      <c r="C18" s="113"/>
      <c r="D18" s="113"/>
      <c r="E18" s="113"/>
      <c r="F18" s="113"/>
      <c r="G18" s="113"/>
      <c r="H18" s="114"/>
      <c r="I18" s="114"/>
      <c r="P18" s="115" t="s">
        <v>547</v>
      </c>
      <c r="R18" s="115"/>
      <c r="S18" s="115"/>
    </row>
    <row r="19" spans="1:19">
      <c r="A19" s="111" t="s">
        <v>413</v>
      </c>
      <c r="B19" s="112" t="s">
        <v>414</v>
      </c>
      <c r="C19" s="113"/>
      <c r="D19" s="113"/>
      <c r="E19" s="113"/>
      <c r="F19" s="113"/>
      <c r="G19" s="113"/>
      <c r="H19" s="114"/>
      <c r="I19" s="114"/>
      <c r="P19" s="115" t="s">
        <v>537</v>
      </c>
      <c r="R19" s="115"/>
      <c r="S19" s="115"/>
    </row>
    <row r="20" spans="1:19">
      <c r="A20" s="111" t="s">
        <v>415</v>
      </c>
      <c r="B20" s="112" t="s">
        <v>416</v>
      </c>
      <c r="C20" s="113"/>
      <c r="D20" s="113"/>
      <c r="E20" s="113"/>
      <c r="F20" s="113"/>
      <c r="G20" s="113"/>
      <c r="H20" s="114"/>
      <c r="I20" s="114"/>
      <c r="P20" s="115" t="s">
        <v>548</v>
      </c>
      <c r="R20" s="115"/>
      <c r="S20" s="115"/>
    </row>
    <row r="21" spans="1:19">
      <c r="A21" s="111" t="s">
        <v>417</v>
      </c>
      <c r="B21" s="112" t="s">
        <v>418</v>
      </c>
      <c r="C21" s="113"/>
      <c r="D21" s="113"/>
      <c r="E21" s="113"/>
      <c r="F21" s="113"/>
      <c r="G21" s="113"/>
      <c r="H21" s="114"/>
      <c r="I21" s="114"/>
      <c r="P21" s="115" t="s">
        <v>548</v>
      </c>
      <c r="R21" s="115"/>
      <c r="S21" s="115"/>
    </row>
    <row r="22" spans="1:19">
      <c r="A22" s="111" t="s">
        <v>419</v>
      </c>
      <c r="B22" s="112" t="s">
        <v>549</v>
      </c>
      <c r="C22" s="113"/>
      <c r="D22" s="113"/>
      <c r="E22" s="113"/>
      <c r="F22" s="113"/>
      <c r="G22" s="113"/>
      <c r="H22" s="114"/>
      <c r="I22" s="114"/>
      <c r="P22" s="115" t="s">
        <v>533</v>
      </c>
      <c r="R22" s="115"/>
      <c r="S22" s="115"/>
    </row>
    <row r="23" spans="1:19">
      <c r="A23" s="111" t="s">
        <v>456</v>
      </c>
      <c r="B23" s="112" t="s">
        <v>457</v>
      </c>
      <c r="C23" s="113"/>
      <c r="D23" s="113"/>
      <c r="E23" s="113"/>
      <c r="F23" s="113"/>
      <c r="G23" s="113"/>
      <c r="H23" s="114"/>
      <c r="I23" s="114"/>
      <c r="P23" s="115" t="s">
        <v>550</v>
      </c>
      <c r="R23" s="115"/>
      <c r="S23" s="115"/>
    </row>
    <row r="24" spans="1:19">
      <c r="A24" s="111" t="s">
        <v>551</v>
      </c>
      <c r="B24" s="112" t="s">
        <v>552</v>
      </c>
      <c r="C24" s="113"/>
      <c r="D24" s="113"/>
      <c r="E24" s="113"/>
      <c r="F24" s="113"/>
      <c r="G24" s="113"/>
      <c r="H24" s="114"/>
      <c r="I24" s="114"/>
      <c r="P24" s="115" t="s">
        <v>550</v>
      </c>
      <c r="R24" s="115"/>
      <c r="S24" s="115"/>
    </row>
    <row r="25" spans="1:19">
      <c r="A25" s="111" t="s">
        <v>460</v>
      </c>
      <c r="B25" s="112" t="s">
        <v>553</v>
      </c>
      <c r="C25" s="113"/>
      <c r="D25" s="113"/>
      <c r="E25" s="113"/>
      <c r="F25" s="113"/>
      <c r="G25" s="113"/>
      <c r="H25" s="114"/>
      <c r="I25" s="114"/>
      <c r="P25" s="115" t="s">
        <v>547</v>
      </c>
      <c r="R25" s="115"/>
      <c r="S25" s="115"/>
    </row>
    <row r="26" spans="1:19">
      <c r="A26" s="111" t="s">
        <v>464</v>
      </c>
      <c r="B26" s="112" t="s">
        <v>465</v>
      </c>
      <c r="C26" s="113"/>
      <c r="D26" s="113"/>
      <c r="E26" s="113"/>
      <c r="F26" s="113"/>
      <c r="G26" s="113"/>
      <c r="H26" s="114"/>
      <c r="I26" s="114"/>
      <c r="P26" s="115" t="s">
        <v>539</v>
      </c>
      <c r="R26" s="115"/>
      <c r="S26" s="115"/>
    </row>
    <row r="27" spans="1:19">
      <c r="A27" s="111" t="s">
        <v>554</v>
      </c>
      <c r="B27" s="112" t="s">
        <v>555</v>
      </c>
      <c r="C27" s="113"/>
      <c r="D27" s="113"/>
      <c r="E27" s="113"/>
      <c r="F27" s="113"/>
      <c r="G27" s="113"/>
      <c r="H27" s="114"/>
      <c r="I27" s="114"/>
      <c r="P27" s="115" t="s">
        <v>539</v>
      </c>
      <c r="R27" s="115"/>
      <c r="S27" s="115"/>
    </row>
    <row r="28" spans="1:19">
      <c r="A28" s="111" t="s">
        <v>556</v>
      </c>
      <c r="B28" s="112" t="s">
        <v>557</v>
      </c>
      <c r="C28" s="113"/>
      <c r="D28" s="113"/>
      <c r="E28" s="113"/>
      <c r="F28" s="113"/>
      <c r="G28" s="113"/>
      <c r="H28" s="114"/>
      <c r="I28" s="114"/>
      <c r="P28" s="115" t="s">
        <v>539</v>
      </c>
      <c r="R28" s="115"/>
      <c r="S28" s="115"/>
    </row>
    <row r="29" spans="1:19">
      <c r="A29" s="111" t="s">
        <v>363</v>
      </c>
      <c r="B29" s="112" t="s">
        <v>558</v>
      </c>
      <c r="C29" s="113"/>
      <c r="D29" s="113"/>
      <c r="E29" s="113"/>
      <c r="F29" s="113"/>
      <c r="G29" s="113"/>
      <c r="H29" s="114"/>
      <c r="I29" s="114"/>
      <c r="P29" s="115" t="s">
        <v>559</v>
      </c>
      <c r="R29" s="115"/>
      <c r="S29" s="115"/>
    </row>
    <row r="30" spans="1:19">
      <c r="A30" s="111" t="s">
        <v>428</v>
      </c>
      <c r="B30" s="112" t="s">
        <v>429</v>
      </c>
      <c r="C30" s="113"/>
      <c r="D30" s="113"/>
      <c r="E30" s="113"/>
      <c r="F30" s="113"/>
      <c r="G30" s="113"/>
      <c r="H30" s="114"/>
      <c r="I30" s="114"/>
      <c r="P30" s="115" t="s">
        <v>542</v>
      </c>
      <c r="R30" s="115"/>
      <c r="S30" s="115"/>
    </row>
    <row r="31" spans="1:19">
      <c r="A31" s="111" t="s">
        <v>448</v>
      </c>
      <c r="B31" s="112" t="s">
        <v>560</v>
      </c>
      <c r="C31" s="113"/>
      <c r="D31" s="113"/>
      <c r="E31" s="113"/>
      <c r="F31" s="113"/>
      <c r="G31" s="113"/>
      <c r="H31" s="114"/>
      <c r="I31" s="114"/>
      <c r="P31" s="115" t="s">
        <v>542</v>
      </c>
      <c r="R31" s="115"/>
      <c r="S31" s="115"/>
    </row>
    <row r="32" spans="1:19">
      <c r="A32" s="111" t="s">
        <v>452</v>
      </c>
      <c r="B32" s="112" t="s">
        <v>561</v>
      </c>
      <c r="C32" s="113"/>
      <c r="D32" s="113"/>
      <c r="E32" s="113"/>
      <c r="F32" s="113"/>
      <c r="G32" s="113"/>
      <c r="H32" s="114"/>
      <c r="I32" s="114"/>
      <c r="P32" s="115" t="s">
        <v>537</v>
      </c>
      <c r="R32" s="115"/>
      <c r="S32" s="115"/>
    </row>
    <row r="33" spans="1:19">
      <c r="A33" s="111" t="s">
        <v>421</v>
      </c>
      <c r="B33" s="112" t="s">
        <v>562</v>
      </c>
      <c r="C33" s="113"/>
      <c r="D33" s="113"/>
      <c r="E33" s="113"/>
      <c r="F33" s="113"/>
      <c r="G33" s="113"/>
      <c r="H33" s="114"/>
      <c r="I33" s="114"/>
      <c r="P33" s="115" t="s">
        <v>539</v>
      </c>
      <c r="R33" s="115"/>
      <c r="S33" s="115"/>
    </row>
    <row r="34" spans="1:19">
      <c r="A34" s="111" t="s">
        <v>423</v>
      </c>
      <c r="B34" s="112" t="s">
        <v>424</v>
      </c>
      <c r="C34" s="113"/>
      <c r="D34" s="113"/>
      <c r="E34" s="113"/>
      <c r="F34" s="113"/>
      <c r="G34" s="113"/>
      <c r="H34" s="114"/>
      <c r="I34" s="114"/>
      <c r="P34" s="115" t="s">
        <v>538</v>
      </c>
      <c r="R34" s="115"/>
      <c r="S34" s="115"/>
    </row>
    <row r="35" spans="1:19">
      <c r="A35" s="111" t="s">
        <v>425</v>
      </c>
      <c r="B35" s="112" t="s">
        <v>563</v>
      </c>
      <c r="C35" s="113"/>
      <c r="D35" s="113"/>
      <c r="E35" s="113"/>
      <c r="F35" s="113"/>
      <c r="G35" s="113"/>
      <c r="H35" s="114"/>
      <c r="I35" s="114"/>
      <c r="P35" s="115" t="s">
        <v>539</v>
      </c>
      <c r="R35" s="115"/>
      <c r="S35" s="115"/>
    </row>
    <row r="36" spans="1:19">
      <c r="A36" s="111" t="s">
        <v>564</v>
      </c>
      <c r="B36" s="112" t="s">
        <v>565</v>
      </c>
      <c r="C36" s="113"/>
      <c r="D36" s="113"/>
      <c r="E36" s="113"/>
      <c r="F36" s="113"/>
      <c r="G36" s="113"/>
      <c r="H36" s="114"/>
      <c r="I36" s="114"/>
      <c r="P36" s="115" t="s">
        <v>537</v>
      </c>
      <c r="Q36" s="115" t="s">
        <v>566</v>
      </c>
      <c r="R36" s="115" t="s">
        <v>567</v>
      </c>
      <c r="S36" s="115"/>
    </row>
    <row r="37" spans="1:19">
      <c r="A37" s="111" t="s">
        <v>568</v>
      </c>
      <c r="B37" s="112" t="s">
        <v>355</v>
      </c>
      <c r="C37" s="113"/>
      <c r="D37" s="113"/>
      <c r="E37" s="113"/>
      <c r="F37" s="113"/>
      <c r="G37" s="113"/>
      <c r="H37" s="114"/>
      <c r="I37" s="114"/>
      <c r="P37" s="115" t="s">
        <v>569</v>
      </c>
      <c r="Q37" s="115" t="s">
        <v>566</v>
      </c>
      <c r="R37" s="115" t="s">
        <v>567</v>
      </c>
      <c r="S37" s="115" t="s">
        <v>570</v>
      </c>
    </row>
    <row r="38" spans="1:19">
      <c r="A38" s="111" t="s">
        <v>571</v>
      </c>
      <c r="B38" s="112" t="s">
        <v>357</v>
      </c>
      <c r="C38" s="113"/>
      <c r="D38" s="113"/>
      <c r="E38" s="113"/>
      <c r="F38" s="113"/>
      <c r="G38" s="113"/>
      <c r="H38" s="114"/>
      <c r="I38" s="114"/>
      <c r="P38" s="115" t="s">
        <v>572</v>
      </c>
      <c r="Q38" s="115" t="s">
        <v>566</v>
      </c>
      <c r="R38" s="115" t="s">
        <v>567</v>
      </c>
      <c r="S38" s="115" t="s">
        <v>573</v>
      </c>
    </row>
    <row r="39" spans="1:19">
      <c r="A39" s="111" t="s">
        <v>574</v>
      </c>
      <c r="B39" s="112" t="s">
        <v>575</v>
      </c>
      <c r="C39" s="113"/>
      <c r="D39" s="113"/>
      <c r="E39" s="113"/>
      <c r="F39" s="113"/>
      <c r="G39" s="113"/>
      <c r="H39" s="114"/>
      <c r="I39" s="114"/>
      <c r="P39" s="115" t="s">
        <v>576</v>
      </c>
      <c r="R39" s="115"/>
      <c r="S39" s="115"/>
    </row>
    <row r="40" spans="1:19">
      <c r="A40" s="111" t="s">
        <v>577</v>
      </c>
      <c r="B40" s="112" t="s">
        <v>578</v>
      </c>
      <c r="C40" s="113"/>
      <c r="D40" s="113"/>
      <c r="E40" s="113"/>
      <c r="F40" s="113"/>
      <c r="G40" s="113"/>
      <c r="H40" s="114"/>
      <c r="I40" s="114"/>
      <c r="P40" s="115" t="s">
        <v>579</v>
      </c>
      <c r="R40" s="115"/>
      <c r="S40" s="115"/>
    </row>
    <row r="41" spans="1:19">
      <c r="A41" s="111" t="s">
        <v>580</v>
      </c>
      <c r="B41" s="112" t="s">
        <v>581</v>
      </c>
      <c r="C41" s="113"/>
      <c r="D41" s="113"/>
      <c r="E41" s="113"/>
      <c r="F41" s="113"/>
      <c r="G41" s="113"/>
      <c r="H41" s="114"/>
      <c r="I41" s="114"/>
      <c r="P41" s="115" t="s">
        <v>582</v>
      </c>
      <c r="R41" s="115"/>
      <c r="S41" s="115"/>
    </row>
    <row r="42" spans="1:19">
      <c r="A42" s="111" t="s">
        <v>583</v>
      </c>
      <c r="B42" s="112" t="s">
        <v>584</v>
      </c>
      <c r="C42" s="113"/>
      <c r="D42" s="113"/>
      <c r="E42" s="113"/>
      <c r="F42" s="113"/>
      <c r="G42" s="113"/>
      <c r="H42" s="114"/>
      <c r="I42" s="114"/>
      <c r="R42" s="115"/>
      <c r="S42" s="115"/>
    </row>
    <row r="43" spans="1:19">
      <c r="A43" s="111" t="s">
        <v>585</v>
      </c>
      <c r="B43" s="112" t="s">
        <v>586</v>
      </c>
      <c r="C43" s="113"/>
      <c r="D43" s="113"/>
      <c r="E43" s="113"/>
      <c r="F43" s="113"/>
      <c r="G43" s="113"/>
      <c r="H43" s="114"/>
      <c r="I43" s="114"/>
      <c r="R43" s="115"/>
      <c r="S43" s="115"/>
    </row>
    <row r="44" spans="1:19">
      <c r="A44" s="111" t="s">
        <v>466</v>
      </c>
      <c r="B44" s="112" t="s">
        <v>467</v>
      </c>
      <c r="C44" s="113"/>
      <c r="D44" s="113"/>
      <c r="E44" s="113"/>
      <c r="F44" s="113"/>
      <c r="G44" s="113"/>
      <c r="H44" s="114"/>
      <c r="I44" s="114"/>
      <c r="P44" s="128" t="s">
        <v>573</v>
      </c>
      <c r="R44" s="115"/>
      <c r="S44" s="115"/>
    </row>
    <row r="45" spans="1:19">
      <c r="C45" s="122"/>
      <c r="D45" s="122"/>
      <c r="E45" s="122"/>
      <c r="F45" s="122"/>
      <c r="G45" s="122"/>
      <c r="H45" s="122"/>
      <c r="I45" s="122"/>
      <c r="R45" s="115"/>
      <c r="S45" s="115"/>
    </row>
    <row r="46" spans="1:19">
      <c r="C46" s="122"/>
      <c r="D46" s="122"/>
      <c r="E46" s="122"/>
      <c r="F46" s="122"/>
      <c r="G46" s="122"/>
      <c r="H46" s="122"/>
      <c r="I46" s="122"/>
      <c r="R46" s="115"/>
      <c r="S46" s="115"/>
    </row>
    <row r="47" spans="1:19">
      <c r="C47" s="122"/>
      <c r="D47" s="122"/>
      <c r="E47" s="122"/>
      <c r="F47" s="122"/>
      <c r="G47" s="122"/>
      <c r="H47" s="122"/>
      <c r="I47" s="122"/>
      <c r="R47" s="115"/>
      <c r="S47" s="115"/>
    </row>
    <row r="48" spans="1:19">
      <c r="C48" s="122"/>
      <c r="D48" s="122"/>
      <c r="E48" s="122"/>
      <c r="F48" s="122"/>
      <c r="G48" s="122"/>
      <c r="H48" s="122"/>
      <c r="I48" s="122"/>
      <c r="R48" s="115"/>
      <c r="S48" s="115"/>
    </row>
    <row r="49" spans="3:19">
      <c r="C49" s="114"/>
      <c r="D49" s="114"/>
      <c r="E49" s="114"/>
      <c r="F49" s="114"/>
      <c r="G49" s="114"/>
      <c r="H49" s="114"/>
      <c r="I49" s="114"/>
      <c r="R49" s="115"/>
      <c r="S49" s="115"/>
    </row>
    <row r="50" spans="3:19">
      <c r="C50" s="114"/>
      <c r="D50" s="114"/>
      <c r="E50" s="114"/>
      <c r="F50" s="114"/>
      <c r="G50" s="114"/>
      <c r="H50" s="114"/>
      <c r="I50" s="114"/>
      <c r="R50" s="115"/>
      <c r="S50" s="115"/>
    </row>
    <row r="51" spans="3:19">
      <c r="C51" s="114"/>
      <c r="D51" s="114"/>
      <c r="E51" s="114"/>
      <c r="F51" s="114"/>
      <c r="G51" s="114"/>
      <c r="H51" s="114"/>
      <c r="I51" s="114"/>
      <c r="R51" s="115"/>
      <c r="S51" s="115"/>
    </row>
    <row r="52" spans="3:19">
      <c r="C52" s="114"/>
      <c r="D52" s="114"/>
      <c r="E52" s="114"/>
      <c r="F52" s="114"/>
      <c r="G52" s="114"/>
      <c r="H52" s="114"/>
      <c r="I52" s="114"/>
      <c r="R52" s="115"/>
      <c r="S52" s="115"/>
    </row>
    <row r="53" spans="3:19">
      <c r="C53" s="114"/>
      <c r="D53" s="114"/>
      <c r="E53" s="114"/>
      <c r="F53" s="114"/>
      <c r="G53" s="114"/>
      <c r="H53" s="114"/>
      <c r="I53" s="114"/>
      <c r="R53" s="115"/>
      <c r="S53" s="115"/>
    </row>
    <row r="54" spans="3:19">
      <c r="C54" s="114"/>
      <c r="D54" s="114"/>
      <c r="E54" s="114"/>
      <c r="F54" s="114"/>
      <c r="G54" s="114"/>
      <c r="H54" s="114"/>
      <c r="I54" s="114"/>
      <c r="R54" s="115"/>
      <c r="S54" s="115"/>
    </row>
    <row r="55" spans="3:19">
      <c r="C55" s="114"/>
      <c r="D55" s="114"/>
      <c r="E55" s="114"/>
      <c r="F55" s="114"/>
      <c r="G55" s="114"/>
      <c r="H55" s="114"/>
      <c r="I55" s="114"/>
      <c r="R55" s="115"/>
      <c r="S55" s="115"/>
    </row>
    <row r="56" spans="3:19">
      <c r="C56" s="114"/>
      <c r="D56" s="114"/>
      <c r="E56" s="114"/>
      <c r="F56" s="114"/>
      <c r="G56" s="114"/>
      <c r="H56" s="114"/>
      <c r="I56" s="114"/>
      <c r="R56" s="115"/>
      <c r="S56" s="115"/>
    </row>
    <row r="57" spans="3:19">
      <c r="C57" s="114"/>
      <c r="D57" s="114"/>
      <c r="E57" s="114"/>
      <c r="F57" s="114"/>
      <c r="G57" s="114"/>
      <c r="H57" s="114"/>
      <c r="I57" s="114"/>
      <c r="R57" s="115"/>
      <c r="S57" s="115"/>
    </row>
    <row r="58" spans="3:19">
      <c r="C58" s="114"/>
      <c r="D58" s="114"/>
      <c r="E58" s="114"/>
      <c r="F58" s="114"/>
      <c r="G58" s="114"/>
      <c r="H58" s="114"/>
      <c r="I58" s="114"/>
      <c r="R58" s="115"/>
      <c r="S58" s="115"/>
    </row>
    <row r="59" spans="3:19">
      <c r="C59" s="114"/>
      <c r="D59" s="114"/>
      <c r="E59" s="114"/>
      <c r="F59" s="114"/>
      <c r="G59" s="114"/>
      <c r="H59" s="114"/>
      <c r="I59" s="114"/>
      <c r="R59" s="115"/>
      <c r="S59" s="115"/>
    </row>
    <row r="60" spans="3:19">
      <c r="C60" s="114"/>
      <c r="D60" s="114"/>
      <c r="E60" s="114"/>
      <c r="F60" s="114"/>
      <c r="G60" s="114"/>
      <c r="H60" s="114"/>
      <c r="I60" s="114"/>
      <c r="R60" s="115"/>
      <c r="S60" s="115"/>
    </row>
    <row r="61" spans="3:19">
      <c r="C61" s="114"/>
      <c r="D61" s="114"/>
      <c r="E61" s="114"/>
      <c r="F61" s="114"/>
      <c r="G61" s="114"/>
      <c r="H61" s="114"/>
      <c r="I61" s="114"/>
      <c r="R61" s="115"/>
      <c r="S61" s="115"/>
    </row>
    <row r="62" spans="3:19">
      <c r="C62" s="114"/>
      <c r="D62" s="114"/>
      <c r="E62" s="114"/>
      <c r="F62" s="114"/>
      <c r="G62" s="114"/>
      <c r="H62" s="114"/>
      <c r="I62" s="114"/>
      <c r="R62" s="115"/>
      <c r="S62" s="115"/>
    </row>
    <row r="63" spans="3:19">
      <c r="C63" s="114"/>
      <c r="D63" s="114"/>
      <c r="E63" s="114"/>
      <c r="F63" s="114"/>
      <c r="G63" s="114"/>
      <c r="H63" s="114"/>
      <c r="I63" s="114"/>
      <c r="R63" s="115"/>
      <c r="S63" s="115"/>
    </row>
    <row r="64" spans="3:19">
      <c r="C64" s="114"/>
      <c r="D64" s="114"/>
      <c r="E64" s="114"/>
      <c r="F64" s="114"/>
      <c r="G64" s="114"/>
      <c r="H64" s="114"/>
      <c r="I64" s="114"/>
      <c r="R64" s="115"/>
      <c r="S64" s="115"/>
    </row>
    <row r="65" spans="3:19">
      <c r="C65" s="114"/>
      <c r="D65" s="114"/>
      <c r="E65" s="114"/>
      <c r="F65" s="114"/>
      <c r="G65" s="114"/>
      <c r="H65" s="114"/>
      <c r="I65" s="114"/>
      <c r="R65" s="115"/>
      <c r="S65" s="115"/>
    </row>
    <row r="66" spans="3:19">
      <c r="C66" s="114"/>
      <c r="D66" s="114"/>
      <c r="E66" s="114"/>
      <c r="F66" s="114"/>
      <c r="G66" s="114"/>
      <c r="H66" s="114"/>
      <c r="I66" s="114"/>
      <c r="R66" s="115"/>
      <c r="S66" s="115"/>
    </row>
    <row r="67" spans="3:19">
      <c r="C67" s="114"/>
      <c r="D67" s="114"/>
      <c r="E67" s="114"/>
      <c r="F67" s="114"/>
      <c r="G67" s="114"/>
      <c r="H67" s="114"/>
      <c r="I67" s="114"/>
      <c r="R67" s="115"/>
      <c r="S67" s="115"/>
    </row>
    <row r="68" spans="3:19">
      <c r="C68" s="114"/>
      <c r="D68" s="114"/>
      <c r="E68" s="114"/>
      <c r="F68" s="114"/>
      <c r="G68" s="114"/>
      <c r="H68" s="114"/>
      <c r="I68" s="114"/>
      <c r="R68" s="115"/>
      <c r="S68" s="115"/>
    </row>
    <row r="69" spans="3:19">
      <c r="C69" s="114"/>
      <c r="D69" s="114"/>
      <c r="E69" s="114"/>
      <c r="F69" s="114"/>
      <c r="G69" s="114"/>
      <c r="H69" s="114"/>
      <c r="I69" s="114"/>
      <c r="R69" s="115"/>
      <c r="S69" s="115"/>
    </row>
    <row r="70" spans="3:19">
      <c r="C70" s="114"/>
      <c r="D70" s="114"/>
      <c r="E70" s="114"/>
      <c r="F70" s="114"/>
      <c r="G70" s="114"/>
      <c r="H70" s="114"/>
      <c r="I70" s="114"/>
      <c r="R70" s="115"/>
      <c r="S70" s="115"/>
    </row>
    <row r="71" spans="3:19">
      <c r="C71" s="114"/>
      <c r="D71" s="114"/>
      <c r="E71" s="114"/>
      <c r="F71" s="114"/>
      <c r="G71" s="114"/>
      <c r="H71" s="114"/>
      <c r="I71" s="114"/>
      <c r="R71" s="115"/>
      <c r="S71" s="115"/>
    </row>
    <row r="72" spans="3:19">
      <c r="C72" s="114"/>
      <c r="D72" s="114"/>
      <c r="E72" s="114"/>
      <c r="F72" s="114"/>
      <c r="G72" s="114"/>
      <c r="H72" s="114"/>
      <c r="I72" s="114"/>
      <c r="R72" s="115"/>
      <c r="S72" s="115"/>
    </row>
    <row r="73" spans="3:19">
      <c r="C73" s="114"/>
      <c r="D73" s="114"/>
      <c r="E73" s="114"/>
      <c r="F73" s="114"/>
      <c r="G73" s="114"/>
      <c r="H73" s="114"/>
      <c r="I73" s="114"/>
      <c r="R73" s="115"/>
      <c r="S73" s="115"/>
    </row>
    <row r="74" spans="3:19">
      <c r="C74" s="114"/>
      <c r="D74" s="114"/>
      <c r="E74" s="114"/>
      <c r="F74" s="114"/>
      <c r="G74" s="114"/>
      <c r="H74" s="114"/>
      <c r="I74" s="114"/>
      <c r="R74" s="115"/>
      <c r="S74" s="115"/>
    </row>
    <row r="75" spans="3:19">
      <c r="C75" s="114"/>
      <c r="D75" s="114"/>
      <c r="E75" s="114"/>
      <c r="F75" s="114"/>
      <c r="G75" s="114"/>
      <c r="H75" s="114"/>
      <c r="I75" s="114"/>
      <c r="R75" s="115"/>
      <c r="S75" s="115"/>
    </row>
    <row r="76" spans="3:19">
      <c r="C76" s="114"/>
      <c r="D76" s="114"/>
      <c r="E76" s="114"/>
      <c r="F76" s="114"/>
      <c r="G76" s="114"/>
      <c r="H76" s="114"/>
      <c r="I76" s="114"/>
      <c r="R76" s="115"/>
      <c r="S76" s="115"/>
    </row>
    <row r="77" spans="3:19">
      <c r="C77" s="114"/>
      <c r="D77" s="114"/>
      <c r="E77" s="114"/>
      <c r="F77" s="114"/>
      <c r="G77" s="114"/>
      <c r="H77" s="114"/>
      <c r="I77" s="114"/>
      <c r="R77" s="115"/>
      <c r="S77" s="115"/>
    </row>
    <row r="78" spans="3:19">
      <c r="C78" s="114"/>
      <c r="D78" s="114"/>
      <c r="E78" s="114"/>
      <c r="F78" s="114"/>
      <c r="G78" s="114"/>
      <c r="H78" s="114"/>
      <c r="I78" s="114"/>
      <c r="R78" s="115"/>
      <c r="S78" s="115"/>
    </row>
    <row r="79" spans="3:19">
      <c r="C79" s="114"/>
      <c r="D79" s="114"/>
      <c r="E79" s="114"/>
      <c r="F79" s="114"/>
      <c r="G79" s="114"/>
      <c r="H79" s="114"/>
      <c r="I79" s="114"/>
      <c r="R79" s="115"/>
      <c r="S79" s="115"/>
    </row>
    <row r="80" spans="3:19">
      <c r="C80" s="114"/>
      <c r="D80" s="114"/>
      <c r="E80" s="114"/>
      <c r="F80" s="114"/>
      <c r="G80" s="114"/>
      <c r="H80" s="114"/>
      <c r="I80" s="114"/>
      <c r="R80" s="115"/>
      <c r="S80" s="115"/>
    </row>
    <row r="81" spans="3:19">
      <c r="C81" s="114"/>
      <c r="D81" s="114"/>
      <c r="E81" s="114"/>
      <c r="F81" s="114"/>
      <c r="G81" s="114"/>
      <c r="H81" s="114"/>
      <c r="I81" s="114"/>
      <c r="R81" s="115"/>
      <c r="S81" s="115"/>
    </row>
    <row r="82" spans="3:19">
      <c r="C82" s="114"/>
      <c r="D82" s="114"/>
      <c r="E82" s="114"/>
      <c r="F82" s="114"/>
      <c r="G82" s="114"/>
      <c r="H82" s="114"/>
      <c r="I82" s="114"/>
      <c r="R82" s="115"/>
      <c r="S82" s="115"/>
    </row>
    <row r="83" spans="3:19">
      <c r="C83" s="114"/>
      <c r="D83" s="114"/>
      <c r="E83" s="114"/>
      <c r="F83" s="114"/>
      <c r="G83" s="114"/>
      <c r="H83" s="114"/>
      <c r="I83" s="114"/>
      <c r="R83" s="115"/>
      <c r="S83" s="115"/>
    </row>
    <row r="84" spans="3:19">
      <c r="C84" s="114"/>
      <c r="D84" s="114"/>
      <c r="E84" s="114"/>
      <c r="F84" s="114"/>
      <c r="G84" s="114"/>
      <c r="H84" s="114"/>
      <c r="I84" s="114"/>
      <c r="R84" s="115"/>
      <c r="S84" s="115"/>
    </row>
    <row r="85" spans="3:19">
      <c r="C85" s="114"/>
      <c r="D85" s="114"/>
      <c r="E85" s="114"/>
      <c r="F85" s="114"/>
      <c r="G85" s="114"/>
      <c r="H85" s="114"/>
      <c r="I85" s="114"/>
      <c r="R85" s="115"/>
      <c r="S85" s="115"/>
    </row>
    <row r="86" spans="3:19">
      <c r="C86" s="114"/>
      <c r="D86" s="114"/>
      <c r="E86" s="114"/>
      <c r="F86" s="114"/>
      <c r="G86" s="114"/>
      <c r="H86" s="114"/>
      <c r="I86" s="114"/>
      <c r="R86" s="115"/>
      <c r="S86" s="115"/>
    </row>
    <row r="87" spans="3:19">
      <c r="C87" s="114"/>
      <c r="D87" s="114"/>
      <c r="E87" s="114"/>
      <c r="F87" s="114"/>
      <c r="G87" s="114"/>
      <c r="H87" s="114"/>
      <c r="I87" s="114"/>
      <c r="R87" s="115"/>
      <c r="S87" s="115"/>
    </row>
    <row r="88" spans="3:19">
      <c r="C88" s="114"/>
      <c r="D88" s="114"/>
      <c r="E88" s="114"/>
      <c r="F88" s="114"/>
      <c r="G88" s="114"/>
      <c r="H88" s="114"/>
      <c r="I88" s="114"/>
      <c r="R88" s="115"/>
      <c r="S88" s="115"/>
    </row>
    <row r="89" spans="3:19">
      <c r="C89" s="114"/>
      <c r="D89" s="114"/>
      <c r="E89" s="114"/>
      <c r="F89" s="114"/>
      <c r="G89" s="114"/>
      <c r="H89" s="114"/>
      <c r="I89" s="114"/>
      <c r="R89" s="115"/>
      <c r="S89" s="115"/>
    </row>
    <row r="90" spans="3:19">
      <c r="C90" s="114"/>
      <c r="D90" s="114"/>
      <c r="E90" s="114"/>
      <c r="F90" s="114"/>
      <c r="G90" s="114"/>
      <c r="H90" s="114"/>
      <c r="I90" s="114"/>
      <c r="R90" s="115"/>
      <c r="S90" s="115"/>
    </row>
    <row r="91" spans="3:19">
      <c r="C91" s="114"/>
      <c r="D91" s="114"/>
      <c r="E91" s="114"/>
      <c r="F91" s="114"/>
      <c r="G91" s="114"/>
      <c r="H91" s="114"/>
      <c r="I91" s="114"/>
      <c r="R91" s="115"/>
      <c r="S91" s="115"/>
    </row>
    <row r="92" spans="3:19">
      <c r="C92" s="114"/>
      <c r="D92" s="114"/>
      <c r="E92" s="114"/>
      <c r="F92" s="114"/>
      <c r="G92" s="114"/>
      <c r="H92" s="114"/>
      <c r="I92" s="114"/>
      <c r="R92" s="115"/>
      <c r="S92" s="115"/>
    </row>
    <row r="93" spans="3:19">
      <c r="C93" s="114"/>
      <c r="D93" s="114"/>
      <c r="E93" s="114"/>
      <c r="F93" s="114"/>
      <c r="G93" s="114"/>
      <c r="H93" s="114"/>
      <c r="I93" s="114"/>
      <c r="R93" s="115"/>
      <c r="S93" s="115"/>
    </row>
    <row r="94" spans="3:19">
      <c r="C94" s="114"/>
      <c r="D94" s="114"/>
      <c r="E94" s="114"/>
      <c r="F94" s="114"/>
      <c r="G94" s="114"/>
      <c r="H94" s="114"/>
      <c r="I94" s="114"/>
      <c r="R94" s="115"/>
      <c r="S94" s="115"/>
    </row>
    <row r="95" spans="3:19">
      <c r="C95" s="114"/>
      <c r="D95" s="114"/>
      <c r="E95" s="114"/>
      <c r="F95" s="114"/>
      <c r="G95" s="114"/>
      <c r="H95" s="114"/>
      <c r="I95" s="114"/>
      <c r="R95" s="115"/>
      <c r="S95" s="115"/>
    </row>
    <row r="96" spans="3:19">
      <c r="C96" s="114"/>
      <c r="D96" s="114"/>
      <c r="E96" s="114"/>
      <c r="F96" s="114"/>
      <c r="G96" s="114"/>
      <c r="H96" s="114"/>
      <c r="I96" s="114"/>
      <c r="R96" s="115"/>
      <c r="S96" s="115"/>
    </row>
    <row r="97" spans="3:19">
      <c r="C97" s="114"/>
      <c r="D97" s="114"/>
      <c r="E97" s="114"/>
      <c r="F97" s="114"/>
      <c r="G97" s="114"/>
      <c r="H97" s="114"/>
      <c r="I97" s="114"/>
      <c r="R97" s="115"/>
      <c r="S97" s="115"/>
    </row>
    <row r="98" spans="3:19">
      <c r="C98" s="114"/>
      <c r="D98" s="114"/>
      <c r="E98" s="114"/>
      <c r="F98" s="114"/>
      <c r="G98" s="114"/>
      <c r="H98" s="114"/>
      <c r="I98" s="114"/>
      <c r="R98" s="115"/>
      <c r="S98" s="115"/>
    </row>
    <row r="99" spans="3:19">
      <c r="C99" s="114"/>
      <c r="D99" s="114"/>
      <c r="E99" s="114"/>
      <c r="F99" s="114"/>
      <c r="G99" s="114"/>
      <c r="H99" s="114"/>
      <c r="I99" s="114"/>
      <c r="R99" s="115"/>
      <c r="S99" s="115"/>
    </row>
    <row r="100" spans="3:19">
      <c r="C100" s="114"/>
      <c r="D100" s="114"/>
      <c r="E100" s="114"/>
      <c r="F100" s="114"/>
      <c r="G100" s="114"/>
      <c r="H100" s="114"/>
      <c r="I100" s="114"/>
      <c r="R100" s="115"/>
      <c r="S100" s="115"/>
    </row>
    <row r="101" spans="3:19">
      <c r="C101" s="114"/>
      <c r="D101" s="114"/>
      <c r="E101" s="114"/>
      <c r="F101" s="114"/>
      <c r="G101" s="114"/>
      <c r="H101" s="114"/>
      <c r="I101" s="114"/>
      <c r="R101" s="115"/>
      <c r="S101" s="115"/>
    </row>
    <row r="102" spans="3:19">
      <c r="C102" s="114"/>
      <c r="D102" s="114"/>
      <c r="E102" s="114"/>
      <c r="F102" s="114"/>
      <c r="G102" s="114"/>
      <c r="H102" s="114"/>
      <c r="I102" s="114"/>
      <c r="R102" s="115"/>
      <c r="S102" s="115"/>
    </row>
    <row r="103" spans="3:19">
      <c r="C103" s="114"/>
      <c r="D103" s="114"/>
      <c r="E103" s="114"/>
      <c r="F103" s="114"/>
      <c r="G103" s="114"/>
      <c r="H103" s="114"/>
      <c r="I103" s="114"/>
      <c r="R103" s="115"/>
      <c r="S103" s="115"/>
    </row>
    <row r="104" spans="3:19">
      <c r="C104" s="114"/>
      <c r="D104" s="114"/>
      <c r="E104" s="114"/>
      <c r="F104" s="114"/>
      <c r="G104" s="114"/>
      <c r="H104" s="114"/>
      <c r="I104" s="114"/>
      <c r="R104" s="115"/>
      <c r="S104" s="115"/>
    </row>
    <row r="105" spans="3:19">
      <c r="C105" s="114"/>
      <c r="D105" s="114"/>
      <c r="E105" s="114"/>
      <c r="F105" s="114"/>
      <c r="G105" s="114"/>
      <c r="H105" s="114"/>
      <c r="I105" s="114"/>
      <c r="R105" s="115"/>
      <c r="S105" s="115"/>
    </row>
    <row r="106" spans="3:19">
      <c r="C106" s="114"/>
      <c r="D106" s="114"/>
      <c r="E106" s="114"/>
      <c r="F106" s="114"/>
      <c r="G106" s="114"/>
      <c r="H106" s="114"/>
      <c r="I106" s="114"/>
      <c r="R106" s="115"/>
      <c r="S106" s="115"/>
    </row>
    <row r="107" spans="3:19">
      <c r="C107" s="114"/>
      <c r="D107" s="114"/>
      <c r="E107" s="114"/>
      <c r="F107" s="114"/>
      <c r="G107" s="114"/>
      <c r="H107" s="114"/>
      <c r="I107" s="114"/>
      <c r="R107" s="115"/>
      <c r="S107" s="115"/>
    </row>
    <row r="108" spans="3:19">
      <c r="C108" s="114"/>
      <c r="D108" s="114"/>
      <c r="E108" s="114"/>
      <c r="F108" s="114"/>
      <c r="G108" s="114"/>
      <c r="H108" s="114"/>
      <c r="I108" s="114"/>
      <c r="R108" s="115"/>
      <c r="S108" s="115"/>
    </row>
    <row r="109" spans="3:19">
      <c r="C109" s="114"/>
      <c r="D109" s="114"/>
      <c r="E109" s="114"/>
      <c r="F109" s="114"/>
      <c r="G109" s="114"/>
      <c r="H109" s="114"/>
      <c r="I109" s="114"/>
      <c r="R109" s="115"/>
      <c r="S109" s="115"/>
    </row>
    <row r="110" spans="3:19">
      <c r="C110" s="114"/>
      <c r="D110" s="114"/>
      <c r="E110" s="114"/>
      <c r="F110" s="114"/>
      <c r="G110" s="114"/>
      <c r="H110" s="114"/>
      <c r="I110" s="114"/>
      <c r="R110" s="115"/>
      <c r="S110" s="115"/>
    </row>
    <row r="111" spans="3:19">
      <c r="C111" s="114"/>
      <c r="D111" s="114"/>
      <c r="E111" s="114"/>
      <c r="F111" s="114"/>
      <c r="G111" s="114"/>
      <c r="H111" s="114"/>
      <c r="I111" s="114"/>
      <c r="R111" s="115"/>
      <c r="S111" s="115"/>
    </row>
    <row r="112" spans="3:19">
      <c r="C112" s="114"/>
      <c r="D112" s="114"/>
      <c r="E112" s="114"/>
      <c r="F112" s="114"/>
      <c r="G112" s="114"/>
      <c r="H112" s="114"/>
      <c r="I112" s="114"/>
      <c r="R112" s="115"/>
      <c r="S112" s="115"/>
    </row>
    <row r="113" spans="3:19">
      <c r="C113" s="114"/>
      <c r="D113" s="114"/>
      <c r="E113" s="114"/>
      <c r="F113" s="114"/>
      <c r="G113" s="114"/>
      <c r="H113" s="114"/>
      <c r="I113" s="114"/>
      <c r="R113" s="115"/>
      <c r="S113" s="115"/>
    </row>
    <row r="114" spans="3:19">
      <c r="C114" s="114"/>
      <c r="D114" s="114"/>
      <c r="E114" s="114"/>
      <c r="F114" s="114"/>
      <c r="G114" s="114"/>
      <c r="H114" s="114"/>
      <c r="I114" s="114"/>
      <c r="R114" s="115"/>
      <c r="S114" s="115"/>
    </row>
    <row r="115" spans="3:19">
      <c r="C115" s="114"/>
      <c r="D115" s="114"/>
      <c r="E115" s="114"/>
      <c r="F115" s="114"/>
      <c r="G115" s="114"/>
      <c r="H115" s="114"/>
      <c r="I115" s="114"/>
      <c r="R115" s="115"/>
      <c r="S115" s="115"/>
    </row>
    <row r="116" spans="3:19">
      <c r="C116" s="114"/>
      <c r="D116" s="114"/>
      <c r="E116" s="114"/>
      <c r="F116" s="114"/>
      <c r="G116" s="114"/>
      <c r="H116" s="114"/>
      <c r="I116" s="114"/>
      <c r="R116" s="115"/>
      <c r="S116" s="115"/>
    </row>
    <row r="117" spans="3:19">
      <c r="C117" s="114"/>
      <c r="D117" s="114"/>
      <c r="E117" s="114"/>
      <c r="F117" s="114"/>
      <c r="G117" s="114"/>
      <c r="H117" s="114"/>
      <c r="I117" s="114"/>
      <c r="R117" s="115"/>
      <c r="S117" s="115"/>
    </row>
    <row r="118" spans="3:19">
      <c r="C118" s="114"/>
      <c r="D118" s="114"/>
      <c r="E118" s="114"/>
      <c r="F118" s="114"/>
      <c r="G118" s="114"/>
      <c r="H118" s="114"/>
      <c r="I118" s="114"/>
      <c r="R118" s="115"/>
      <c r="S118" s="115"/>
    </row>
    <row r="119" spans="3:19">
      <c r="C119" s="114"/>
      <c r="D119" s="114"/>
      <c r="E119" s="114"/>
      <c r="F119" s="114"/>
      <c r="G119" s="114"/>
      <c r="H119" s="114"/>
      <c r="I119" s="114"/>
      <c r="R119" s="115"/>
      <c r="S119" s="115"/>
    </row>
    <row r="120" spans="3:19">
      <c r="C120" s="114"/>
      <c r="D120" s="114"/>
      <c r="E120" s="114"/>
      <c r="F120" s="114"/>
      <c r="G120" s="114"/>
      <c r="H120" s="114"/>
      <c r="I120" s="114"/>
      <c r="R120" s="115"/>
      <c r="S120" s="115"/>
    </row>
    <row r="121" spans="3:19">
      <c r="C121" s="114"/>
      <c r="D121" s="114"/>
      <c r="E121" s="114"/>
      <c r="F121" s="114"/>
      <c r="G121" s="114"/>
      <c r="H121" s="114"/>
      <c r="I121" s="114"/>
      <c r="R121" s="115"/>
      <c r="S121" s="115"/>
    </row>
    <row r="122" spans="3:19">
      <c r="C122" s="114"/>
      <c r="D122" s="114"/>
      <c r="E122" s="114"/>
      <c r="F122" s="114"/>
      <c r="G122" s="114"/>
      <c r="H122" s="114"/>
      <c r="I122" s="114"/>
      <c r="R122" s="115"/>
      <c r="S122" s="115"/>
    </row>
    <row r="123" spans="3:19">
      <c r="C123" s="114"/>
      <c r="D123" s="114"/>
      <c r="E123" s="114"/>
      <c r="F123" s="114"/>
      <c r="G123" s="114"/>
      <c r="H123" s="114"/>
      <c r="I123" s="114"/>
      <c r="R123" s="115"/>
      <c r="S123" s="115"/>
    </row>
    <row r="124" spans="3:19">
      <c r="C124" s="114"/>
      <c r="D124" s="114"/>
      <c r="E124" s="114"/>
      <c r="F124" s="114"/>
      <c r="G124" s="114"/>
      <c r="H124" s="114"/>
      <c r="I124" s="114"/>
      <c r="R124" s="115"/>
      <c r="S124" s="115"/>
    </row>
    <row r="125" spans="3:19">
      <c r="C125" s="114"/>
      <c r="D125" s="114"/>
      <c r="E125" s="114"/>
      <c r="F125" s="114"/>
      <c r="G125" s="114"/>
      <c r="H125" s="114"/>
      <c r="I125" s="114"/>
      <c r="R125" s="115"/>
      <c r="S125" s="115"/>
    </row>
    <row r="126" spans="3:19">
      <c r="C126" s="114"/>
      <c r="D126" s="114"/>
      <c r="E126" s="114"/>
      <c r="F126" s="114"/>
      <c r="G126" s="114"/>
      <c r="H126" s="114"/>
      <c r="I126" s="114"/>
      <c r="R126" s="115"/>
      <c r="S126" s="115"/>
    </row>
    <row r="127" spans="3:19">
      <c r="C127" s="114"/>
      <c r="D127" s="114"/>
      <c r="E127" s="114"/>
      <c r="F127" s="114"/>
      <c r="G127" s="114"/>
      <c r="H127" s="114"/>
      <c r="I127" s="114"/>
      <c r="R127" s="115"/>
      <c r="S127" s="115"/>
    </row>
    <row r="128" spans="3:19">
      <c r="C128" s="114"/>
      <c r="D128" s="114"/>
      <c r="E128" s="114"/>
      <c r="F128" s="114"/>
      <c r="G128" s="114"/>
      <c r="H128" s="114"/>
      <c r="I128" s="114"/>
      <c r="R128" s="115"/>
      <c r="S128" s="115"/>
    </row>
    <row r="129" spans="3:19">
      <c r="C129" s="114"/>
      <c r="D129" s="114"/>
      <c r="E129" s="114"/>
      <c r="F129" s="114"/>
      <c r="G129" s="114"/>
      <c r="H129" s="114"/>
      <c r="I129" s="114"/>
      <c r="R129" s="115"/>
      <c r="S129" s="115"/>
    </row>
    <row r="130" spans="3:19">
      <c r="C130" s="114"/>
      <c r="D130" s="114"/>
      <c r="E130" s="114"/>
      <c r="F130" s="114"/>
      <c r="G130" s="114"/>
      <c r="H130" s="114"/>
      <c r="I130" s="114"/>
      <c r="R130" s="115"/>
      <c r="S130" s="115"/>
    </row>
    <row r="131" spans="3:19">
      <c r="C131" s="114"/>
      <c r="D131" s="114"/>
      <c r="E131" s="114"/>
      <c r="F131" s="114"/>
      <c r="G131" s="114"/>
      <c r="H131" s="114"/>
      <c r="I131" s="114"/>
      <c r="R131" s="115"/>
      <c r="S131" s="115"/>
    </row>
    <row r="132" spans="3:19">
      <c r="C132" s="114"/>
      <c r="D132" s="114"/>
      <c r="E132" s="114"/>
      <c r="F132" s="114"/>
      <c r="G132" s="114"/>
      <c r="H132" s="114"/>
      <c r="I132" s="114"/>
      <c r="R132" s="115"/>
      <c r="S132" s="115"/>
    </row>
    <row r="133" spans="3:19">
      <c r="C133" s="114"/>
      <c r="D133" s="114"/>
      <c r="E133" s="114"/>
      <c r="F133" s="114"/>
      <c r="G133" s="114"/>
      <c r="H133" s="114"/>
      <c r="I133" s="114"/>
      <c r="R133" s="115"/>
      <c r="S133" s="115"/>
    </row>
    <row r="134" spans="3:19">
      <c r="C134" s="114"/>
      <c r="D134" s="114"/>
      <c r="E134" s="114"/>
      <c r="F134" s="114"/>
      <c r="G134" s="114"/>
      <c r="H134" s="114"/>
      <c r="I134" s="114"/>
      <c r="R134" s="115"/>
      <c r="S134" s="115"/>
    </row>
    <row r="135" spans="3:19">
      <c r="C135" s="114"/>
      <c r="D135" s="114"/>
      <c r="E135" s="114"/>
      <c r="F135" s="114"/>
      <c r="G135" s="114"/>
      <c r="H135" s="114"/>
      <c r="I135" s="114"/>
      <c r="R135" s="115"/>
      <c r="S135" s="115"/>
    </row>
    <row r="136" spans="3:19">
      <c r="C136" s="114"/>
      <c r="D136" s="114"/>
      <c r="E136" s="114"/>
      <c r="F136" s="114"/>
      <c r="G136" s="114"/>
      <c r="H136" s="114"/>
      <c r="I136" s="114"/>
      <c r="R136" s="115"/>
      <c r="S136" s="115"/>
    </row>
    <row r="137" spans="3:19">
      <c r="C137" s="114"/>
      <c r="D137" s="114"/>
      <c r="E137" s="114"/>
      <c r="F137" s="114"/>
      <c r="G137" s="114"/>
      <c r="H137" s="114"/>
      <c r="I137" s="114"/>
      <c r="R137" s="115"/>
      <c r="S137" s="115"/>
    </row>
    <row r="138" spans="3:19">
      <c r="C138" s="114"/>
      <c r="D138" s="114"/>
      <c r="E138" s="114"/>
      <c r="F138" s="114"/>
      <c r="G138" s="114"/>
      <c r="H138" s="114"/>
      <c r="I138" s="114"/>
      <c r="R138" s="115"/>
      <c r="S138" s="115"/>
    </row>
    <row r="139" spans="3:19">
      <c r="C139" s="114"/>
      <c r="D139" s="114"/>
      <c r="E139" s="114"/>
      <c r="F139" s="114"/>
      <c r="G139" s="114"/>
      <c r="H139" s="114"/>
      <c r="I139" s="114"/>
      <c r="R139" s="115"/>
      <c r="S139" s="115"/>
    </row>
    <row r="140" spans="3:19">
      <c r="C140" s="114"/>
      <c r="D140" s="114"/>
      <c r="E140" s="114"/>
      <c r="F140" s="114"/>
      <c r="G140" s="114"/>
      <c r="H140" s="114"/>
      <c r="I140" s="114"/>
      <c r="R140" s="115"/>
      <c r="S140" s="115"/>
    </row>
    <row r="141" spans="3:19">
      <c r="C141" s="114"/>
      <c r="D141" s="114"/>
      <c r="E141" s="114"/>
      <c r="F141" s="114"/>
      <c r="G141" s="114"/>
      <c r="H141" s="114"/>
      <c r="I141" s="114"/>
      <c r="R141" s="115"/>
      <c r="S141" s="115"/>
    </row>
    <row r="142" spans="3:19">
      <c r="C142" s="114"/>
      <c r="D142" s="114"/>
      <c r="E142" s="114"/>
      <c r="F142" s="114"/>
      <c r="G142" s="114"/>
      <c r="H142" s="114"/>
      <c r="I142" s="114"/>
      <c r="R142" s="115"/>
      <c r="S142" s="115"/>
    </row>
    <row r="143" spans="3:19">
      <c r="C143" s="114"/>
      <c r="D143" s="114"/>
      <c r="E143" s="114"/>
      <c r="F143" s="114"/>
      <c r="G143" s="114"/>
      <c r="H143" s="114"/>
      <c r="I143" s="114"/>
      <c r="R143" s="115"/>
      <c r="S143" s="115"/>
    </row>
    <row r="144" spans="3:19">
      <c r="C144" s="114"/>
      <c r="D144" s="114"/>
      <c r="E144" s="114"/>
      <c r="F144" s="114"/>
      <c r="G144" s="114"/>
      <c r="H144" s="114"/>
      <c r="I144" s="114"/>
      <c r="R144" s="115"/>
      <c r="S144" s="115"/>
    </row>
    <row r="145" spans="3:19">
      <c r="C145" s="114"/>
      <c r="D145" s="114"/>
      <c r="E145" s="114"/>
      <c r="F145" s="114"/>
      <c r="G145" s="114"/>
      <c r="H145" s="114"/>
      <c r="I145" s="114"/>
      <c r="R145" s="115"/>
      <c r="S145" s="115"/>
    </row>
    <row r="146" spans="3:19">
      <c r="C146" s="114"/>
      <c r="D146" s="114"/>
      <c r="E146" s="114"/>
      <c r="F146" s="114"/>
      <c r="G146" s="114"/>
      <c r="H146" s="114"/>
      <c r="I146" s="114"/>
      <c r="R146" s="115"/>
      <c r="S146" s="115"/>
    </row>
    <row r="147" spans="3:19">
      <c r="C147" s="114"/>
      <c r="D147" s="114"/>
      <c r="E147" s="114"/>
      <c r="F147" s="114"/>
      <c r="G147" s="114"/>
      <c r="H147" s="114"/>
      <c r="I147" s="114"/>
      <c r="R147" s="115"/>
      <c r="S147" s="115"/>
    </row>
    <row r="148" spans="3:19">
      <c r="C148" s="114"/>
      <c r="D148" s="114"/>
      <c r="E148" s="114"/>
      <c r="F148" s="114"/>
      <c r="G148" s="114"/>
      <c r="H148" s="114"/>
      <c r="I148" s="114"/>
      <c r="R148" s="115"/>
      <c r="S148" s="115"/>
    </row>
    <row r="149" spans="3:19">
      <c r="C149" s="114"/>
      <c r="D149" s="114"/>
      <c r="E149" s="114"/>
      <c r="F149" s="114"/>
      <c r="G149" s="114"/>
      <c r="H149" s="114"/>
      <c r="I149" s="114"/>
      <c r="R149" s="115"/>
      <c r="S149" s="115"/>
    </row>
    <row r="150" spans="3:19">
      <c r="C150" s="114"/>
      <c r="D150" s="114"/>
      <c r="E150" s="114"/>
      <c r="F150" s="114"/>
      <c r="G150" s="114"/>
      <c r="H150" s="114"/>
      <c r="I150" s="114"/>
      <c r="R150" s="115"/>
      <c r="S150" s="115"/>
    </row>
    <row r="151" spans="3:19">
      <c r="C151" s="114"/>
      <c r="D151" s="114"/>
      <c r="E151" s="114"/>
      <c r="F151" s="114"/>
      <c r="G151" s="114"/>
      <c r="H151" s="114"/>
      <c r="I151" s="114"/>
      <c r="R151" s="115"/>
      <c r="S151" s="115"/>
    </row>
    <row r="152" spans="3:19">
      <c r="C152" s="114"/>
      <c r="D152" s="114"/>
      <c r="E152" s="114"/>
      <c r="F152" s="114"/>
      <c r="G152" s="114"/>
      <c r="H152" s="114"/>
      <c r="I152" s="114"/>
      <c r="R152" s="115"/>
      <c r="S152" s="115"/>
    </row>
    <row r="153" spans="3:19">
      <c r="C153" s="114"/>
      <c r="D153" s="114"/>
      <c r="E153" s="114"/>
      <c r="F153" s="114"/>
      <c r="G153" s="114"/>
      <c r="H153" s="114"/>
      <c r="I153" s="114"/>
      <c r="R153" s="115"/>
      <c r="S153" s="115"/>
    </row>
    <row r="154" spans="3:19">
      <c r="C154" s="114"/>
      <c r="D154" s="114"/>
      <c r="E154" s="114"/>
      <c r="F154" s="114"/>
      <c r="G154" s="114"/>
      <c r="H154" s="114"/>
      <c r="I154" s="114"/>
      <c r="R154" s="115"/>
      <c r="S154" s="115"/>
    </row>
    <row r="155" spans="3:19">
      <c r="C155" s="114"/>
      <c r="D155" s="114"/>
      <c r="E155" s="114"/>
      <c r="F155" s="114"/>
      <c r="G155" s="114"/>
      <c r="H155" s="114"/>
      <c r="I155" s="114"/>
      <c r="R155" s="115"/>
      <c r="S155" s="115"/>
    </row>
    <row r="156" spans="3:19">
      <c r="C156" s="114"/>
      <c r="D156" s="114"/>
      <c r="E156" s="114"/>
      <c r="F156" s="114"/>
      <c r="G156" s="114"/>
      <c r="H156" s="114"/>
      <c r="I156" s="114"/>
      <c r="R156" s="115"/>
      <c r="S156" s="115"/>
    </row>
    <row r="157" spans="3:19">
      <c r="C157" s="114"/>
      <c r="D157" s="114"/>
      <c r="E157" s="114"/>
      <c r="F157" s="114"/>
      <c r="G157" s="114"/>
      <c r="H157" s="114"/>
      <c r="I157" s="114"/>
      <c r="R157" s="115"/>
      <c r="S157" s="115"/>
    </row>
    <row r="158" spans="3:19">
      <c r="C158" s="114"/>
      <c r="D158" s="114"/>
      <c r="E158" s="114"/>
      <c r="F158" s="114"/>
      <c r="G158" s="114"/>
      <c r="H158" s="114"/>
      <c r="I158" s="114"/>
      <c r="R158" s="115"/>
      <c r="S158" s="115"/>
    </row>
    <row r="159" spans="3:19">
      <c r="C159" s="114"/>
      <c r="D159" s="114"/>
      <c r="E159" s="114"/>
      <c r="F159" s="114"/>
      <c r="G159" s="114"/>
      <c r="H159" s="114"/>
      <c r="I159" s="114"/>
      <c r="R159" s="115"/>
      <c r="S159" s="115"/>
    </row>
    <row r="160" spans="3:19">
      <c r="C160" s="114"/>
      <c r="D160" s="114"/>
      <c r="E160" s="114"/>
      <c r="F160" s="114"/>
      <c r="G160" s="114"/>
      <c r="H160" s="114"/>
      <c r="I160" s="114"/>
      <c r="R160" s="115"/>
      <c r="S160" s="115"/>
    </row>
    <row r="161" spans="3:19">
      <c r="C161" s="114"/>
      <c r="D161" s="114"/>
      <c r="E161" s="114"/>
      <c r="F161" s="114"/>
      <c r="G161" s="114"/>
      <c r="H161" s="114"/>
      <c r="I161" s="114"/>
      <c r="R161" s="115"/>
      <c r="S161" s="115"/>
    </row>
    <row r="162" spans="3:19">
      <c r="C162" s="114"/>
      <c r="D162" s="114"/>
      <c r="E162" s="114"/>
      <c r="F162" s="114"/>
      <c r="G162" s="114"/>
      <c r="H162" s="114"/>
      <c r="I162" s="114"/>
      <c r="R162" s="115"/>
      <c r="S162" s="115"/>
    </row>
    <row r="163" spans="3:19">
      <c r="C163" s="114"/>
      <c r="D163" s="114"/>
      <c r="E163" s="114"/>
      <c r="F163" s="114"/>
      <c r="G163" s="114"/>
      <c r="H163" s="114"/>
      <c r="I163" s="114"/>
      <c r="R163" s="115"/>
      <c r="S163" s="115"/>
    </row>
    <row r="164" spans="3:19">
      <c r="C164" s="114"/>
      <c r="D164" s="114"/>
      <c r="E164" s="114"/>
      <c r="F164" s="114"/>
      <c r="G164" s="114"/>
      <c r="H164" s="114"/>
      <c r="I164" s="114"/>
      <c r="R164" s="115"/>
      <c r="S164" s="115"/>
    </row>
    <row r="165" spans="3:19">
      <c r="C165" s="114"/>
      <c r="D165" s="114"/>
      <c r="E165" s="114"/>
      <c r="F165" s="114"/>
      <c r="G165" s="114"/>
      <c r="H165" s="114"/>
      <c r="I165" s="114"/>
      <c r="R165" s="115"/>
      <c r="S165" s="115"/>
    </row>
    <row r="166" spans="3:19">
      <c r="C166" s="114"/>
      <c r="D166" s="114"/>
      <c r="E166" s="114"/>
      <c r="F166" s="114"/>
      <c r="G166" s="114"/>
      <c r="H166" s="114"/>
      <c r="I166" s="114"/>
      <c r="R166" s="115"/>
      <c r="S166" s="115"/>
    </row>
    <row r="167" spans="3:19">
      <c r="C167" s="114"/>
      <c r="D167" s="114"/>
      <c r="E167" s="114"/>
      <c r="F167" s="114"/>
      <c r="G167" s="114"/>
      <c r="H167" s="114"/>
      <c r="I167" s="114"/>
      <c r="R167" s="115"/>
      <c r="S167" s="115"/>
    </row>
    <row r="168" spans="3:19">
      <c r="C168" s="114"/>
      <c r="D168" s="114"/>
      <c r="E168" s="114"/>
      <c r="F168" s="114"/>
      <c r="G168" s="114"/>
      <c r="H168" s="114"/>
      <c r="I168" s="114"/>
      <c r="R168" s="115"/>
      <c r="S168" s="115"/>
    </row>
    <row r="169" spans="3:19">
      <c r="C169" s="114"/>
      <c r="D169" s="114"/>
      <c r="E169" s="114"/>
      <c r="F169" s="114"/>
      <c r="G169" s="114"/>
      <c r="H169" s="114"/>
      <c r="I169" s="114"/>
      <c r="R169" s="115"/>
      <c r="S169" s="115"/>
    </row>
    <row r="170" spans="3:19">
      <c r="C170" s="114"/>
      <c r="D170" s="114"/>
      <c r="E170" s="114"/>
      <c r="F170" s="114"/>
      <c r="G170" s="114"/>
      <c r="H170" s="114"/>
      <c r="I170" s="114"/>
      <c r="R170" s="115"/>
      <c r="S170" s="115"/>
    </row>
    <row r="171" spans="3:19">
      <c r="C171" s="114"/>
      <c r="D171" s="114"/>
      <c r="E171" s="114"/>
      <c r="F171" s="114"/>
      <c r="G171" s="114"/>
      <c r="H171" s="114"/>
      <c r="I171" s="114"/>
      <c r="R171" s="115"/>
      <c r="S171" s="115"/>
    </row>
    <row r="172" spans="3:19">
      <c r="C172" s="114"/>
      <c r="D172" s="114"/>
      <c r="E172" s="114"/>
      <c r="F172" s="114"/>
      <c r="G172" s="114"/>
      <c r="H172" s="114"/>
      <c r="I172" s="114"/>
      <c r="R172" s="115"/>
      <c r="S172" s="115"/>
    </row>
    <row r="173" spans="3:19">
      <c r="C173" s="114"/>
      <c r="D173" s="114"/>
      <c r="E173" s="114"/>
      <c r="F173" s="114"/>
      <c r="G173" s="114"/>
      <c r="H173" s="114"/>
      <c r="I173" s="114"/>
      <c r="R173" s="115"/>
      <c r="S173" s="115"/>
    </row>
    <row r="174" spans="3:19">
      <c r="C174" s="114"/>
      <c r="D174" s="114"/>
      <c r="E174" s="114"/>
      <c r="F174" s="114"/>
      <c r="G174" s="114"/>
      <c r="H174" s="114"/>
      <c r="I174" s="114"/>
      <c r="R174" s="115"/>
      <c r="S174" s="115"/>
    </row>
    <row r="175" spans="3:19">
      <c r="C175" s="114"/>
      <c r="D175" s="114"/>
      <c r="E175" s="114"/>
      <c r="F175" s="114"/>
      <c r="G175" s="114"/>
      <c r="H175" s="114"/>
      <c r="I175" s="114"/>
      <c r="R175" s="115"/>
      <c r="S175" s="115"/>
    </row>
    <row r="176" spans="3:19">
      <c r="C176" s="114"/>
      <c r="D176" s="114"/>
      <c r="E176" s="114"/>
      <c r="F176" s="114"/>
      <c r="G176" s="114"/>
      <c r="H176" s="114"/>
      <c r="I176" s="114"/>
      <c r="R176" s="115"/>
      <c r="S176" s="115"/>
    </row>
    <row r="177" spans="3:19">
      <c r="C177" s="114"/>
      <c r="D177" s="114"/>
      <c r="E177" s="114"/>
      <c r="F177" s="114"/>
      <c r="G177" s="114"/>
      <c r="H177" s="114"/>
      <c r="I177" s="114"/>
      <c r="R177" s="115"/>
      <c r="S177" s="115"/>
    </row>
    <row r="178" spans="3:19">
      <c r="C178" s="114"/>
      <c r="D178" s="114"/>
      <c r="E178" s="114"/>
      <c r="F178" s="114"/>
      <c r="G178" s="114"/>
      <c r="H178" s="114"/>
      <c r="I178" s="114"/>
      <c r="R178" s="115"/>
      <c r="S178" s="115"/>
    </row>
    <row r="179" spans="3:19">
      <c r="C179" s="114"/>
      <c r="D179" s="114"/>
      <c r="E179" s="114"/>
      <c r="F179" s="114"/>
      <c r="G179" s="114"/>
      <c r="H179" s="114"/>
      <c r="I179" s="114"/>
      <c r="R179" s="115"/>
      <c r="S179" s="115"/>
    </row>
    <row r="180" spans="3:19">
      <c r="C180" s="114"/>
      <c r="D180" s="114"/>
      <c r="E180" s="114"/>
      <c r="F180" s="114"/>
      <c r="G180" s="114"/>
      <c r="H180" s="114"/>
      <c r="I180" s="114"/>
      <c r="R180" s="115"/>
      <c r="S180" s="115"/>
    </row>
    <row r="181" spans="3:19">
      <c r="C181" s="114"/>
      <c r="D181" s="114"/>
      <c r="E181" s="114"/>
      <c r="F181" s="114"/>
      <c r="G181" s="114"/>
      <c r="H181" s="114"/>
      <c r="I181" s="114"/>
      <c r="R181" s="115"/>
      <c r="S181" s="115"/>
    </row>
    <row r="182" spans="3:19">
      <c r="C182" s="114"/>
      <c r="D182" s="114"/>
      <c r="E182" s="114"/>
      <c r="F182" s="114"/>
      <c r="G182" s="114"/>
      <c r="H182" s="114"/>
      <c r="I182" s="114"/>
      <c r="R182" s="115"/>
      <c r="S182" s="115"/>
    </row>
    <row r="183" spans="3:19">
      <c r="C183" s="114"/>
      <c r="D183" s="114"/>
      <c r="E183" s="114"/>
      <c r="F183" s="114"/>
      <c r="G183" s="114"/>
      <c r="H183" s="114"/>
      <c r="I183" s="114"/>
      <c r="R183" s="115"/>
      <c r="S183" s="115"/>
    </row>
    <row r="184" spans="3:19">
      <c r="C184" s="114"/>
      <c r="D184" s="114"/>
      <c r="E184" s="114"/>
      <c r="F184" s="114"/>
      <c r="G184" s="114"/>
      <c r="H184" s="114"/>
      <c r="I184" s="114"/>
      <c r="R184" s="115"/>
      <c r="S184" s="115"/>
    </row>
    <row r="185" spans="3:19">
      <c r="C185" s="114"/>
      <c r="D185" s="114"/>
      <c r="E185" s="114"/>
      <c r="F185" s="114"/>
      <c r="G185" s="114"/>
      <c r="H185" s="114"/>
      <c r="I185" s="114"/>
      <c r="R185" s="115"/>
      <c r="S185" s="115"/>
    </row>
    <row r="186" spans="3:19">
      <c r="C186" s="114"/>
      <c r="D186" s="114"/>
      <c r="E186" s="114"/>
      <c r="F186" s="114"/>
      <c r="G186" s="114"/>
      <c r="H186" s="114"/>
      <c r="I186" s="114"/>
      <c r="R186" s="115"/>
      <c r="S186" s="115"/>
    </row>
    <row r="187" spans="3:19">
      <c r="C187" s="114"/>
      <c r="D187" s="114"/>
      <c r="E187" s="114"/>
      <c r="F187" s="114"/>
      <c r="G187" s="114"/>
      <c r="H187" s="114"/>
      <c r="I187" s="114"/>
      <c r="R187" s="115"/>
      <c r="S187" s="115"/>
    </row>
    <row r="188" spans="3:19">
      <c r="C188" s="114"/>
      <c r="D188" s="114"/>
      <c r="E188" s="114"/>
      <c r="F188" s="114"/>
      <c r="G188" s="114"/>
      <c r="H188" s="114"/>
      <c r="I188" s="114"/>
      <c r="R188" s="115"/>
      <c r="S188" s="115"/>
    </row>
    <row r="189" spans="3:19">
      <c r="C189" s="114"/>
      <c r="D189" s="114"/>
      <c r="E189" s="114"/>
      <c r="F189" s="114"/>
      <c r="G189" s="114"/>
      <c r="H189" s="114"/>
      <c r="I189" s="114"/>
      <c r="R189" s="115"/>
      <c r="S189" s="115"/>
    </row>
    <row r="190" spans="3:19">
      <c r="C190" s="114"/>
      <c r="D190" s="114"/>
      <c r="E190" s="114"/>
      <c r="F190" s="114"/>
      <c r="G190" s="114"/>
      <c r="H190" s="114"/>
      <c r="I190" s="114"/>
      <c r="R190" s="115"/>
      <c r="S190" s="115"/>
    </row>
    <row r="191" spans="3:19">
      <c r="C191" s="114"/>
      <c r="D191" s="114"/>
      <c r="E191" s="114"/>
      <c r="F191" s="114"/>
      <c r="G191" s="114"/>
      <c r="H191" s="114"/>
      <c r="I191" s="114"/>
      <c r="R191" s="115"/>
      <c r="S191" s="115"/>
    </row>
    <row r="192" spans="3:19">
      <c r="C192" s="114"/>
      <c r="D192" s="114"/>
      <c r="E192" s="114"/>
      <c r="F192" s="114"/>
      <c r="G192" s="114"/>
      <c r="H192" s="114"/>
      <c r="I192" s="114"/>
      <c r="R192" s="115"/>
      <c r="S192" s="115"/>
    </row>
    <row r="193" spans="3:19">
      <c r="C193" s="114"/>
      <c r="D193" s="114"/>
      <c r="E193" s="114"/>
      <c r="F193" s="114"/>
      <c r="G193" s="114"/>
      <c r="H193" s="114"/>
      <c r="I193" s="114"/>
      <c r="R193" s="115"/>
      <c r="S193" s="115"/>
    </row>
    <row r="194" spans="3:19">
      <c r="C194" s="114"/>
      <c r="D194" s="114"/>
      <c r="E194" s="114"/>
      <c r="F194" s="114"/>
      <c r="G194" s="114"/>
      <c r="H194" s="114"/>
      <c r="I194" s="114"/>
      <c r="R194" s="115"/>
      <c r="S194" s="115"/>
    </row>
    <row r="195" spans="3:19">
      <c r="C195" s="114"/>
      <c r="D195" s="114"/>
      <c r="E195" s="114"/>
      <c r="F195" s="114"/>
      <c r="G195" s="114"/>
      <c r="H195" s="114"/>
      <c r="I195" s="114"/>
      <c r="R195" s="115"/>
      <c r="S195" s="115"/>
    </row>
    <row r="196" spans="3:19">
      <c r="C196" s="114"/>
      <c r="D196" s="114"/>
      <c r="E196" s="114"/>
      <c r="F196" s="114"/>
      <c r="G196" s="114"/>
      <c r="H196" s="114"/>
      <c r="I196" s="114"/>
      <c r="R196" s="115"/>
      <c r="S196" s="115"/>
    </row>
    <row r="197" spans="3:19">
      <c r="C197" s="114"/>
      <c r="D197" s="114"/>
      <c r="E197" s="114"/>
      <c r="F197" s="114"/>
      <c r="G197" s="114"/>
      <c r="H197" s="114"/>
      <c r="I197" s="114"/>
      <c r="R197" s="115"/>
      <c r="S197" s="115"/>
    </row>
    <row r="198" spans="3:19">
      <c r="C198" s="114"/>
      <c r="D198" s="114"/>
      <c r="E198" s="114"/>
      <c r="F198" s="114"/>
      <c r="G198" s="114"/>
      <c r="H198" s="114"/>
      <c r="I198" s="114"/>
      <c r="R198" s="115"/>
      <c r="S198" s="115"/>
    </row>
    <row r="199" spans="3:19">
      <c r="C199" s="114"/>
      <c r="D199" s="114"/>
      <c r="E199" s="114"/>
      <c r="F199" s="114"/>
      <c r="G199" s="114"/>
      <c r="H199" s="114"/>
      <c r="I199" s="114"/>
      <c r="R199" s="115"/>
      <c r="S199" s="115"/>
    </row>
    <row r="200" spans="3:19">
      <c r="C200" s="114"/>
      <c r="D200" s="114"/>
      <c r="E200" s="114"/>
      <c r="F200" s="114"/>
      <c r="G200" s="114"/>
      <c r="H200" s="114"/>
      <c r="I200" s="114"/>
      <c r="R200" s="115"/>
      <c r="S200" s="115"/>
    </row>
    <row r="201" spans="3:19">
      <c r="C201" s="114"/>
      <c r="D201" s="114"/>
      <c r="E201" s="114"/>
      <c r="F201" s="114"/>
      <c r="G201" s="114"/>
      <c r="H201" s="114"/>
      <c r="I201" s="114"/>
      <c r="R201" s="115"/>
      <c r="S201" s="115"/>
    </row>
    <row r="202" spans="3:19">
      <c r="C202" s="114"/>
      <c r="D202" s="114"/>
      <c r="E202" s="114"/>
      <c r="F202" s="114"/>
      <c r="G202" s="114"/>
      <c r="H202" s="114"/>
      <c r="I202" s="114"/>
      <c r="R202" s="115"/>
      <c r="S202" s="115"/>
    </row>
    <row r="203" spans="3:19">
      <c r="C203" s="114"/>
      <c r="D203" s="114"/>
      <c r="E203" s="114"/>
      <c r="F203" s="114"/>
      <c r="G203" s="114"/>
      <c r="H203" s="114"/>
      <c r="I203" s="114"/>
      <c r="R203" s="115"/>
      <c r="S203" s="115"/>
    </row>
    <row r="204" spans="3:19">
      <c r="C204" s="114"/>
      <c r="D204" s="114"/>
      <c r="E204" s="114"/>
      <c r="F204" s="114"/>
      <c r="G204" s="114"/>
      <c r="H204" s="114"/>
      <c r="I204" s="114"/>
      <c r="R204" s="115"/>
      <c r="S204" s="115"/>
    </row>
    <row r="205" spans="3:19">
      <c r="C205" s="114"/>
      <c r="D205" s="114"/>
      <c r="E205" s="114"/>
      <c r="F205" s="114"/>
      <c r="G205" s="114"/>
      <c r="H205" s="114"/>
      <c r="I205" s="114"/>
      <c r="R205" s="115"/>
      <c r="S205" s="115"/>
    </row>
    <row r="206" spans="3:19">
      <c r="C206" s="114"/>
      <c r="D206" s="114"/>
      <c r="E206" s="114"/>
      <c r="F206" s="114"/>
      <c r="G206" s="114"/>
      <c r="H206" s="114"/>
      <c r="I206" s="114"/>
      <c r="R206" s="115"/>
      <c r="S206" s="115"/>
    </row>
    <row r="207" spans="3:19">
      <c r="C207" s="114"/>
      <c r="D207" s="114"/>
      <c r="E207" s="114"/>
      <c r="F207" s="114"/>
      <c r="G207" s="114"/>
      <c r="H207" s="114"/>
      <c r="I207" s="114"/>
      <c r="R207" s="115"/>
      <c r="S207" s="115"/>
    </row>
    <row r="208" spans="3:19">
      <c r="C208" s="114"/>
      <c r="D208" s="114"/>
      <c r="E208" s="114"/>
      <c r="F208" s="114"/>
      <c r="G208" s="114"/>
      <c r="H208" s="114"/>
      <c r="I208" s="114"/>
      <c r="R208" s="115"/>
      <c r="S208" s="115"/>
    </row>
    <row r="209" spans="3:19">
      <c r="C209" s="114"/>
      <c r="D209" s="114"/>
      <c r="E209" s="114"/>
      <c r="F209" s="114"/>
      <c r="G209" s="114"/>
      <c r="H209" s="114"/>
      <c r="I209" s="114"/>
      <c r="R209" s="115"/>
      <c r="S209" s="115"/>
    </row>
    <row r="210" spans="3:19">
      <c r="C210" s="114"/>
      <c r="D210" s="114"/>
      <c r="E210" s="114"/>
      <c r="F210" s="114"/>
      <c r="G210" s="114"/>
      <c r="H210" s="114"/>
      <c r="I210" s="114"/>
      <c r="R210" s="115"/>
      <c r="S210" s="115"/>
    </row>
    <row r="211" spans="3:19">
      <c r="C211" s="114"/>
      <c r="D211" s="114"/>
      <c r="E211" s="114"/>
      <c r="F211" s="114"/>
      <c r="G211" s="114"/>
      <c r="H211" s="114"/>
      <c r="I211" s="114"/>
      <c r="R211" s="115"/>
      <c r="S211" s="115"/>
    </row>
    <row r="212" spans="3:19">
      <c r="C212" s="114"/>
      <c r="D212" s="114"/>
      <c r="E212" s="114"/>
      <c r="F212" s="114"/>
      <c r="G212" s="114"/>
      <c r="H212" s="114"/>
      <c r="I212" s="114"/>
      <c r="R212" s="115"/>
      <c r="S212" s="115"/>
    </row>
    <row r="213" spans="3:19">
      <c r="C213" s="114"/>
      <c r="D213" s="114"/>
      <c r="E213" s="114"/>
      <c r="F213" s="114"/>
      <c r="G213" s="114"/>
      <c r="H213" s="114"/>
      <c r="I213" s="114"/>
      <c r="R213" s="115"/>
      <c r="S213" s="115"/>
    </row>
    <row r="214" spans="3:19">
      <c r="C214" s="114"/>
      <c r="D214" s="114"/>
      <c r="E214" s="114"/>
      <c r="F214" s="114"/>
      <c r="G214" s="114"/>
      <c r="H214" s="114"/>
      <c r="I214" s="114"/>
      <c r="R214" s="115"/>
      <c r="S214" s="115"/>
    </row>
    <row r="215" spans="3:19">
      <c r="C215" s="114"/>
      <c r="D215" s="114"/>
      <c r="E215" s="114"/>
      <c r="F215" s="114"/>
      <c r="G215" s="114"/>
      <c r="H215" s="114"/>
      <c r="I215" s="114"/>
      <c r="R215" s="115"/>
      <c r="S215" s="115"/>
    </row>
    <row r="216" spans="3:19">
      <c r="C216" s="114"/>
      <c r="D216" s="114"/>
      <c r="E216" s="114"/>
      <c r="F216" s="114"/>
      <c r="G216" s="114"/>
      <c r="H216" s="114"/>
      <c r="I216" s="114"/>
      <c r="R216" s="115"/>
      <c r="S216" s="115"/>
    </row>
    <row r="217" spans="3:19">
      <c r="C217" s="114"/>
      <c r="D217" s="114"/>
      <c r="E217" s="114"/>
      <c r="F217" s="114"/>
      <c r="G217" s="114"/>
      <c r="H217" s="114"/>
      <c r="I217" s="114"/>
      <c r="R217" s="115"/>
      <c r="S217" s="115"/>
    </row>
    <row r="218" spans="3:19">
      <c r="C218" s="114"/>
      <c r="D218" s="114"/>
      <c r="E218" s="114"/>
      <c r="F218" s="114"/>
      <c r="G218" s="114"/>
      <c r="H218" s="114"/>
      <c r="I218" s="114"/>
      <c r="R218" s="115"/>
      <c r="S218" s="115"/>
    </row>
    <row r="219" spans="3:19">
      <c r="C219" s="114"/>
      <c r="D219" s="114"/>
      <c r="E219" s="114"/>
      <c r="F219" s="114"/>
      <c r="G219" s="114"/>
      <c r="H219" s="114"/>
      <c r="I219" s="114"/>
      <c r="R219" s="115"/>
      <c r="S219" s="115"/>
    </row>
    <row r="220" spans="3:19">
      <c r="C220" s="114"/>
      <c r="D220" s="114"/>
      <c r="E220" s="114"/>
      <c r="F220" s="114"/>
      <c r="G220" s="114"/>
      <c r="H220" s="114"/>
      <c r="I220" s="114"/>
      <c r="R220" s="115"/>
      <c r="S220" s="115"/>
    </row>
    <row r="221" spans="3:19">
      <c r="C221" s="114"/>
      <c r="D221" s="114"/>
      <c r="E221" s="114"/>
      <c r="F221" s="114"/>
      <c r="G221" s="114"/>
      <c r="H221" s="114"/>
      <c r="I221" s="114"/>
      <c r="R221" s="115"/>
      <c r="S221" s="115"/>
    </row>
    <row r="222" spans="3:19">
      <c r="C222" s="114"/>
      <c r="D222" s="114"/>
      <c r="E222" s="114"/>
      <c r="F222" s="114"/>
      <c r="G222" s="114"/>
      <c r="H222" s="114"/>
      <c r="I222" s="114"/>
      <c r="R222" s="115"/>
      <c r="S222" s="115"/>
    </row>
    <row r="223" spans="3:19">
      <c r="C223" s="114"/>
      <c r="D223" s="114"/>
      <c r="E223" s="114"/>
      <c r="F223" s="114"/>
      <c r="G223" s="114"/>
      <c r="H223" s="114"/>
      <c r="I223" s="114"/>
      <c r="R223" s="115"/>
      <c r="S223" s="115"/>
    </row>
    <row r="224" spans="3:19">
      <c r="C224" s="114"/>
      <c r="D224" s="114"/>
      <c r="E224" s="114"/>
      <c r="F224" s="114"/>
      <c r="G224" s="114"/>
      <c r="H224" s="114"/>
      <c r="I224" s="114"/>
      <c r="R224" s="115"/>
      <c r="S224" s="115"/>
    </row>
    <row r="225" spans="3:19">
      <c r="C225" s="114"/>
      <c r="D225" s="114"/>
      <c r="E225" s="114"/>
      <c r="F225" s="114"/>
      <c r="G225" s="114"/>
      <c r="H225" s="114"/>
      <c r="I225" s="114"/>
      <c r="R225" s="115"/>
      <c r="S225" s="115"/>
    </row>
    <row r="226" spans="3:19">
      <c r="C226" s="114"/>
      <c r="D226" s="114"/>
      <c r="E226" s="114"/>
      <c r="F226" s="114"/>
      <c r="G226" s="114"/>
      <c r="H226" s="114"/>
      <c r="I226" s="114"/>
      <c r="R226" s="115"/>
      <c r="S226" s="115"/>
    </row>
    <row r="227" spans="3:19">
      <c r="C227" s="114"/>
      <c r="D227" s="114"/>
      <c r="E227" s="114"/>
      <c r="F227" s="114"/>
      <c r="G227" s="114"/>
      <c r="H227" s="114"/>
      <c r="I227" s="114"/>
      <c r="R227" s="115"/>
      <c r="S227" s="115"/>
    </row>
    <row r="228" spans="3:19">
      <c r="C228" s="114"/>
      <c r="D228" s="114"/>
      <c r="E228" s="114"/>
      <c r="F228" s="114"/>
      <c r="G228" s="114"/>
      <c r="H228" s="114"/>
      <c r="I228" s="114"/>
      <c r="R228" s="115"/>
      <c r="S228" s="115"/>
    </row>
    <row r="229" spans="3:19">
      <c r="C229" s="114"/>
      <c r="D229" s="114"/>
      <c r="E229" s="114"/>
      <c r="F229" s="114"/>
      <c r="G229" s="114"/>
      <c r="H229" s="114"/>
      <c r="I229" s="114"/>
      <c r="R229" s="115"/>
      <c r="S229" s="115"/>
    </row>
    <row r="230" spans="3:19">
      <c r="C230" s="114"/>
      <c r="D230" s="114"/>
      <c r="E230" s="114"/>
      <c r="F230" s="114"/>
      <c r="G230" s="114"/>
      <c r="H230" s="114"/>
      <c r="I230" s="114"/>
      <c r="R230" s="115"/>
      <c r="S230" s="115"/>
    </row>
    <row r="231" spans="3:19">
      <c r="C231" s="114"/>
      <c r="D231" s="114"/>
      <c r="E231" s="114"/>
      <c r="F231" s="114"/>
      <c r="G231" s="114"/>
      <c r="H231" s="114"/>
      <c r="I231" s="114"/>
      <c r="R231" s="115"/>
      <c r="S231" s="115"/>
    </row>
    <row r="232" spans="3:19">
      <c r="C232" s="114"/>
      <c r="D232" s="114"/>
      <c r="E232" s="114"/>
      <c r="F232" s="114"/>
      <c r="G232" s="114"/>
      <c r="H232" s="114"/>
      <c r="I232" s="114"/>
      <c r="R232" s="115"/>
      <c r="S232" s="115"/>
    </row>
    <row r="233" spans="3:19">
      <c r="C233" s="114"/>
      <c r="D233" s="114"/>
      <c r="E233" s="114"/>
      <c r="F233" s="114"/>
      <c r="G233" s="114"/>
      <c r="H233" s="114"/>
      <c r="I233" s="114"/>
      <c r="R233" s="115"/>
      <c r="S233" s="115"/>
    </row>
    <row r="234" spans="3:19">
      <c r="C234" s="114"/>
      <c r="D234" s="114"/>
      <c r="E234" s="114"/>
      <c r="F234" s="114"/>
      <c r="G234" s="114"/>
      <c r="H234" s="114"/>
      <c r="I234" s="114"/>
      <c r="R234" s="115"/>
      <c r="S234" s="115"/>
    </row>
    <row r="235" spans="3:19">
      <c r="C235" s="114"/>
      <c r="D235" s="114"/>
      <c r="E235" s="114"/>
      <c r="F235" s="114"/>
      <c r="G235" s="114"/>
      <c r="H235" s="114"/>
      <c r="I235" s="114"/>
      <c r="R235" s="115"/>
      <c r="S235" s="115"/>
    </row>
    <row r="236" spans="3:19">
      <c r="C236" s="114"/>
      <c r="D236" s="114"/>
      <c r="E236" s="114"/>
      <c r="F236" s="114"/>
      <c r="G236" s="114"/>
      <c r="H236" s="114"/>
      <c r="I236" s="114"/>
      <c r="R236" s="115"/>
      <c r="S236" s="115"/>
    </row>
    <row r="237" spans="3:19">
      <c r="C237" s="114"/>
      <c r="D237" s="114"/>
      <c r="E237" s="114"/>
      <c r="F237" s="114"/>
      <c r="G237" s="114"/>
      <c r="H237" s="114"/>
      <c r="I237" s="114"/>
      <c r="R237" s="115"/>
      <c r="S237" s="115"/>
    </row>
    <row r="238" spans="3:19">
      <c r="C238" s="114"/>
      <c r="D238" s="114"/>
      <c r="E238" s="114"/>
      <c r="F238" s="114"/>
      <c r="G238" s="114"/>
      <c r="H238" s="114"/>
      <c r="I238" s="114"/>
      <c r="R238" s="115"/>
      <c r="S238" s="115"/>
    </row>
    <row r="239" spans="3:19">
      <c r="C239" s="114"/>
      <c r="D239" s="114"/>
      <c r="E239" s="114"/>
      <c r="F239" s="114"/>
      <c r="G239" s="114"/>
      <c r="H239" s="114"/>
      <c r="I239" s="114"/>
      <c r="R239" s="115"/>
      <c r="S239" s="115"/>
    </row>
    <row r="240" spans="3:19">
      <c r="C240" s="114"/>
      <c r="D240" s="114"/>
      <c r="E240" s="114"/>
      <c r="F240" s="114"/>
      <c r="G240" s="114"/>
      <c r="H240" s="114"/>
      <c r="I240" s="114"/>
      <c r="R240" s="115"/>
      <c r="S240" s="115"/>
    </row>
    <row r="241" spans="3:19">
      <c r="C241" s="114"/>
      <c r="D241" s="114"/>
      <c r="E241" s="114"/>
      <c r="F241" s="114"/>
      <c r="G241" s="114"/>
      <c r="H241" s="114"/>
      <c r="I241" s="114"/>
      <c r="R241" s="115"/>
      <c r="S241" s="115"/>
    </row>
    <row r="242" spans="3:19">
      <c r="C242" s="114"/>
      <c r="D242" s="114"/>
      <c r="E242" s="114"/>
      <c r="F242" s="114"/>
      <c r="G242" s="114"/>
      <c r="H242" s="114"/>
      <c r="I242" s="114"/>
      <c r="R242" s="115"/>
      <c r="S242" s="115"/>
    </row>
    <row r="243" spans="3:19">
      <c r="C243" s="114"/>
      <c r="D243" s="114"/>
      <c r="E243" s="114"/>
      <c r="F243" s="114"/>
      <c r="G243" s="114"/>
      <c r="H243" s="114"/>
      <c r="I243" s="114"/>
      <c r="R243" s="115"/>
      <c r="S243" s="115"/>
    </row>
    <row r="244" spans="3:19">
      <c r="C244" s="114"/>
      <c r="D244" s="114"/>
      <c r="E244" s="114"/>
      <c r="F244" s="114"/>
      <c r="G244" s="114"/>
      <c r="H244" s="114"/>
      <c r="I244" s="114"/>
      <c r="R244" s="115"/>
      <c r="S244" s="115"/>
    </row>
    <row r="245" spans="3:19">
      <c r="C245" s="114"/>
      <c r="D245" s="114"/>
      <c r="E245" s="114"/>
      <c r="F245" s="114"/>
      <c r="G245" s="114"/>
      <c r="H245" s="114"/>
      <c r="I245" s="114"/>
      <c r="R245" s="115"/>
      <c r="S245" s="115"/>
    </row>
    <row r="246" spans="3:19">
      <c r="C246" s="114"/>
      <c r="D246" s="114"/>
      <c r="E246" s="114"/>
      <c r="F246" s="114"/>
      <c r="G246" s="114"/>
      <c r="H246" s="114"/>
      <c r="I246" s="114"/>
      <c r="R246" s="115"/>
      <c r="S246" s="115"/>
    </row>
    <row r="247" spans="3:19">
      <c r="C247" s="114"/>
      <c r="D247" s="114"/>
      <c r="E247" s="114"/>
      <c r="F247" s="114"/>
      <c r="G247" s="114"/>
      <c r="H247" s="114"/>
      <c r="I247" s="114"/>
      <c r="R247" s="115"/>
      <c r="S247" s="115"/>
    </row>
    <row r="248" spans="3:19">
      <c r="C248" s="114"/>
      <c r="D248" s="114"/>
      <c r="E248" s="114"/>
      <c r="F248" s="114"/>
      <c r="G248" s="114"/>
      <c r="H248" s="114"/>
      <c r="I248" s="114"/>
      <c r="R248" s="115"/>
      <c r="S248" s="115"/>
    </row>
    <row r="249" spans="3:19">
      <c r="C249" s="114"/>
      <c r="D249" s="114"/>
      <c r="E249" s="114"/>
      <c r="F249" s="114"/>
      <c r="G249" s="114"/>
      <c r="H249" s="114"/>
      <c r="I249" s="114"/>
      <c r="R249" s="115"/>
      <c r="S249" s="115"/>
    </row>
    <row r="250" spans="3:19">
      <c r="C250" s="114"/>
      <c r="D250" s="114"/>
      <c r="E250" s="114"/>
      <c r="F250" s="114"/>
      <c r="G250" s="114"/>
      <c r="H250" s="114"/>
      <c r="I250" s="114"/>
      <c r="R250" s="115"/>
      <c r="S250" s="115"/>
    </row>
    <row r="251" spans="3:19">
      <c r="C251" s="114"/>
      <c r="D251" s="114"/>
      <c r="E251" s="114"/>
      <c r="F251" s="114"/>
      <c r="G251" s="114"/>
      <c r="H251" s="114"/>
      <c r="I251" s="114"/>
      <c r="R251" s="115"/>
      <c r="S251" s="115"/>
    </row>
    <row r="252" spans="3:19">
      <c r="C252" s="114"/>
      <c r="D252" s="114"/>
      <c r="E252" s="114"/>
      <c r="F252" s="114"/>
      <c r="G252" s="114"/>
      <c r="H252" s="114"/>
      <c r="I252" s="114"/>
      <c r="R252" s="115"/>
      <c r="S252" s="115"/>
    </row>
    <row r="253" spans="3:19">
      <c r="C253" s="114"/>
      <c r="D253" s="114"/>
      <c r="E253" s="114"/>
      <c r="F253" s="114"/>
      <c r="G253" s="114"/>
      <c r="H253" s="114"/>
      <c r="I253" s="114"/>
      <c r="R253" s="115"/>
      <c r="S253" s="115"/>
    </row>
    <row r="254" spans="3:19">
      <c r="C254" s="114"/>
      <c r="D254" s="114"/>
      <c r="E254" s="114"/>
      <c r="F254" s="114"/>
      <c r="G254" s="114"/>
      <c r="H254" s="114"/>
      <c r="I254" s="114"/>
      <c r="R254" s="115"/>
      <c r="S254" s="115"/>
    </row>
    <row r="255" spans="3:19">
      <c r="C255" s="114"/>
      <c r="D255" s="114"/>
      <c r="E255" s="114"/>
      <c r="F255" s="114"/>
      <c r="G255" s="114"/>
      <c r="H255" s="114"/>
      <c r="I255" s="114"/>
      <c r="R255" s="115"/>
      <c r="S255" s="115"/>
    </row>
    <row r="256" spans="3:19">
      <c r="C256" s="114"/>
      <c r="D256" s="114"/>
      <c r="E256" s="114"/>
      <c r="F256" s="114"/>
      <c r="G256" s="114"/>
      <c r="H256" s="114"/>
      <c r="I256" s="114"/>
      <c r="R256" s="115"/>
      <c r="S256" s="115"/>
    </row>
    <row r="257" spans="3:19">
      <c r="C257" s="114"/>
      <c r="D257" s="114"/>
      <c r="E257" s="114"/>
      <c r="F257" s="114"/>
      <c r="G257" s="114"/>
      <c r="H257" s="114"/>
      <c r="I257" s="114"/>
      <c r="R257" s="115"/>
      <c r="S257" s="115"/>
    </row>
    <row r="258" spans="3:19">
      <c r="C258" s="114"/>
      <c r="D258" s="114"/>
      <c r="E258" s="114"/>
      <c r="F258" s="114"/>
      <c r="G258" s="114"/>
      <c r="H258" s="114"/>
      <c r="I258" s="114"/>
      <c r="R258" s="115"/>
      <c r="S258" s="115"/>
    </row>
    <row r="259" spans="3:19">
      <c r="C259" s="114"/>
      <c r="D259" s="114"/>
      <c r="E259" s="114"/>
      <c r="F259" s="114"/>
      <c r="G259" s="114"/>
      <c r="H259" s="114"/>
      <c r="I259" s="114"/>
      <c r="R259" s="115"/>
      <c r="S259" s="115"/>
    </row>
    <row r="260" spans="3:19">
      <c r="C260" s="114"/>
      <c r="D260" s="114"/>
      <c r="E260" s="114"/>
      <c r="F260" s="114"/>
      <c r="G260" s="114"/>
      <c r="H260" s="114"/>
      <c r="I260" s="114"/>
      <c r="R260" s="115"/>
      <c r="S260" s="115"/>
    </row>
    <row r="261" spans="3:19">
      <c r="C261" s="114"/>
      <c r="D261" s="114"/>
      <c r="E261" s="114"/>
      <c r="F261" s="114"/>
      <c r="G261" s="114"/>
      <c r="H261" s="114"/>
      <c r="I261" s="114"/>
      <c r="R261" s="115"/>
      <c r="S261" s="115"/>
    </row>
    <row r="262" spans="3:19">
      <c r="C262" s="114"/>
      <c r="D262" s="114"/>
      <c r="E262" s="114"/>
      <c r="F262" s="114"/>
      <c r="G262" s="114"/>
      <c r="H262" s="114"/>
      <c r="I262" s="114"/>
      <c r="R262" s="115"/>
      <c r="S262" s="115"/>
    </row>
    <row r="263" spans="3:19">
      <c r="C263" s="114"/>
      <c r="D263" s="114"/>
      <c r="E263" s="114"/>
      <c r="F263" s="114"/>
      <c r="G263" s="114"/>
      <c r="H263" s="114"/>
      <c r="I263" s="114"/>
      <c r="R263" s="115"/>
      <c r="S263" s="115"/>
    </row>
    <row r="264" spans="3:19">
      <c r="C264" s="114"/>
      <c r="D264" s="114"/>
      <c r="E264" s="114"/>
      <c r="F264" s="114"/>
      <c r="G264" s="114"/>
      <c r="H264" s="114"/>
      <c r="I264" s="114"/>
      <c r="R264" s="115"/>
      <c r="S264" s="115"/>
    </row>
    <row r="265" spans="3:19">
      <c r="C265" s="114"/>
      <c r="D265" s="114"/>
      <c r="E265" s="114"/>
      <c r="F265" s="114"/>
      <c r="G265" s="114"/>
      <c r="H265" s="114"/>
      <c r="I265" s="114"/>
      <c r="R265" s="115"/>
      <c r="S265" s="115"/>
    </row>
    <row r="266" spans="3:19">
      <c r="C266" s="114"/>
      <c r="D266" s="114"/>
      <c r="E266" s="114"/>
      <c r="F266" s="114"/>
      <c r="G266" s="114"/>
      <c r="H266" s="114"/>
      <c r="I266" s="114"/>
      <c r="R266" s="115"/>
      <c r="S266" s="115"/>
    </row>
    <row r="267" spans="3:19">
      <c r="C267" s="114"/>
      <c r="D267" s="114"/>
      <c r="E267" s="114"/>
      <c r="F267" s="114"/>
      <c r="G267" s="114"/>
      <c r="H267" s="114"/>
      <c r="I267" s="114"/>
      <c r="R267" s="115"/>
      <c r="S267" s="115"/>
    </row>
    <row r="268" spans="3:19">
      <c r="C268" s="114"/>
      <c r="D268" s="114"/>
      <c r="E268" s="114"/>
      <c r="F268" s="114"/>
      <c r="G268" s="114"/>
      <c r="H268" s="114"/>
      <c r="I268" s="114"/>
      <c r="R268" s="115"/>
      <c r="S268" s="115"/>
    </row>
    <row r="269" spans="3:19">
      <c r="C269" s="114"/>
      <c r="D269" s="114"/>
      <c r="E269" s="114"/>
      <c r="F269" s="114"/>
      <c r="G269" s="114"/>
      <c r="H269" s="114"/>
      <c r="I269" s="114"/>
      <c r="R269" s="115"/>
      <c r="S269" s="115"/>
    </row>
    <row r="270" spans="3:19">
      <c r="C270" s="114"/>
      <c r="D270" s="114"/>
      <c r="E270" s="114"/>
      <c r="F270" s="114"/>
      <c r="G270" s="114"/>
      <c r="H270" s="114"/>
      <c r="I270" s="114"/>
      <c r="R270" s="115"/>
      <c r="S270" s="115"/>
    </row>
    <row r="271" spans="3:19">
      <c r="C271" s="114"/>
      <c r="D271" s="114"/>
      <c r="E271" s="114"/>
      <c r="F271" s="114"/>
      <c r="G271" s="114"/>
      <c r="H271" s="114"/>
      <c r="I271" s="114"/>
      <c r="R271" s="115"/>
      <c r="S271" s="115"/>
    </row>
    <row r="272" spans="3:19">
      <c r="C272" s="114"/>
      <c r="D272" s="114"/>
      <c r="E272" s="114"/>
      <c r="F272" s="114"/>
      <c r="G272" s="114"/>
      <c r="H272" s="114"/>
      <c r="I272" s="114"/>
      <c r="R272" s="115"/>
      <c r="S272" s="115"/>
    </row>
    <row r="273" spans="3:19">
      <c r="C273" s="114"/>
      <c r="D273" s="114"/>
      <c r="E273" s="114"/>
      <c r="F273" s="114"/>
      <c r="G273" s="114"/>
      <c r="H273" s="114"/>
      <c r="I273" s="114"/>
      <c r="R273" s="115"/>
      <c r="S273" s="115"/>
    </row>
    <row r="274" spans="3:19">
      <c r="C274" s="114"/>
      <c r="D274" s="114"/>
      <c r="E274" s="114"/>
      <c r="F274" s="114"/>
      <c r="G274" s="114"/>
      <c r="H274" s="114"/>
      <c r="I274" s="114"/>
      <c r="R274" s="115"/>
      <c r="S274" s="115"/>
    </row>
    <row r="275" spans="3:19">
      <c r="C275" s="114"/>
      <c r="D275" s="114"/>
      <c r="E275" s="114"/>
      <c r="F275" s="114"/>
      <c r="G275" s="114"/>
      <c r="H275" s="114"/>
      <c r="I275" s="114"/>
      <c r="R275" s="115"/>
      <c r="S275" s="115"/>
    </row>
    <row r="276" spans="3:19">
      <c r="C276" s="114"/>
      <c r="D276" s="114"/>
      <c r="E276" s="114"/>
      <c r="F276" s="114"/>
      <c r="G276" s="114"/>
      <c r="H276" s="114"/>
      <c r="I276" s="114"/>
      <c r="R276" s="115"/>
      <c r="S276" s="115"/>
    </row>
    <row r="277" spans="3:19">
      <c r="C277" s="114"/>
      <c r="D277" s="114"/>
      <c r="E277" s="114"/>
      <c r="F277" s="114"/>
      <c r="G277" s="114"/>
      <c r="H277" s="114"/>
      <c r="I277" s="114"/>
      <c r="R277" s="115"/>
      <c r="S277" s="115"/>
    </row>
    <row r="278" spans="3:19">
      <c r="C278" s="114"/>
      <c r="D278" s="114"/>
      <c r="E278" s="114"/>
      <c r="F278" s="114"/>
      <c r="G278" s="114"/>
      <c r="H278" s="114"/>
      <c r="I278" s="114"/>
      <c r="R278" s="115"/>
      <c r="S278" s="115"/>
    </row>
    <row r="279" spans="3:19">
      <c r="C279" s="114"/>
      <c r="D279" s="114"/>
      <c r="E279" s="114"/>
      <c r="F279" s="114"/>
      <c r="G279" s="114"/>
      <c r="H279" s="114"/>
      <c r="I279" s="114"/>
      <c r="R279" s="115"/>
      <c r="S279" s="115"/>
    </row>
    <row r="280" spans="3:19">
      <c r="C280" s="114"/>
      <c r="D280" s="114"/>
      <c r="E280" s="114"/>
      <c r="F280" s="114"/>
      <c r="G280" s="114"/>
      <c r="H280" s="114"/>
      <c r="I280" s="114"/>
      <c r="R280" s="115"/>
      <c r="S280" s="115"/>
    </row>
    <row r="281" spans="3:19">
      <c r="C281" s="114"/>
      <c r="D281" s="114"/>
      <c r="E281" s="114"/>
      <c r="F281" s="114"/>
      <c r="G281" s="114"/>
      <c r="H281" s="114"/>
      <c r="I281" s="114"/>
      <c r="R281" s="115"/>
      <c r="S281" s="115"/>
    </row>
    <row r="282" spans="3:19">
      <c r="C282" s="114"/>
      <c r="D282" s="114"/>
      <c r="E282" s="114"/>
      <c r="F282" s="114"/>
      <c r="G282" s="114"/>
      <c r="H282" s="114"/>
      <c r="I282" s="114"/>
      <c r="R282" s="115"/>
      <c r="S282" s="115"/>
    </row>
    <row r="283" spans="3:19">
      <c r="C283" s="114"/>
      <c r="D283" s="114"/>
      <c r="E283" s="114"/>
      <c r="F283" s="114"/>
      <c r="G283" s="114"/>
      <c r="H283" s="114"/>
      <c r="I283" s="114"/>
      <c r="R283" s="115"/>
      <c r="S283" s="115"/>
    </row>
    <row r="284" spans="3:19">
      <c r="C284" s="114"/>
      <c r="D284" s="114"/>
      <c r="E284" s="114"/>
      <c r="F284" s="114"/>
      <c r="G284" s="114"/>
      <c r="H284" s="114"/>
      <c r="I284" s="114"/>
      <c r="R284" s="115"/>
      <c r="S284" s="115"/>
    </row>
    <row r="285" spans="3:19">
      <c r="C285" s="114"/>
      <c r="D285" s="114"/>
      <c r="E285" s="114"/>
      <c r="F285" s="114"/>
      <c r="G285" s="114"/>
      <c r="H285" s="114"/>
      <c r="I285" s="114"/>
      <c r="R285" s="115"/>
      <c r="S285" s="115"/>
    </row>
    <row r="286" spans="3:19">
      <c r="C286" s="114"/>
      <c r="D286" s="114"/>
      <c r="E286" s="114"/>
      <c r="F286" s="114"/>
      <c r="G286" s="114"/>
      <c r="H286" s="114"/>
      <c r="I286" s="114"/>
      <c r="R286" s="115"/>
      <c r="S286" s="115"/>
    </row>
    <row r="287" spans="3:19">
      <c r="C287" s="114"/>
      <c r="D287" s="114"/>
      <c r="E287" s="114"/>
      <c r="F287" s="114"/>
      <c r="G287" s="114"/>
      <c r="H287" s="114"/>
      <c r="I287" s="114"/>
      <c r="R287" s="115"/>
      <c r="S287" s="115"/>
    </row>
    <row r="288" spans="3:19">
      <c r="C288" s="114"/>
      <c r="D288" s="114"/>
      <c r="E288" s="114"/>
      <c r="F288" s="114"/>
      <c r="G288" s="114"/>
      <c r="H288" s="114"/>
      <c r="I288" s="114"/>
      <c r="R288" s="115"/>
      <c r="S288" s="115"/>
    </row>
    <row r="289" spans="3:19">
      <c r="C289" s="114"/>
      <c r="D289" s="114"/>
      <c r="E289" s="114"/>
      <c r="F289" s="114"/>
      <c r="G289" s="114"/>
      <c r="H289" s="114"/>
      <c r="I289" s="114"/>
      <c r="R289" s="115"/>
      <c r="S289" s="115"/>
    </row>
    <row r="290" spans="3:19">
      <c r="C290" s="114"/>
      <c r="D290" s="114"/>
      <c r="E290" s="114"/>
      <c r="F290" s="114"/>
      <c r="G290" s="114"/>
      <c r="H290" s="114"/>
      <c r="I290" s="114"/>
      <c r="R290" s="115"/>
      <c r="S290" s="115"/>
    </row>
    <row r="291" spans="3:19">
      <c r="C291" s="114"/>
      <c r="D291" s="114"/>
      <c r="E291" s="114"/>
      <c r="F291" s="114"/>
      <c r="G291" s="114"/>
      <c r="H291" s="114"/>
      <c r="I291" s="114"/>
      <c r="R291" s="115"/>
      <c r="S291" s="115"/>
    </row>
    <row r="292" spans="3:19">
      <c r="C292" s="114"/>
      <c r="D292" s="114"/>
      <c r="E292" s="114"/>
      <c r="F292" s="114"/>
      <c r="G292" s="114"/>
      <c r="H292" s="114"/>
      <c r="I292" s="114"/>
      <c r="R292" s="115"/>
      <c r="S292" s="115"/>
    </row>
    <row r="293" spans="3:19">
      <c r="C293" s="114"/>
      <c r="D293" s="114"/>
      <c r="E293" s="114"/>
      <c r="F293" s="114"/>
      <c r="G293" s="114"/>
      <c r="H293" s="114"/>
      <c r="I293" s="114"/>
      <c r="R293" s="115"/>
      <c r="S293" s="115"/>
    </row>
    <row r="294" spans="3:19">
      <c r="C294" s="114"/>
      <c r="D294" s="114"/>
      <c r="E294" s="114"/>
      <c r="F294" s="114"/>
      <c r="G294" s="114"/>
      <c r="H294" s="114"/>
      <c r="I294" s="114"/>
      <c r="R294" s="115"/>
      <c r="S294" s="115"/>
    </row>
    <row r="295" spans="3:19">
      <c r="C295" s="114"/>
      <c r="D295" s="114"/>
      <c r="E295" s="114"/>
      <c r="F295" s="114"/>
      <c r="G295" s="114"/>
      <c r="H295" s="114"/>
      <c r="I295" s="114"/>
      <c r="R295" s="115"/>
      <c r="S295" s="115"/>
    </row>
    <row r="296" spans="3:19">
      <c r="C296" s="114"/>
      <c r="D296" s="114"/>
      <c r="E296" s="114"/>
      <c r="F296" s="114"/>
      <c r="G296" s="114"/>
      <c r="H296" s="114"/>
      <c r="I296" s="114"/>
      <c r="R296" s="115"/>
      <c r="S296" s="115"/>
    </row>
    <row r="297" spans="3:19">
      <c r="C297" s="114"/>
      <c r="D297" s="114"/>
      <c r="E297" s="114"/>
      <c r="F297" s="114"/>
      <c r="G297" s="114"/>
      <c r="H297" s="114"/>
      <c r="I297" s="114"/>
      <c r="R297" s="115"/>
      <c r="S297" s="115"/>
    </row>
    <row r="298" spans="3:19">
      <c r="C298" s="114"/>
      <c r="D298" s="114"/>
      <c r="E298" s="114"/>
      <c r="F298" s="114"/>
      <c r="G298" s="114"/>
      <c r="H298" s="114"/>
      <c r="I298" s="114"/>
      <c r="R298" s="115"/>
      <c r="S298" s="115"/>
    </row>
    <row r="299" spans="3:19">
      <c r="C299" s="114"/>
      <c r="D299" s="114"/>
      <c r="E299" s="114"/>
      <c r="F299" s="114"/>
      <c r="G299" s="114"/>
      <c r="H299" s="114"/>
      <c r="I299" s="114"/>
      <c r="R299" s="115"/>
      <c r="S299" s="115"/>
    </row>
    <row r="300" spans="3:19">
      <c r="C300" s="114"/>
      <c r="D300" s="114"/>
      <c r="E300" s="114"/>
      <c r="F300" s="114"/>
      <c r="G300" s="114"/>
      <c r="H300" s="114"/>
      <c r="I300" s="114"/>
      <c r="R300" s="115"/>
      <c r="S300" s="115"/>
    </row>
    <row r="301" spans="3:19">
      <c r="C301" s="114"/>
      <c r="D301" s="114"/>
      <c r="E301" s="114"/>
      <c r="F301" s="114"/>
      <c r="G301" s="114"/>
      <c r="H301" s="114"/>
      <c r="I301" s="114"/>
      <c r="R301" s="115"/>
      <c r="S301" s="115"/>
    </row>
    <row r="302" spans="3:19">
      <c r="C302" s="114"/>
      <c r="D302" s="114"/>
      <c r="E302" s="114"/>
      <c r="F302" s="114"/>
      <c r="G302" s="114"/>
      <c r="H302" s="114"/>
      <c r="I302" s="114"/>
      <c r="R302" s="115"/>
      <c r="S302" s="115"/>
    </row>
    <row r="303" spans="3:19">
      <c r="C303" s="114"/>
      <c r="D303" s="114"/>
      <c r="E303" s="114"/>
      <c r="F303" s="114"/>
      <c r="G303" s="114"/>
      <c r="H303" s="114"/>
      <c r="I303" s="114"/>
      <c r="R303" s="115"/>
      <c r="S303" s="115"/>
    </row>
    <row r="304" spans="3:19">
      <c r="C304" s="114"/>
      <c r="D304" s="114"/>
      <c r="E304" s="114"/>
      <c r="F304" s="114"/>
      <c r="G304" s="114"/>
      <c r="H304" s="114"/>
      <c r="I304" s="114"/>
      <c r="R304" s="115"/>
      <c r="S304" s="115"/>
    </row>
    <row r="305" spans="3:19">
      <c r="C305" s="114"/>
      <c r="D305" s="114"/>
      <c r="E305" s="114"/>
      <c r="F305" s="114"/>
      <c r="G305" s="114"/>
      <c r="H305" s="114"/>
      <c r="I305" s="114"/>
      <c r="R305" s="115"/>
      <c r="S305" s="115"/>
    </row>
    <row r="306" spans="3:19">
      <c r="C306" s="114"/>
      <c r="D306" s="114"/>
      <c r="E306" s="114"/>
      <c r="F306" s="114"/>
      <c r="G306" s="114"/>
      <c r="H306" s="114"/>
      <c r="I306" s="114"/>
      <c r="R306" s="115"/>
      <c r="S306" s="115"/>
    </row>
    <row r="307" spans="3:19">
      <c r="C307" s="114"/>
      <c r="D307" s="114"/>
      <c r="E307" s="114"/>
      <c r="F307" s="114"/>
      <c r="G307" s="114"/>
      <c r="H307" s="114"/>
      <c r="I307" s="114"/>
      <c r="R307" s="115"/>
      <c r="S307" s="115"/>
    </row>
    <row r="308" spans="3:19">
      <c r="C308" s="114"/>
      <c r="D308" s="114"/>
      <c r="E308" s="114"/>
      <c r="F308" s="114"/>
      <c r="G308" s="114"/>
      <c r="H308" s="114"/>
      <c r="I308" s="114"/>
      <c r="R308" s="115"/>
      <c r="S308" s="115"/>
    </row>
    <row r="309" spans="3:19">
      <c r="C309" s="114"/>
      <c r="D309" s="114"/>
      <c r="E309" s="114"/>
      <c r="F309" s="114"/>
      <c r="G309" s="114"/>
      <c r="H309" s="114"/>
      <c r="I309" s="114"/>
      <c r="R309" s="115"/>
      <c r="S309" s="115"/>
    </row>
    <row r="310" spans="3:19">
      <c r="C310" s="114"/>
      <c r="D310" s="114"/>
      <c r="E310" s="114"/>
      <c r="F310" s="114"/>
      <c r="G310" s="114"/>
      <c r="H310" s="114"/>
      <c r="I310" s="114"/>
      <c r="R310" s="115"/>
      <c r="S310" s="115"/>
    </row>
    <row r="311" spans="3:19">
      <c r="C311" s="114"/>
      <c r="D311" s="114"/>
      <c r="E311" s="114"/>
      <c r="F311" s="114"/>
      <c r="G311" s="114"/>
      <c r="H311" s="114"/>
      <c r="I311" s="114"/>
      <c r="R311" s="115"/>
      <c r="S311" s="115"/>
    </row>
    <row r="312" spans="3:19">
      <c r="C312" s="114"/>
      <c r="D312" s="114"/>
      <c r="E312" s="114"/>
      <c r="F312" s="114"/>
      <c r="G312" s="114"/>
      <c r="H312" s="114"/>
      <c r="I312" s="114"/>
      <c r="R312" s="115"/>
      <c r="S312" s="115"/>
    </row>
    <row r="313" spans="3:19">
      <c r="C313" s="114"/>
      <c r="D313" s="114"/>
      <c r="E313" s="114"/>
      <c r="F313" s="114"/>
      <c r="G313" s="114"/>
      <c r="H313" s="114"/>
      <c r="I313" s="114"/>
      <c r="R313" s="115"/>
      <c r="S313" s="115"/>
    </row>
    <row r="314" spans="3:19">
      <c r="C314" s="114"/>
      <c r="D314" s="114"/>
      <c r="E314" s="114"/>
      <c r="F314" s="114"/>
      <c r="G314" s="114"/>
      <c r="H314" s="114"/>
      <c r="I314" s="114"/>
      <c r="R314" s="115"/>
      <c r="S314" s="115"/>
    </row>
    <row r="315" spans="3:19">
      <c r="C315" s="114"/>
      <c r="D315" s="114"/>
      <c r="E315" s="114"/>
      <c r="F315" s="114"/>
      <c r="G315" s="114"/>
      <c r="H315" s="114"/>
      <c r="I315" s="114"/>
      <c r="R315" s="115"/>
      <c r="S315" s="115"/>
    </row>
    <row r="316" spans="3:19">
      <c r="C316" s="114"/>
      <c r="D316" s="114"/>
      <c r="E316" s="114"/>
      <c r="F316" s="114"/>
      <c r="G316" s="114"/>
      <c r="H316" s="114"/>
      <c r="I316" s="114"/>
      <c r="R316" s="115"/>
      <c r="S316" s="115"/>
    </row>
    <row r="317" spans="3:19">
      <c r="C317" s="114"/>
      <c r="D317" s="114"/>
      <c r="E317" s="114"/>
      <c r="F317" s="114"/>
      <c r="G317" s="114"/>
      <c r="H317" s="114"/>
      <c r="I317" s="114"/>
      <c r="R317" s="115"/>
      <c r="S317" s="115"/>
    </row>
    <row r="318" spans="3:19">
      <c r="C318" s="114"/>
      <c r="D318" s="114"/>
      <c r="E318" s="114"/>
      <c r="F318" s="114"/>
      <c r="G318" s="114"/>
      <c r="H318" s="114"/>
      <c r="I318" s="114"/>
      <c r="R318" s="115"/>
      <c r="S318" s="115"/>
    </row>
    <row r="319" spans="3:19">
      <c r="C319" s="114"/>
      <c r="D319" s="114"/>
      <c r="E319" s="114"/>
      <c r="F319" s="114"/>
      <c r="G319" s="114"/>
      <c r="H319" s="114"/>
      <c r="I319" s="114"/>
      <c r="R319" s="115"/>
      <c r="S319" s="115"/>
    </row>
    <row r="320" spans="3:19">
      <c r="C320" s="114"/>
      <c r="D320" s="114"/>
      <c r="E320" s="114"/>
      <c r="F320" s="114"/>
      <c r="G320" s="114"/>
      <c r="H320" s="114"/>
      <c r="I320" s="114"/>
      <c r="R320" s="115"/>
      <c r="S320" s="115"/>
    </row>
    <row r="321" spans="3:19">
      <c r="C321" s="114"/>
      <c r="D321" s="114"/>
      <c r="E321" s="114"/>
      <c r="F321" s="114"/>
      <c r="G321" s="114"/>
      <c r="H321" s="114"/>
      <c r="I321" s="114"/>
      <c r="R321" s="115"/>
      <c r="S321" s="115"/>
    </row>
    <row r="322" spans="3:19">
      <c r="C322" s="114"/>
      <c r="D322" s="114"/>
      <c r="E322" s="114"/>
      <c r="F322" s="114"/>
      <c r="G322" s="114"/>
      <c r="H322" s="114"/>
      <c r="I322" s="114"/>
      <c r="R322" s="115"/>
      <c r="S322" s="115"/>
    </row>
    <row r="323" spans="3:19">
      <c r="C323" s="114"/>
      <c r="D323" s="114"/>
      <c r="E323" s="114"/>
      <c r="F323" s="114"/>
      <c r="G323" s="114"/>
      <c r="H323" s="114"/>
      <c r="I323" s="114"/>
      <c r="R323" s="115"/>
      <c r="S323" s="115"/>
    </row>
    <row r="324" spans="3:19">
      <c r="C324" s="114"/>
      <c r="D324" s="114"/>
      <c r="E324" s="114"/>
      <c r="F324" s="114"/>
      <c r="G324" s="114"/>
      <c r="H324" s="114"/>
      <c r="I324" s="114"/>
      <c r="R324" s="115"/>
      <c r="S324" s="115"/>
    </row>
    <row r="325" spans="3:19">
      <c r="C325" s="114"/>
      <c r="D325" s="114"/>
      <c r="E325" s="114"/>
      <c r="F325" s="114"/>
      <c r="G325" s="114"/>
      <c r="H325" s="114"/>
      <c r="I325" s="114"/>
      <c r="R325" s="115"/>
      <c r="S325" s="115"/>
    </row>
    <row r="326" spans="3:19">
      <c r="C326" s="114"/>
      <c r="D326" s="114"/>
      <c r="E326" s="114"/>
      <c r="F326" s="114"/>
      <c r="G326" s="114"/>
      <c r="H326" s="114"/>
      <c r="I326" s="114"/>
      <c r="R326" s="115"/>
      <c r="S326" s="115"/>
    </row>
    <row r="327" spans="3:19">
      <c r="C327" s="114"/>
      <c r="D327" s="114"/>
      <c r="E327" s="114"/>
      <c r="F327" s="114"/>
      <c r="G327" s="114"/>
      <c r="H327" s="114"/>
      <c r="I327" s="114"/>
      <c r="R327" s="115"/>
      <c r="S327" s="115"/>
    </row>
    <row r="328" spans="3:19">
      <c r="C328" s="114"/>
      <c r="D328" s="114"/>
      <c r="E328" s="114"/>
      <c r="F328" s="114"/>
      <c r="G328" s="114"/>
      <c r="H328" s="114"/>
      <c r="I328" s="114"/>
      <c r="R328" s="115"/>
      <c r="S328" s="115"/>
    </row>
    <row r="329" spans="3:19">
      <c r="C329" s="114"/>
      <c r="D329" s="114"/>
      <c r="E329" s="114"/>
      <c r="F329" s="114"/>
      <c r="G329" s="114"/>
      <c r="H329" s="114"/>
      <c r="I329" s="114"/>
      <c r="R329" s="115"/>
      <c r="S329" s="115"/>
    </row>
    <row r="330" spans="3:19">
      <c r="C330" s="114"/>
      <c r="D330" s="114"/>
      <c r="E330" s="114"/>
      <c r="F330" s="114"/>
      <c r="G330" s="114"/>
      <c r="H330" s="114"/>
      <c r="I330" s="114"/>
      <c r="R330" s="115"/>
      <c r="S330" s="115"/>
    </row>
    <row r="331" spans="3:19">
      <c r="C331" s="114"/>
      <c r="D331" s="114"/>
      <c r="E331" s="114"/>
      <c r="F331" s="114"/>
      <c r="G331" s="114"/>
      <c r="H331" s="114"/>
      <c r="I331" s="114"/>
      <c r="R331" s="115"/>
      <c r="S331" s="115"/>
    </row>
    <row r="332" spans="3:19">
      <c r="C332" s="114"/>
      <c r="D332" s="114"/>
      <c r="E332" s="114"/>
      <c r="F332" s="114"/>
      <c r="G332" s="114"/>
      <c r="H332" s="114"/>
      <c r="I332" s="114"/>
      <c r="R332" s="115"/>
      <c r="S332" s="115"/>
    </row>
    <row r="333" spans="3:19">
      <c r="C333" s="114"/>
      <c r="D333" s="114"/>
      <c r="E333" s="114"/>
      <c r="F333" s="114"/>
      <c r="G333" s="114"/>
      <c r="H333" s="114"/>
      <c r="I333" s="114"/>
      <c r="R333" s="115"/>
      <c r="S333" s="115"/>
    </row>
    <row r="334" spans="3:19">
      <c r="C334" s="114"/>
      <c r="D334" s="114"/>
      <c r="E334" s="114"/>
      <c r="F334" s="114"/>
      <c r="G334" s="114"/>
      <c r="H334" s="114"/>
      <c r="I334" s="114"/>
      <c r="R334" s="115"/>
      <c r="S334" s="115"/>
    </row>
    <row r="335" spans="3:19">
      <c r="C335" s="114"/>
      <c r="D335" s="114"/>
      <c r="E335" s="114"/>
      <c r="F335" s="114"/>
      <c r="G335" s="114"/>
      <c r="H335" s="114"/>
      <c r="I335" s="114"/>
      <c r="R335" s="115"/>
      <c r="S335" s="115"/>
    </row>
    <row r="336" spans="3:19">
      <c r="C336" s="114"/>
      <c r="D336" s="114"/>
      <c r="E336" s="114"/>
      <c r="F336" s="114"/>
      <c r="G336" s="114"/>
      <c r="H336" s="114"/>
      <c r="I336" s="114"/>
      <c r="R336" s="115"/>
      <c r="S336" s="115"/>
    </row>
    <row r="337" spans="3:19">
      <c r="C337" s="114"/>
      <c r="D337" s="114"/>
      <c r="E337" s="114"/>
      <c r="F337" s="114"/>
      <c r="G337" s="114"/>
      <c r="H337" s="114"/>
      <c r="I337" s="114"/>
      <c r="R337" s="115"/>
      <c r="S337" s="115"/>
    </row>
    <row r="338" spans="3:19">
      <c r="C338" s="114"/>
      <c r="D338" s="114"/>
      <c r="E338" s="114"/>
      <c r="F338" s="114"/>
      <c r="G338" s="114"/>
      <c r="H338" s="114"/>
      <c r="I338" s="114"/>
      <c r="R338" s="115"/>
      <c r="S338" s="115"/>
    </row>
    <row r="339" spans="3:19">
      <c r="C339" s="114"/>
      <c r="D339" s="114"/>
      <c r="E339" s="114"/>
      <c r="F339" s="114"/>
      <c r="G339" s="114"/>
      <c r="H339" s="114"/>
      <c r="I339" s="114"/>
      <c r="R339" s="115"/>
      <c r="S339" s="115"/>
    </row>
    <row r="340" spans="3:19">
      <c r="C340" s="114"/>
      <c r="D340" s="114"/>
      <c r="E340" s="114"/>
      <c r="F340" s="114"/>
      <c r="G340" s="114"/>
      <c r="H340" s="114"/>
      <c r="I340" s="114"/>
      <c r="R340" s="115"/>
      <c r="S340" s="115"/>
    </row>
    <row r="341" spans="3:19">
      <c r="C341" s="114"/>
      <c r="D341" s="114"/>
      <c r="E341" s="114"/>
      <c r="F341" s="114"/>
      <c r="G341" s="114"/>
      <c r="H341" s="114"/>
      <c r="I341" s="114"/>
      <c r="R341" s="115"/>
      <c r="S341" s="115"/>
    </row>
    <row r="342" spans="3:19">
      <c r="C342" s="114"/>
      <c r="D342" s="114"/>
      <c r="E342" s="114"/>
      <c r="F342" s="114"/>
      <c r="G342" s="114"/>
      <c r="H342" s="114"/>
      <c r="I342" s="114"/>
      <c r="R342" s="115"/>
      <c r="S342" s="115"/>
    </row>
    <row r="343" spans="3:19">
      <c r="C343" s="114"/>
      <c r="D343" s="114"/>
      <c r="E343" s="114"/>
      <c r="F343" s="114"/>
      <c r="G343" s="114"/>
      <c r="H343" s="114"/>
      <c r="I343" s="114"/>
      <c r="R343" s="115"/>
      <c r="S343" s="115"/>
    </row>
    <row r="344" spans="3:19">
      <c r="C344" s="114"/>
      <c r="D344" s="114"/>
      <c r="E344" s="114"/>
      <c r="F344" s="114"/>
      <c r="G344" s="114"/>
      <c r="H344" s="114"/>
      <c r="I344" s="114"/>
      <c r="R344" s="115"/>
      <c r="S344" s="115"/>
    </row>
    <row r="345" spans="3:19">
      <c r="C345" s="114"/>
      <c r="D345" s="114"/>
      <c r="E345" s="114"/>
      <c r="F345" s="114"/>
      <c r="G345" s="114"/>
      <c r="H345" s="114"/>
      <c r="I345" s="114"/>
      <c r="R345" s="115"/>
      <c r="S345" s="115"/>
    </row>
    <row r="346" spans="3:19">
      <c r="C346" s="114"/>
      <c r="D346" s="114"/>
      <c r="E346" s="114"/>
      <c r="F346" s="114"/>
      <c r="G346" s="114"/>
      <c r="H346" s="114"/>
      <c r="I346" s="114"/>
      <c r="R346" s="115"/>
      <c r="S346" s="115"/>
    </row>
    <row r="347" spans="3:19">
      <c r="C347" s="114"/>
      <c r="D347" s="114"/>
      <c r="E347" s="114"/>
      <c r="F347" s="114"/>
      <c r="G347" s="114"/>
      <c r="H347" s="114"/>
      <c r="I347" s="114"/>
      <c r="R347" s="115"/>
      <c r="S347" s="115"/>
    </row>
    <row r="348" spans="3:19">
      <c r="C348" s="114"/>
      <c r="D348" s="114"/>
      <c r="E348" s="114"/>
      <c r="F348" s="114"/>
      <c r="G348" s="114"/>
      <c r="H348" s="114"/>
      <c r="I348" s="114"/>
      <c r="R348" s="115"/>
      <c r="S348" s="115"/>
    </row>
    <row r="349" spans="3:19">
      <c r="C349" s="114"/>
      <c r="D349" s="114"/>
      <c r="E349" s="114"/>
      <c r="F349" s="114"/>
      <c r="G349" s="114"/>
      <c r="H349" s="114"/>
      <c r="I349" s="114"/>
      <c r="R349" s="115"/>
      <c r="S349" s="115"/>
    </row>
    <row r="350" spans="3:19">
      <c r="C350" s="114"/>
      <c r="D350" s="114"/>
      <c r="E350" s="114"/>
      <c r="F350" s="114"/>
      <c r="G350" s="114"/>
      <c r="H350" s="114"/>
      <c r="I350" s="114"/>
      <c r="R350" s="115"/>
      <c r="S350" s="115"/>
    </row>
    <row r="351" spans="3:19">
      <c r="C351" s="114"/>
      <c r="D351" s="114"/>
      <c r="E351" s="114"/>
      <c r="F351" s="114"/>
      <c r="G351" s="114"/>
      <c r="H351" s="114"/>
      <c r="I351" s="114"/>
      <c r="R351" s="115"/>
      <c r="S351" s="115"/>
    </row>
    <row r="352" spans="3:19">
      <c r="C352" s="114"/>
      <c r="D352" s="114"/>
      <c r="E352" s="114"/>
      <c r="F352" s="114"/>
      <c r="G352" s="114"/>
      <c r="H352" s="114"/>
      <c r="I352" s="114"/>
      <c r="R352" s="115"/>
      <c r="S352" s="115"/>
    </row>
    <row r="353" spans="3:19">
      <c r="C353" s="114"/>
      <c r="D353" s="114"/>
      <c r="E353" s="114"/>
      <c r="F353" s="114"/>
      <c r="G353" s="114"/>
      <c r="H353" s="114"/>
      <c r="I353" s="114"/>
      <c r="R353" s="115"/>
      <c r="S353" s="115"/>
    </row>
    <row r="354" spans="3:19">
      <c r="C354" s="114"/>
      <c r="D354" s="114"/>
      <c r="E354" s="114"/>
      <c r="F354" s="114"/>
      <c r="G354" s="114"/>
      <c r="H354" s="114"/>
      <c r="I354" s="114"/>
      <c r="R354" s="115"/>
      <c r="S354" s="115"/>
    </row>
    <row r="355" spans="3:19">
      <c r="C355" s="114"/>
      <c r="D355" s="114"/>
      <c r="E355" s="114"/>
      <c r="F355" s="114"/>
      <c r="G355" s="114"/>
      <c r="H355" s="114"/>
      <c r="I355" s="114"/>
      <c r="R355" s="115"/>
      <c r="S355" s="115"/>
    </row>
    <row r="356" spans="3:19">
      <c r="C356" s="114"/>
      <c r="D356" s="114"/>
      <c r="E356" s="114"/>
      <c r="F356" s="114"/>
      <c r="G356" s="114"/>
      <c r="H356" s="114"/>
      <c r="I356" s="114"/>
      <c r="R356" s="115"/>
      <c r="S356" s="115"/>
    </row>
    <row r="357" spans="3:19">
      <c r="C357" s="114"/>
      <c r="D357" s="114"/>
      <c r="E357" s="114"/>
      <c r="F357" s="114"/>
      <c r="G357" s="114"/>
      <c r="H357" s="114"/>
      <c r="I357" s="114"/>
      <c r="R357" s="115"/>
      <c r="S357" s="115"/>
    </row>
    <row r="358" spans="3:19">
      <c r="C358" s="114"/>
      <c r="D358" s="114"/>
      <c r="E358" s="114"/>
      <c r="F358" s="114"/>
      <c r="G358" s="114"/>
      <c r="H358" s="114"/>
      <c r="I358" s="114"/>
      <c r="R358" s="115"/>
      <c r="S358" s="115"/>
    </row>
    <row r="359" spans="3:19">
      <c r="C359" s="114"/>
      <c r="D359" s="114"/>
      <c r="E359" s="114"/>
      <c r="F359" s="114"/>
      <c r="G359" s="114"/>
      <c r="H359" s="114"/>
      <c r="I359" s="114"/>
      <c r="R359" s="115"/>
      <c r="S359" s="115"/>
    </row>
    <row r="360" spans="3:19">
      <c r="C360" s="114"/>
      <c r="D360" s="114"/>
      <c r="E360" s="114"/>
      <c r="F360" s="114"/>
      <c r="G360" s="114"/>
      <c r="H360" s="114"/>
      <c r="I360" s="114"/>
      <c r="R360" s="115"/>
      <c r="S360" s="115"/>
    </row>
    <row r="361" spans="3:19">
      <c r="C361" s="114"/>
      <c r="D361" s="114"/>
      <c r="E361" s="114"/>
      <c r="F361" s="114"/>
      <c r="G361" s="114"/>
      <c r="H361" s="114"/>
      <c r="I361" s="114"/>
      <c r="R361" s="115"/>
      <c r="S361" s="115"/>
    </row>
    <row r="362" spans="3:19">
      <c r="C362" s="114"/>
      <c r="D362" s="114"/>
      <c r="E362" s="114"/>
      <c r="F362" s="114"/>
      <c r="G362" s="114"/>
      <c r="H362" s="114"/>
      <c r="I362" s="114"/>
      <c r="R362" s="115"/>
      <c r="S362" s="115"/>
    </row>
    <row r="363" spans="3:19">
      <c r="C363" s="114"/>
      <c r="D363" s="114"/>
      <c r="E363" s="114"/>
      <c r="F363" s="114"/>
      <c r="G363" s="114"/>
      <c r="H363" s="114"/>
      <c r="I363" s="114"/>
      <c r="R363" s="115"/>
      <c r="S363" s="115"/>
    </row>
    <row r="364" spans="3:19">
      <c r="C364" s="114"/>
      <c r="D364" s="114"/>
      <c r="E364" s="114"/>
      <c r="F364" s="114"/>
      <c r="G364" s="114"/>
      <c r="H364" s="114"/>
      <c r="I364" s="114"/>
      <c r="R364" s="115"/>
      <c r="S364" s="115"/>
    </row>
    <row r="365" spans="3:19">
      <c r="C365" s="114"/>
      <c r="D365" s="114"/>
      <c r="E365" s="114"/>
      <c r="F365" s="114"/>
      <c r="G365" s="114"/>
      <c r="H365" s="114"/>
      <c r="I365" s="114"/>
      <c r="R365" s="115"/>
      <c r="S365" s="115"/>
    </row>
    <row r="366" spans="3:19">
      <c r="C366" s="114"/>
      <c r="D366" s="114"/>
      <c r="E366" s="114"/>
      <c r="F366" s="114"/>
      <c r="G366" s="114"/>
      <c r="H366" s="114"/>
      <c r="I366" s="114"/>
      <c r="R366" s="115"/>
      <c r="S366" s="115"/>
    </row>
    <row r="367" spans="3:19">
      <c r="C367" s="114"/>
      <c r="D367" s="114"/>
      <c r="E367" s="114"/>
      <c r="F367" s="114"/>
      <c r="G367" s="114"/>
      <c r="H367" s="114"/>
      <c r="I367" s="114"/>
      <c r="R367" s="115"/>
      <c r="S367" s="115"/>
    </row>
    <row r="368" spans="3:19">
      <c r="C368" s="114"/>
      <c r="D368" s="114"/>
      <c r="E368" s="114"/>
      <c r="F368" s="114"/>
      <c r="G368" s="114"/>
      <c r="H368" s="114"/>
      <c r="I368" s="114"/>
      <c r="R368" s="115"/>
      <c r="S368" s="115"/>
    </row>
    <row r="369" spans="3:19">
      <c r="C369" s="114"/>
      <c r="D369" s="114"/>
      <c r="E369" s="114"/>
      <c r="F369" s="114"/>
      <c r="G369" s="114"/>
      <c r="H369" s="114"/>
      <c r="I369" s="114"/>
      <c r="R369" s="115"/>
      <c r="S369" s="115"/>
    </row>
    <row r="370" spans="3:19">
      <c r="C370" s="114"/>
      <c r="D370" s="114"/>
      <c r="E370" s="114"/>
      <c r="F370" s="114"/>
      <c r="G370" s="114"/>
      <c r="H370" s="114"/>
      <c r="I370" s="114"/>
      <c r="R370" s="115"/>
      <c r="S370" s="115"/>
    </row>
    <row r="371" spans="3:19">
      <c r="C371" s="114"/>
      <c r="D371" s="114"/>
      <c r="E371" s="114"/>
      <c r="F371" s="114"/>
      <c r="G371" s="114"/>
      <c r="H371" s="114"/>
      <c r="I371" s="114"/>
      <c r="R371" s="115"/>
      <c r="S371" s="115"/>
    </row>
    <row r="372" spans="3:19">
      <c r="C372" s="114"/>
      <c r="D372" s="114"/>
      <c r="E372" s="114"/>
      <c r="F372" s="114"/>
      <c r="G372" s="114"/>
      <c r="H372" s="114"/>
      <c r="I372" s="114"/>
      <c r="R372" s="115"/>
      <c r="S372" s="115"/>
    </row>
    <row r="373" spans="3:19">
      <c r="C373" s="114"/>
      <c r="D373" s="114"/>
      <c r="E373" s="114"/>
      <c r="F373" s="114"/>
      <c r="G373" s="114"/>
      <c r="H373" s="114"/>
      <c r="I373" s="114"/>
      <c r="R373" s="115"/>
      <c r="S373" s="115"/>
    </row>
    <row r="374" spans="3:19">
      <c r="C374" s="114"/>
      <c r="D374" s="114"/>
      <c r="E374" s="114"/>
      <c r="F374" s="114"/>
      <c r="G374" s="114"/>
      <c r="H374" s="114"/>
      <c r="I374" s="114"/>
      <c r="R374" s="115"/>
      <c r="S374" s="115"/>
    </row>
    <row r="375" spans="3:19">
      <c r="C375" s="114"/>
      <c r="D375" s="114"/>
      <c r="E375" s="114"/>
      <c r="F375" s="114"/>
      <c r="G375" s="114"/>
      <c r="H375" s="114"/>
      <c r="I375" s="114"/>
      <c r="R375" s="115"/>
      <c r="S375" s="115"/>
    </row>
    <row r="376" spans="3:19">
      <c r="C376" s="114"/>
      <c r="D376" s="114"/>
      <c r="E376" s="114"/>
      <c r="F376" s="114"/>
      <c r="G376" s="114"/>
      <c r="H376" s="114"/>
      <c r="I376" s="114"/>
      <c r="R376" s="115"/>
      <c r="S376" s="115"/>
    </row>
    <row r="377" spans="3:19">
      <c r="C377" s="114"/>
      <c r="D377" s="114"/>
      <c r="E377" s="114"/>
      <c r="F377" s="114"/>
      <c r="G377" s="114"/>
      <c r="H377" s="114"/>
      <c r="I377" s="114"/>
      <c r="R377" s="115"/>
      <c r="S377" s="115"/>
    </row>
    <row r="378" spans="3:19">
      <c r="C378" s="114"/>
      <c r="D378" s="114"/>
      <c r="E378" s="114"/>
      <c r="F378" s="114"/>
      <c r="G378" s="114"/>
      <c r="H378" s="114"/>
      <c r="I378" s="114"/>
      <c r="R378" s="115"/>
      <c r="S378" s="115"/>
    </row>
    <row r="379" spans="3:19">
      <c r="C379" s="114"/>
      <c r="D379" s="114"/>
      <c r="E379" s="114"/>
      <c r="F379" s="114"/>
      <c r="G379" s="114"/>
      <c r="H379" s="114"/>
      <c r="I379" s="114"/>
      <c r="R379" s="115"/>
      <c r="S379" s="115"/>
    </row>
    <row r="380" spans="3:19">
      <c r="C380" s="114"/>
      <c r="D380" s="114"/>
      <c r="E380" s="114"/>
      <c r="F380" s="114"/>
      <c r="G380" s="114"/>
      <c r="H380" s="114"/>
      <c r="I380" s="114"/>
      <c r="R380" s="115"/>
      <c r="S380" s="115"/>
    </row>
    <row r="381" spans="3:19">
      <c r="C381" s="114"/>
      <c r="D381" s="114"/>
      <c r="E381" s="114"/>
      <c r="F381" s="114"/>
      <c r="G381" s="114"/>
      <c r="H381" s="114"/>
      <c r="I381" s="114"/>
      <c r="R381" s="115"/>
      <c r="S381" s="115"/>
    </row>
    <row r="382" spans="3:19">
      <c r="C382" s="114"/>
      <c r="D382" s="114"/>
      <c r="E382" s="114"/>
      <c r="F382" s="114"/>
      <c r="G382" s="114"/>
      <c r="H382" s="114"/>
      <c r="I382" s="114"/>
      <c r="R382" s="115"/>
      <c r="S382" s="115"/>
    </row>
    <row r="383" spans="3:19">
      <c r="C383" s="114"/>
      <c r="D383" s="114"/>
      <c r="E383" s="114"/>
      <c r="F383" s="114"/>
      <c r="G383" s="114"/>
      <c r="H383" s="114"/>
      <c r="I383" s="114"/>
      <c r="R383" s="115"/>
      <c r="S383" s="115"/>
    </row>
    <row r="384" spans="3:19">
      <c r="C384" s="114"/>
      <c r="D384" s="114"/>
      <c r="E384" s="114"/>
      <c r="F384" s="114"/>
      <c r="G384" s="114"/>
      <c r="H384" s="114"/>
      <c r="I384" s="114"/>
      <c r="R384" s="115"/>
      <c r="S384" s="115"/>
    </row>
    <row r="385" spans="3:19">
      <c r="C385" s="114"/>
      <c r="D385" s="114"/>
      <c r="E385" s="114"/>
      <c r="F385" s="114"/>
      <c r="G385" s="114"/>
      <c r="H385" s="114"/>
      <c r="I385" s="114"/>
      <c r="R385" s="115"/>
      <c r="S385" s="115"/>
    </row>
    <row r="386" spans="3:19">
      <c r="C386" s="114"/>
      <c r="D386" s="114"/>
      <c r="E386" s="114"/>
      <c r="F386" s="114"/>
      <c r="G386" s="114"/>
      <c r="H386" s="114"/>
      <c r="I386" s="114"/>
      <c r="R386" s="115"/>
      <c r="S386" s="115"/>
    </row>
    <row r="387" spans="3:19">
      <c r="C387" s="114"/>
      <c r="D387" s="114"/>
      <c r="E387" s="114"/>
      <c r="F387" s="114"/>
      <c r="G387" s="114"/>
      <c r="H387" s="114"/>
      <c r="I387" s="114"/>
      <c r="R387" s="115"/>
      <c r="S387" s="115"/>
    </row>
    <row r="388" spans="3:19">
      <c r="C388" s="114"/>
      <c r="D388" s="114"/>
      <c r="E388" s="114"/>
      <c r="F388" s="114"/>
      <c r="G388" s="114"/>
      <c r="H388" s="114"/>
      <c r="I388" s="114"/>
      <c r="R388" s="115"/>
      <c r="S388" s="115"/>
    </row>
    <row r="389" spans="3:19">
      <c r="C389" s="114"/>
      <c r="D389" s="114"/>
      <c r="E389" s="114"/>
      <c r="F389" s="114"/>
      <c r="G389" s="114"/>
      <c r="H389" s="114"/>
      <c r="I389" s="114"/>
      <c r="R389" s="115"/>
      <c r="S389" s="115"/>
    </row>
    <row r="390" spans="3:19">
      <c r="C390" s="114"/>
      <c r="D390" s="114"/>
      <c r="E390" s="114"/>
      <c r="F390" s="114"/>
      <c r="G390" s="114"/>
      <c r="H390" s="114"/>
      <c r="I390" s="114"/>
      <c r="R390" s="115"/>
      <c r="S390" s="115"/>
    </row>
    <row r="391" spans="3:19">
      <c r="C391" s="114"/>
      <c r="D391" s="114"/>
      <c r="E391" s="114"/>
      <c r="F391" s="114"/>
      <c r="G391" s="114"/>
      <c r="H391" s="114"/>
      <c r="I391" s="114"/>
      <c r="R391" s="115"/>
      <c r="S391" s="115"/>
    </row>
    <row r="392" spans="3:19">
      <c r="C392" s="114"/>
      <c r="D392" s="114"/>
      <c r="E392" s="114"/>
      <c r="F392" s="114"/>
      <c r="G392" s="114"/>
      <c r="H392" s="114"/>
      <c r="I392" s="114"/>
      <c r="R392" s="115"/>
      <c r="S392" s="115"/>
    </row>
    <row r="393" spans="3:19">
      <c r="C393" s="114"/>
      <c r="D393" s="114"/>
      <c r="E393" s="114"/>
      <c r="F393" s="114"/>
      <c r="G393" s="114"/>
      <c r="H393" s="114"/>
      <c r="I393" s="114"/>
      <c r="R393" s="115"/>
      <c r="S393" s="115"/>
    </row>
    <row r="394" spans="3:19">
      <c r="C394" s="114"/>
      <c r="D394" s="114"/>
      <c r="E394" s="114"/>
      <c r="F394" s="114"/>
      <c r="G394" s="114"/>
      <c r="H394" s="114"/>
      <c r="I394" s="114"/>
      <c r="R394" s="115"/>
      <c r="S394" s="115"/>
    </row>
    <row r="395" spans="3:19">
      <c r="C395" s="114"/>
      <c r="D395" s="114"/>
      <c r="E395" s="114"/>
      <c r="F395" s="114"/>
      <c r="G395" s="114"/>
      <c r="H395" s="114"/>
      <c r="I395" s="114"/>
      <c r="R395" s="115"/>
      <c r="S395" s="115"/>
    </row>
    <row r="396" spans="3:19">
      <c r="C396" s="114"/>
      <c r="D396" s="114"/>
      <c r="E396" s="114"/>
      <c r="F396" s="114"/>
      <c r="G396" s="114"/>
      <c r="H396" s="114"/>
      <c r="I396" s="114"/>
      <c r="R396" s="115"/>
      <c r="S396" s="115"/>
    </row>
    <row r="397" spans="3:19">
      <c r="C397" s="114"/>
      <c r="D397" s="114"/>
      <c r="E397" s="114"/>
      <c r="F397" s="114"/>
      <c r="G397" s="114"/>
      <c r="H397" s="114"/>
      <c r="I397" s="114"/>
      <c r="R397" s="115"/>
      <c r="S397" s="115"/>
    </row>
    <row r="398" spans="3:19">
      <c r="C398" s="114"/>
      <c r="D398" s="114"/>
      <c r="E398" s="114"/>
      <c r="F398" s="114"/>
      <c r="G398" s="114"/>
      <c r="H398" s="114"/>
      <c r="I398" s="114"/>
      <c r="R398" s="115"/>
      <c r="S398" s="115"/>
    </row>
    <row r="399" spans="3:19">
      <c r="C399" s="114"/>
      <c r="D399" s="114"/>
      <c r="E399" s="114"/>
      <c r="F399" s="114"/>
      <c r="G399" s="114"/>
      <c r="H399" s="114"/>
      <c r="I399" s="114"/>
      <c r="R399" s="115"/>
      <c r="S399" s="115"/>
    </row>
    <row r="400" spans="3:19">
      <c r="C400" s="114"/>
      <c r="D400" s="114"/>
      <c r="E400" s="114"/>
      <c r="F400" s="114"/>
      <c r="G400" s="114"/>
      <c r="H400" s="114"/>
      <c r="I400" s="114"/>
      <c r="R400" s="115"/>
      <c r="S400" s="115"/>
    </row>
    <row r="401" spans="3:19">
      <c r="C401" s="114"/>
      <c r="D401" s="114"/>
      <c r="E401" s="114"/>
      <c r="F401" s="114"/>
      <c r="G401" s="114"/>
      <c r="H401" s="114"/>
      <c r="I401" s="114"/>
      <c r="R401" s="115"/>
      <c r="S401" s="115"/>
    </row>
    <row r="402" spans="3:19">
      <c r="C402" s="114"/>
      <c r="D402" s="114"/>
      <c r="E402" s="114"/>
      <c r="F402" s="114"/>
      <c r="G402" s="114"/>
      <c r="H402" s="114"/>
      <c r="I402" s="114"/>
      <c r="R402" s="115"/>
      <c r="S402" s="115"/>
    </row>
    <row r="403" spans="3:19">
      <c r="C403" s="114"/>
      <c r="D403" s="114"/>
      <c r="E403" s="114"/>
      <c r="F403" s="114"/>
      <c r="G403" s="114"/>
      <c r="H403" s="114"/>
      <c r="I403" s="114"/>
      <c r="R403" s="115"/>
      <c r="S403" s="115"/>
    </row>
    <row r="404" spans="3:19">
      <c r="C404" s="114"/>
      <c r="D404" s="114"/>
      <c r="E404" s="114"/>
      <c r="F404" s="114"/>
      <c r="G404" s="114"/>
      <c r="H404" s="114"/>
      <c r="I404" s="114"/>
      <c r="R404" s="115"/>
      <c r="S404" s="115"/>
    </row>
    <row r="405" spans="3:19">
      <c r="C405" s="114"/>
      <c r="D405" s="114"/>
      <c r="E405" s="114"/>
      <c r="F405" s="114"/>
      <c r="G405" s="114"/>
      <c r="H405" s="114"/>
      <c r="I405" s="114"/>
      <c r="R405" s="115"/>
      <c r="S405" s="115"/>
    </row>
    <row r="406" spans="3:19">
      <c r="C406" s="114"/>
      <c r="D406" s="114"/>
      <c r="E406" s="114"/>
      <c r="F406" s="114"/>
      <c r="G406" s="114"/>
      <c r="H406" s="114"/>
      <c r="I406" s="114"/>
      <c r="R406" s="115"/>
      <c r="S406" s="115"/>
    </row>
    <row r="407" spans="3:19">
      <c r="C407" s="114"/>
      <c r="D407" s="114"/>
      <c r="E407" s="114"/>
      <c r="F407" s="114"/>
      <c r="G407" s="114"/>
      <c r="H407" s="114"/>
      <c r="I407" s="114"/>
      <c r="R407" s="115"/>
      <c r="S407" s="115"/>
    </row>
    <row r="408" spans="3:19">
      <c r="C408" s="114"/>
      <c r="D408" s="114"/>
      <c r="E408" s="114"/>
      <c r="F408" s="114"/>
      <c r="G408" s="114"/>
      <c r="H408" s="114"/>
      <c r="I408" s="114"/>
      <c r="R408" s="115"/>
      <c r="S408" s="115"/>
    </row>
    <row r="409" spans="3:19">
      <c r="C409" s="114"/>
      <c r="D409" s="114"/>
      <c r="E409" s="114"/>
      <c r="F409" s="114"/>
      <c r="G409" s="114"/>
      <c r="H409" s="114"/>
      <c r="I409" s="114"/>
      <c r="R409" s="115"/>
      <c r="S409" s="115"/>
    </row>
    <row r="410" spans="3:19">
      <c r="C410" s="114"/>
      <c r="D410" s="114"/>
      <c r="E410" s="114"/>
      <c r="F410" s="114"/>
      <c r="G410" s="114"/>
      <c r="H410" s="114"/>
      <c r="I410" s="114"/>
      <c r="R410" s="115"/>
      <c r="S410" s="115"/>
    </row>
    <row r="411" spans="3:19">
      <c r="C411" s="114"/>
      <c r="D411" s="114"/>
      <c r="E411" s="114"/>
      <c r="F411" s="114"/>
      <c r="G411" s="114"/>
      <c r="H411" s="114"/>
      <c r="I411" s="114"/>
      <c r="R411" s="115"/>
      <c r="S411" s="115"/>
    </row>
    <row r="412" spans="3:19">
      <c r="C412" s="114"/>
      <c r="D412" s="114"/>
      <c r="E412" s="114"/>
      <c r="F412" s="114"/>
      <c r="G412" s="114"/>
      <c r="H412" s="114"/>
      <c r="I412" s="114"/>
      <c r="R412" s="115"/>
      <c r="S412" s="115"/>
    </row>
    <row r="413" spans="3:19">
      <c r="C413" s="114"/>
      <c r="D413" s="114"/>
      <c r="E413" s="114"/>
      <c r="F413" s="114"/>
      <c r="G413" s="114"/>
      <c r="H413" s="114"/>
      <c r="I413" s="114"/>
      <c r="R413" s="115"/>
      <c r="S413" s="115"/>
    </row>
    <row r="414" spans="3:19">
      <c r="C414" s="114"/>
      <c r="D414" s="114"/>
      <c r="E414" s="114"/>
      <c r="F414" s="114"/>
      <c r="G414" s="114"/>
      <c r="H414" s="114"/>
      <c r="I414" s="114"/>
      <c r="R414" s="115"/>
      <c r="S414" s="115"/>
    </row>
    <row r="415" spans="3:19">
      <c r="C415" s="114"/>
      <c r="D415" s="114"/>
      <c r="E415" s="114"/>
      <c r="F415" s="114"/>
      <c r="G415" s="114"/>
      <c r="H415" s="114"/>
      <c r="I415" s="114"/>
      <c r="R415" s="115"/>
      <c r="S415" s="115"/>
    </row>
    <row r="416" spans="3:19">
      <c r="C416" s="114"/>
      <c r="D416" s="114"/>
      <c r="E416" s="114"/>
      <c r="F416" s="114"/>
      <c r="G416" s="114"/>
      <c r="H416" s="114"/>
      <c r="I416" s="114"/>
      <c r="R416" s="115"/>
      <c r="S416" s="115"/>
    </row>
    <row r="417" spans="3:19">
      <c r="C417" s="114"/>
      <c r="D417" s="114"/>
      <c r="E417" s="114"/>
      <c r="F417" s="114"/>
      <c r="G417" s="114"/>
      <c r="H417" s="114"/>
      <c r="I417" s="114"/>
      <c r="R417" s="115"/>
      <c r="S417" s="115"/>
    </row>
    <row r="418" spans="3:19">
      <c r="C418" s="114"/>
      <c r="D418" s="114"/>
      <c r="E418" s="114"/>
      <c r="F418" s="114"/>
      <c r="G418" s="114"/>
      <c r="H418" s="114"/>
      <c r="I418" s="114"/>
      <c r="R418" s="115"/>
      <c r="S418" s="115"/>
    </row>
    <row r="419" spans="3:19">
      <c r="C419" s="114"/>
      <c r="D419" s="114"/>
      <c r="E419" s="114"/>
      <c r="F419" s="114"/>
      <c r="G419" s="114"/>
      <c r="H419" s="114"/>
      <c r="I419" s="114"/>
      <c r="R419" s="115"/>
      <c r="S419" s="115"/>
    </row>
    <row r="420" spans="3:19">
      <c r="C420" s="114"/>
      <c r="D420" s="114"/>
      <c r="E420" s="114"/>
      <c r="F420" s="114"/>
      <c r="G420" s="114"/>
      <c r="H420" s="114"/>
      <c r="I420" s="114"/>
      <c r="R420" s="115"/>
      <c r="S420" s="115"/>
    </row>
    <row r="421" spans="3:19">
      <c r="C421" s="114"/>
      <c r="D421" s="114"/>
      <c r="E421" s="114"/>
      <c r="F421" s="114"/>
      <c r="G421" s="114"/>
      <c r="H421" s="114"/>
      <c r="I421" s="114"/>
      <c r="R421" s="115"/>
      <c r="S421" s="115"/>
    </row>
    <row r="422" spans="3:19">
      <c r="C422" s="114"/>
      <c r="D422" s="114"/>
      <c r="E422" s="114"/>
      <c r="F422" s="114"/>
      <c r="G422" s="114"/>
      <c r="H422" s="114"/>
      <c r="I422" s="114"/>
      <c r="R422" s="115"/>
      <c r="S422" s="115"/>
    </row>
    <row r="423" spans="3:19">
      <c r="C423" s="114"/>
      <c r="D423" s="114"/>
      <c r="E423" s="114"/>
      <c r="F423" s="114"/>
      <c r="G423" s="114"/>
      <c r="H423" s="114"/>
      <c r="I423" s="114"/>
      <c r="R423" s="115"/>
      <c r="S423" s="115"/>
    </row>
    <row r="424" spans="3:19">
      <c r="C424" s="114"/>
      <c r="D424" s="114"/>
      <c r="E424" s="114"/>
      <c r="F424" s="114"/>
      <c r="G424" s="114"/>
      <c r="H424" s="114"/>
      <c r="I424" s="114"/>
      <c r="R424" s="115"/>
      <c r="S424" s="115"/>
    </row>
    <row r="425" spans="3:19">
      <c r="C425" s="114"/>
      <c r="D425" s="114"/>
      <c r="E425" s="114"/>
      <c r="F425" s="114"/>
      <c r="G425" s="114"/>
      <c r="H425" s="114"/>
      <c r="I425" s="114"/>
      <c r="R425" s="115"/>
      <c r="S425" s="115"/>
    </row>
    <row r="426" spans="3:19">
      <c r="C426" s="114"/>
      <c r="D426" s="114"/>
      <c r="E426" s="114"/>
      <c r="F426" s="114"/>
      <c r="G426" s="114"/>
      <c r="H426" s="114"/>
      <c r="I426" s="114"/>
      <c r="R426" s="115"/>
      <c r="S426" s="115"/>
    </row>
    <row r="427" spans="3:19">
      <c r="C427" s="114"/>
      <c r="D427" s="114"/>
      <c r="E427" s="114"/>
      <c r="F427" s="114"/>
      <c r="G427" s="114"/>
      <c r="H427" s="114"/>
      <c r="I427" s="114"/>
      <c r="R427" s="115"/>
      <c r="S427" s="115"/>
    </row>
    <row r="428" spans="3:19">
      <c r="C428" s="114"/>
      <c r="D428" s="114"/>
      <c r="E428" s="114"/>
      <c r="F428" s="114"/>
      <c r="G428" s="114"/>
      <c r="H428" s="114"/>
      <c r="I428" s="114"/>
      <c r="R428" s="115"/>
      <c r="S428" s="115"/>
    </row>
    <row r="429" spans="3:19">
      <c r="C429" s="114"/>
      <c r="D429" s="114"/>
      <c r="E429" s="114"/>
      <c r="F429" s="114"/>
      <c r="G429" s="114"/>
      <c r="H429" s="114"/>
      <c r="I429" s="114"/>
      <c r="R429" s="115"/>
      <c r="S429" s="115"/>
    </row>
    <row r="430" spans="3:19">
      <c r="C430" s="114"/>
      <c r="D430" s="114"/>
      <c r="E430" s="114"/>
      <c r="F430" s="114"/>
      <c r="G430" s="114"/>
      <c r="H430" s="114"/>
      <c r="I430" s="114"/>
      <c r="R430" s="115"/>
      <c r="S430" s="115"/>
    </row>
    <row r="431" spans="3:19">
      <c r="C431" s="114"/>
      <c r="D431" s="114"/>
      <c r="E431" s="114"/>
      <c r="F431" s="114"/>
      <c r="G431" s="114"/>
      <c r="H431" s="114"/>
      <c r="I431" s="114"/>
      <c r="R431" s="115"/>
      <c r="S431" s="115"/>
    </row>
    <row r="432" spans="3:19">
      <c r="C432" s="114"/>
      <c r="D432" s="114"/>
      <c r="E432" s="114"/>
      <c r="F432" s="114"/>
      <c r="G432" s="114"/>
      <c r="H432" s="114"/>
      <c r="I432" s="114"/>
      <c r="R432" s="115"/>
      <c r="S432" s="115"/>
    </row>
    <row r="433" spans="3:19">
      <c r="C433" s="114"/>
      <c r="D433" s="114"/>
      <c r="E433" s="114"/>
      <c r="F433" s="114"/>
      <c r="G433" s="114"/>
      <c r="H433" s="114"/>
      <c r="I433" s="114"/>
      <c r="R433" s="115"/>
      <c r="S433" s="115"/>
    </row>
    <row r="434" spans="3:19">
      <c r="C434" s="114"/>
      <c r="D434" s="114"/>
      <c r="E434" s="114"/>
      <c r="F434" s="114"/>
      <c r="G434" s="114"/>
      <c r="H434" s="114"/>
      <c r="I434" s="114"/>
      <c r="R434" s="115"/>
      <c r="S434" s="115"/>
    </row>
    <row r="435" spans="3:19">
      <c r="C435" s="114"/>
      <c r="D435" s="114"/>
      <c r="E435" s="114"/>
      <c r="F435" s="114"/>
      <c r="G435" s="114"/>
      <c r="H435" s="114"/>
      <c r="I435" s="114"/>
      <c r="R435" s="115"/>
      <c r="S435" s="115"/>
    </row>
    <row r="436" spans="3:19">
      <c r="C436" s="114"/>
      <c r="D436" s="114"/>
      <c r="E436" s="114"/>
      <c r="F436" s="114"/>
      <c r="G436" s="114"/>
      <c r="H436" s="114"/>
      <c r="I436" s="114"/>
      <c r="R436" s="115"/>
      <c r="S436" s="115"/>
    </row>
    <row r="437" spans="3:19">
      <c r="C437" s="114"/>
      <c r="D437" s="114"/>
      <c r="E437" s="114"/>
      <c r="F437" s="114"/>
      <c r="G437" s="114"/>
      <c r="H437" s="114"/>
      <c r="I437" s="114"/>
      <c r="R437" s="115"/>
      <c r="S437" s="115"/>
    </row>
    <row r="438" spans="3:19">
      <c r="C438" s="114"/>
      <c r="D438" s="114"/>
      <c r="E438" s="114"/>
      <c r="F438" s="114"/>
      <c r="G438" s="114"/>
      <c r="H438" s="114"/>
      <c r="I438" s="114"/>
      <c r="R438" s="115"/>
      <c r="S438" s="115"/>
    </row>
    <row r="439" spans="3:19">
      <c r="C439" s="114"/>
      <c r="D439" s="114"/>
      <c r="E439" s="114"/>
      <c r="F439" s="114"/>
      <c r="G439" s="114"/>
      <c r="H439" s="114"/>
      <c r="I439" s="114"/>
      <c r="R439" s="115"/>
      <c r="S439" s="115"/>
    </row>
    <row r="440" spans="3:19">
      <c r="C440" s="114"/>
      <c r="D440" s="114"/>
      <c r="E440" s="114"/>
      <c r="F440" s="114"/>
      <c r="G440" s="114"/>
      <c r="H440" s="114"/>
      <c r="I440" s="114"/>
      <c r="R440" s="115"/>
      <c r="S440" s="115"/>
    </row>
    <row r="441" spans="3:19">
      <c r="C441" s="114"/>
      <c r="D441" s="114"/>
      <c r="E441" s="114"/>
      <c r="F441" s="114"/>
      <c r="G441" s="114"/>
      <c r="H441" s="114"/>
      <c r="I441" s="114"/>
      <c r="R441" s="115"/>
      <c r="S441" s="115"/>
    </row>
    <row r="442" spans="3:19">
      <c r="C442" s="114"/>
      <c r="D442" s="114"/>
      <c r="E442" s="114"/>
      <c r="F442" s="114"/>
      <c r="G442" s="114"/>
      <c r="H442" s="114"/>
      <c r="I442" s="114"/>
      <c r="R442" s="115"/>
      <c r="S442" s="115"/>
    </row>
    <row r="443" spans="3:19">
      <c r="C443" s="114"/>
      <c r="D443" s="114"/>
      <c r="E443" s="114"/>
      <c r="F443" s="114"/>
      <c r="G443" s="114"/>
      <c r="H443" s="114"/>
      <c r="I443" s="114"/>
      <c r="R443" s="115"/>
      <c r="S443" s="115"/>
    </row>
    <row r="444" spans="3:19">
      <c r="C444" s="114"/>
      <c r="D444" s="114"/>
      <c r="E444" s="114"/>
      <c r="F444" s="114"/>
      <c r="G444" s="114"/>
      <c r="H444" s="114"/>
      <c r="I444" s="114"/>
      <c r="R444" s="115"/>
      <c r="S444" s="115"/>
    </row>
    <row r="445" spans="3:19">
      <c r="C445" s="114"/>
      <c r="D445" s="114"/>
      <c r="E445" s="114"/>
      <c r="F445" s="114"/>
      <c r="G445" s="114"/>
      <c r="H445" s="114"/>
      <c r="I445" s="114"/>
      <c r="R445" s="115"/>
      <c r="S445" s="115"/>
    </row>
    <row r="446" spans="3:19">
      <c r="C446" s="114"/>
      <c r="D446" s="114"/>
      <c r="E446" s="114"/>
      <c r="F446" s="114"/>
      <c r="G446" s="114"/>
      <c r="H446" s="114"/>
      <c r="I446" s="114"/>
      <c r="R446" s="115"/>
      <c r="S446" s="115"/>
    </row>
    <row r="447" spans="3:19">
      <c r="C447" s="114"/>
      <c r="D447" s="114"/>
      <c r="E447" s="114"/>
      <c r="F447" s="114"/>
      <c r="G447" s="114"/>
      <c r="H447" s="114"/>
      <c r="I447" s="114"/>
      <c r="R447" s="115"/>
      <c r="S447" s="115"/>
    </row>
    <row r="448" spans="3:19">
      <c r="C448" s="114"/>
      <c r="D448" s="114"/>
      <c r="E448" s="114"/>
      <c r="F448" s="114"/>
      <c r="G448" s="114"/>
      <c r="H448" s="114"/>
      <c r="I448" s="114"/>
      <c r="R448" s="115"/>
      <c r="S448" s="115"/>
    </row>
    <row r="449" spans="3:19">
      <c r="C449" s="114"/>
      <c r="D449" s="114"/>
      <c r="E449" s="114"/>
      <c r="F449" s="114"/>
      <c r="G449" s="114"/>
      <c r="H449" s="114"/>
      <c r="I449" s="114"/>
      <c r="R449" s="115"/>
      <c r="S449" s="115"/>
    </row>
    <row r="450" spans="3:19">
      <c r="C450" s="114"/>
      <c r="D450" s="114"/>
      <c r="E450" s="114"/>
      <c r="F450" s="114"/>
      <c r="G450" s="114"/>
      <c r="H450" s="114"/>
      <c r="I450" s="114"/>
      <c r="R450" s="115"/>
      <c r="S450" s="115"/>
    </row>
    <row r="451" spans="3:19">
      <c r="C451" s="114"/>
      <c r="D451" s="114"/>
      <c r="E451" s="114"/>
      <c r="F451" s="114"/>
      <c r="G451" s="114"/>
      <c r="H451" s="114"/>
      <c r="I451" s="114"/>
      <c r="R451" s="115"/>
      <c r="S451" s="115"/>
    </row>
    <row r="452" spans="3:19">
      <c r="C452" s="114"/>
      <c r="D452" s="114"/>
      <c r="E452" s="114"/>
      <c r="F452" s="114"/>
      <c r="G452" s="114"/>
      <c r="H452" s="114"/>
      <c r="I452" s="114"/>
      <c r="R452" s="115"/>
      <c r="S452" s="115"/>
    </row>
    <row r="453" spans="3:19">
      <c r="C453" s="114"/>
      <c r="D453" s="114"/>
      <c r="E453" s="114"/>
      <c r="F453" s="114"/>
      <c r="G453" s="114"/>
      <c r="H453" s="114"/>
      <c r="I453" s="114"/>
      <c r="R453" s="115"/>
      <c r="S453" s="115"/>
    </row>
    <row r="454" spans="3:19">
      <c r="C454" s="114"/>
      <c r="D454" s="114"/>
      <c r="E454" s="114"/>
      <c r="F454" s="114"/>
      <c r="G454" s="114"/>
      <c r="H454" s="114"/>
      <c r="I454" s="114"/>
      <c r="R454" s="115"/>
      <c r="S454" s="115"/>
    </row>
    <row r="455" spans="3:19">
      <c r="C455" s="114"/>
      <c r="D455" s="114"/>
      <c r="E455" s="114"/>
      <c r="F455" s="114"/>
      <c r="G455" s="114"/>
      <c r="H455" s="114"/>
      <c r="I455" s="114"/>
      <c r="R455" s="115"/>
      <c r="S455" s="115"/>
    </row>
    <row r="456" spans="3:19">
      <c r="C456" s="114"/>
      <c r="D456" s="114"/>
      <c r="E456" s="114"/>
      <c r="F456" s="114"/>
      <c r="G456" s="114"/>
      <c r="H456" s="114"/>
      <c r="I456" s="114"/>
      <c r="R456" s="115"/>
      <c r="S456" s="115"/>
    </row>
    <row r="457" spans="3:19">
      <c r="C457" s="114"/>
      <c r="D457" s="114"/>
      <c r="E457" s="114"/>
      <c r="F457" s="114"/>
      <c r="G457" s="114"/>
      <c r="H457" s="114"/>
      <c r="I457" s="114"/>
      <c r="R457" s="115"/>
      <c r="S457" s="115"/>
    </row>
    <row r="458" spans="3:19">
      <c r="C458" s="114"/>
      <c r="D458" s="114"/>
      <c r="E458" s="114"/>
      <c r="F458" s="114"/>
      <c r="G458" s="114"/>
      <c r="H458" s="114"/>
      <c r="I458" s="114"/>
      <c r="R458" s="115"/>
      <c r="S458" s="115"/>
    </row>
    <row r="459" spans="3:19">
      <c r="C459" s="114"/>
      <c r="D459" s="114"/>
      <c r="E459" s="114"/>
      <c r="F459" s="114"/>
      <c r="G459" s="114"/>
      <c r="H459" s="114"/>
      <c r="I459" s="114"/>
      <c r="R459" s="115"/>
      <c r="S459" s="115"/>
    </row>
    <row r="460" spans="3:19">
      <c r="C460" s="114"/>
      <c r="D460" s="114"/>
      <c r="E460" s="114"/>
      <c r="F460" s="114"/>
      <c r="G460" s="114"/>
      <c r="H460" s="114"/>
      <c r="I460" s="114"/>
      <c r="R460" s="115"/>
      <c r="S460" s="115"/>
    </row>
    <row r="461" spans="3:19">
      <c r="C461" s="114"/>
      <c r="D461" s="114"/>
      <c r="E461" s="114"/>
      <c r="F461" s="114"/>
      <c r="G461" s="114"/>
      <c r="H461" s="114"/>
      <c r="I461" s="114"/>
      <c r="R461" s="115"/>
      <c r="S461" s="115"/>
    </row>
    <row r="462" spans="3:19">
      <c r="C462" s="114"/>
      <c r="D462" s="114"/>
      <c r="E462" s="114"/>
      <c r="F462" s="114"/>
      <c r="G462" s="114"/>
      <c r="H462" s="114"/>
      <c r="I462" s="114"/>
      <c r="R462" s="115"/>
      <c r="S462" s="115"/>
    </row>
    <row r="463" spans="3:19">
      <c r="C463" s="114"/>
      <c r="D463" s="114"/>
      <c r="E463" s="114"/>
      <c r="F463" s="114"/>
      <c r="G463" s="114"/>
      <c r="H463" s="114"/>
      <c r="I463" s="114"/>
      <c r="R463" s="115"/>
      <c r="S463" s="115"/>
    </row>
    <row r="464" spans="3:19">
      <c r="C464" s="114"/>
      <c r="D464" s="114"/>
      <c r="E464" s="114"/>
      <c r="F464" s="114"/>
      <c r="G464" s="114"/>
      <c r="H464" s="114"/>
      <c r="I464" s="114"/>
      <c r="R464" s="115"/>
      <c r="S464" s="115"/>
    </row>
    <row r="465" spans="3:19">
      <c r="C465" s="114"/>
      <c r="D465" s="114"/>
      <c r="E465" s="114"/>
      <c r="F465" s="114"/>
      <c r="G465" s="114"/>
      <c r="H465" s="114"/>
      <c r="I465" s="114"/>
      <c r="R465" s="115"/>
      <c r="S465" s="115"/>
    </row>
    <row r="466" spans="3:19">
      <c r="C466" s="114"/>
      <c r="D466" s="114"/>
      <c r="E466" s="114"/>
      <c r="F466" s="114"/>
      <c r="G466" s="114"/>
      <c r="H466" s="114"/>
      <c r="I466" s="114"/>
      <c r="R466" s="115"/>
      <c r="S466" s="115"/>
    </row>
    <row r="467" spans="3:19">
      <c r="C467" s="114"/>
      <c r="D467" s="114"/>
      <c r="E467" s="114"/>
      <c r="F467" s="114"/>
      <c r="G467" s="114"/>
      <c r="H467" s="114"/>
      <c r="I467" s="114"/>
      <c r="R467" s="115"/>
      <c r="S467" s="115"/>
    </row>
    <row r="468" spans="3:19">
      <c r="C468" s="114"/>
      <c r="D468" s="114"/>
      <c r="E468" s="114"/>
      <c r="F468" s="114"/>
      <c r="G468" s="114"/>
      <c r="H468" s="114"/>
      <c r="I468" s="114"/>
      <c r="R468" s="115"/>
      <c r="S468" s="115"/>
    </row>
    <row r="469" spans="3:19">
      <c r="C469" s="114"/>
      <c r="D469" s="114"/>
      <c r="E469" s="114"/>
      <c r="F469" s="114"/>
      <c r="G469" s="114"/>
      <c r="H469" s="114"/>
      <c r="I469" s="114"/>
      <c r="R469" s="115"/>
      <c r="S469" s="115"/>
    </row>
    <row r="470" spans="3:19">
      <c r="C470" s="114"/>
      <c r="D470" s="114"/>
      <c r="E470" s="114"/>
      <c r="F470" s="114"/>
      <c r="G470" s="114"/>
      <c r="H470" s="114"/>
      <c r="I470" s="114"/>
      <c r="R470" s="115"/>
      <c r="S470" s="115"/>
    </row>
    <row r="471" spans="3:19">
      <c r="C471" s="114"/>
      <c r="D471" s="114"/>
      <c r="E471" s="114"/>
      <c r="F471" s="114"/>
      <c r="G471" s="114"/>
      <c r="H471" s="114"/>
      <c r="I471" s="114"/>
      <c r="R471" s="115"/>
      <c r="S471" s="115"/>
    </row>
    <row r="472" spans="3:19">
      <c r="C472" s="114"/>
      <c r="D472" s="114"/>
      <c r="E472" s="114"/>
      <c r="F472" s="114"/>
      <c r="G472" s="114"/>
      <c r="H472" s="114"/>
      <c r="I472" s="114"/>
      <c r="R472" s="115"/>
      <c r="S472" s="115"/>
    </row>
    <row r="473" spans="3:19">
      <c r="C473" s="114"/>
      <c r="D473" s="114"/>
      <c r="E473" s="114"/>
      <c r="F473" s="114"/>
      <c r="G473" s="114"/>
      <c r="H473" s="114"/>
      <c r="I473" s="114"/>
      <c r="R473" s="115"/>
      <c r="S473" s="115"/>
    </row>
    <row r="474" spans="3:19">
      <c r="C474" s="114"/>
      <c r="D474" s="114"/>
      <c r="E474" s="114"/>
      <c r="F474" s="114"/>
      <c r="G474" s="114"/>
      <c r="H474" s="114"/>
      <c r="I474" s="114"/>
      <c r="R474" s="115"/>
      <c r="S474" s="115"/>
    </row>
    <row r="475" spans="3:19">
      <c r="C475" s="114"/>
      <c r="D475" s="114"/>
      <c r="E475" s="114"/>
      <c r="F475" s="114"/>
      <c r="G475" s="114"/>
      <c r="H475" s="114"/>
      <c r="I475" s="114"/>
      <c r="R475" s="115"/>
      <c r="S475" s="115"/>
    </row>
    <row r="476" spans="3:19">
      <c r="C476" s="114"/>
      <c r="D476" s="114"/>
      <c r="E476" s="114"/>
      <c r="F476" s="114"/>
      <c r="G476" s="114"/>
      <c r="H476" s="114"/>
      <c r="I476" s="114"/>
      <c r="R476" s="115"/>
      <c r="S476" s="115"/>
    </row>
    <row r="477" spans="3:19">
      <c r="C477" s="114"/>
      <c r="D477" s="114"/>
      <c r="E477" s="114"/>
      <c r="F477" s="114"/>
      <c r="G477" s="114"/>
      <c r="H477" s="114"/>
      <c r="I477" s="114"/>
      <c r="R477" s="115"/>
      <c r="S477" s="115"/>
    </row>
    <row r="478" spans="3:19">
      <c r="C478" s="114"/>
      <c r="D478" s="114"/>
      <c r="E478" s="114"/>
      <c r="F478" s="114"/>
      <c r="G478" s="114"/>
      <c r="H478" s="114"/>
      <c r="I478" s="114"/>
      <c r="R478" s="115"/>
      <c r="S478" s="115"/>
    </row>
    <row r="479" spans="3:19">
      <c r="C479" s="114"/>
      <c r="D479" s="114"/>
      <c r="E479" s="114"/>
      <c r="F479" s="114"/>
      <c r="G479" s="114"/>
      <c r="H479" s="114"/>
      <c r="I479" s="114"/>
      <c r="R479" s="115"/>
      <c r="S479" s="115"/>
    </row>
    <row r="480" spans="3:19">
      <c r="C480" s="114"/>
      <c r="D480" s="114"/>
      <c r="E480" s="114"/>
      <c r="F480" s="114"/>
      <c r="G480" s="114"/>
      <c r="H480" s="114"/>
      <c r="I480" s="114"/>
      <c r="R480" s="115"/>
      <c r="S480" s="115"/>
    </row>
    <row r="481" spans="3:19">
      <c r="C481" s="114"/>
      <c r="D481" s="114"/>
      <c r="E481" s="114"/>
      <c r="F481" s="114"/>
      <c r="G481" s="114"/>
      <c r="H481" s="114"/>
      <c r="I481" s="114"/>
      <c r="R481" s="115"/>
      <c r="S481" s="115"/>
    </row>
    <row r="482" spans="3:19">
      <c r="C482" s="114"/>
      <c r="D482" s="114"/>
      <c r="E482" s="114"/>
      <c r="F482" s="114"/>
      <c r="G482" s="114"/>
      <c r="H482" s="114"/>
      <c r="I482" s="114"/>
      <c r="R482" s="115"/>
      <c r="S482" s="115"/>
    </row>
    <row r="483" spans="3:19">
      <c r="C483" s="114"/>
      <c r="D483" s="114"/>
      <c r="E483" s="114"/>
      <c r="F483" s="114"/>
      <c r="G483" s="114"/>
      <c r="H483" s="114"/>
      <c r="I483" s="114"/>
      <c r="R483" s="115"/>
      <c r="S483" s="115"/>
    </row>
    <row r="484" spans="3:19">
      <c r="C484" s="114"/>
      <c r="D484" s="114"/>
      <c r="E484" s="114"/>
      <c r="F484" s="114"/>
      <c r="G484" s="114"/>
      <c r="H484" s="114"/>
      <c r="I484" s="114"/>
      <c r="R484" s="115"/>
      <c r="S484" s="115"/>
    </row>
    <row r="485" spans="3:19">
      <c r="C485" s="114"/>
      <c r="D485" s="114"/>
      <c r="E485" s="114"/>
      <c r="F485" s="114"/>
      <c r="G485" s="114"/>
      <c r="H485" s="114"/>
      <c r="I485" s="114"/>
      <c r="R485" s="115"/>
      <c r="S485" s="115"/>
    </row>
    <row r="486" spans="3:19">
      <c r="C486" s="114"/>
      <c r="D486" s="114"/>
      <c r="E486" s="114"/>
      <c r="F486" s="114"/>
      <c r="G486" s="114"/>
      <c r="H486" s="114"/>
      <c r="I486" s="114"/>
      <c r="R486" s="115"/>
      <c r="S486" s="115"/>
    </row>
    <row r="487" spans="3:19">
      <c r="C487" s="114"/>
      <c r="D487" s="114"/>
      <c r="E487" s="114"/>
      <c r="F487" s="114"/>
      <c r="G487" s="114"/>
      <c r="H487" s="114"/>
      <c r="I487" s="114"/>
      <c r="R487" s="115"/>
      <c r="S487" s="115"/>
    </row>
    <row r="488" spans="3:19">
      <c r="C488" s="114"/>
      <c r="D488" s="114"/>
      <c r="E488" s="114"/>
      <c r="F488" s="114"/>
      <c r="G488" s="114"/>
      <c r="H488" s="114"/>
      <c r="I488" s="114"/>
      <c r="R488" s="115"/>
      <c r="S488" s="115"/>
    </row>
    <row r="489" spans="3:19">
      <c r="C489" s="114"/>
      <c r="D489" s="114"/>
      <c r="E489" s="114"/>
      <c r="F489" s="114"/>
      <c r="G489" s="114"/>
      <c r="H489" s="114"/>
      <c r="I489" s="114"/>
      <c r="R489" s="115"/>
      <c r="S489" s="115"/>
    </row>
    <row r="490" spans="3:19">
      <c r="C490" s="114"/>
      <c r="D490" s="114"/>
      <c r="E490" s="114"/>
      <c r="F490" s="114"/>
      <c r="G490" s="114"/>
      <c r="H490" s="114"/>
      <c r="I490" s="114"/>
      <c r="R490" s="115"/>
      <c r="S490" s="115"/>
    </row>
    <row r="491" spans="3:19">
      <c r="C491" s="114"/>
      <c r="D491" s="114"/>
      <c r="E491" s="114"/>
      <c r="F491" s="114"/>
      <c r="G491" s="114"/>
      <c r="H491" s="114"/>
      <c r="I491" s="114"/>
      <c r="R491" s="115"/>
      <c r="S491" s="115"/>
    </row>
    <row r="492" spans="3:19">
      <c r="C492" s="114"/>
      <c r="D492" s="114"/>
      <c r="E492" s="114"/>
      <c r="F492" s="114"/>
      <c r="G492" s="114"/>
      <c r="H492" s="114"/>
      <c r="I492" s="114"/>
      <c r="R492" s="115"/>
      <c r="S492" s="115"/>
    </row>
    <row r="493" spans="3:19">
      <c r="C493" s="114"/>
      <c r="D493" s="114"/>
      <c r="E493" s="114"/>
      <c r="F493" s="114"/>
      <c r="G493" s="114"/>
      <c r="H493" s="114"/>
      <c r="I493" s="114"/>
      <c r="R493" s="115"/>
      <c r="S493" s="115"/>
    </row>
    <row r="494" spans="3:19">
      <c r="C494" s="114"/>
      <c r="D494" s="114"/>
      <c r="E494" s="114"/>
      <c r="F494" s="114"/>
      <c r="G494" s="114"/>
      <c r="H494" s="114"/>
      <c r="I494" s="114"/>
      <c r="R494" s="115"/>
      <c r="S494" s="115"/>
    </row>
    <row r="495" spans="3:19">
      <c r="C495" s="114"/>
      <c r="D495" s="114"/>
      <c r="E495" s="114"/>
      <c r="F495" s="114"/>
      <c r="G495" s="114"/>
      <c r="H495" s="114"/>
      <c r="I495" s="114"/>
      <c r="R495" s="115"/>
      <c r="S495" s="115"/>
    </row>
    <row r="496" spans="3:19">
      <c r="C496" s="114"/>
      <c r="D496" s="114"/>
      <c r="E496" s="114"/>
      <c r="F496" s="114"/>
      <c r="G496" s="114"/>
      <c r="H496" s="114"/>
      <c r="I496" s="114"/>
      <c r="R496" s="115"/>
      <c r="S496" s="115"/>
    </row>
    <row r="497" spans="3:19">
      <c r="C497" s="114"/>
      <c r="D497" s="114"/>
      <c r="E497" s="114"/>
      <c r="F497" s="114"/>
      <c r="G497" s="114"/>
      <c r="H497" s="114"/>
      <c r="I497" s="114"/>
      <c r="R497" s="115"/>
      <c r="S497" s="115"/>
    </row>
    <row r="498" spans="3:19">
      <c r="C498" s="114"/>
      <c r="D498" s="114"/>
      <c r="E498" s="114"/>
      <c r="F498" s="114"/>
      <c r="G498" s="114"/>
      <c r="H498" s="114"/>
      <c r="I498" s="114"/>
      <c r="R498" s="115"/>
      <c r="S498" s="115"/>
    </row>
    <row r="499" spans="3:19">
      <c r="C499" s="114"/>
      <c r="D499" s="114"/>
      <c r="E499" s="114"/>
      <c r="F499" s="114"/>
      <c r="G499" s="114"/>
      <c r="H499" s="114"/>
      <c r="I499" s="114"/>
      <c r="R499" s="115"/>
      <c r="S499" s="115"/>
    </row>
    <row r="500" spans="3:19">
      <c r="C500" s="114"/>
      <c r="D500" s="114"/>
      <c r="E500" s="114"/>
      <c r="F500" s="114"/>
      <c r="G500" s="114"/>
      <c r="H500" s="114"/>
      <c r="I500" s="114"/>
      <c r="R500" s="115"/>
      <c r="S500" s="115"/>
    </row>
    <row r="501" spans="3:19">
      <c r="C501" s="114"/>
      <c r="D501" s="114"/>
      <c r="E501" s="114"/>
      <c r="F501" s="114"/>
      <c r="G501" s="114"/>
      <c r="H501" s="114"/>
      <c r="I501" s="114"/>
      <c r="R501" s="115"/>
      <c r="S501" s="115"/>
    </row>
    <row r="502" spans="3:19">
      <c r="C502" s="114"/>
      <c r="D502" s="114"/>
      <c r="E502" s="114"/>
      <c r="F502" s="114"/>
      <c r="G502" s="114"/>
      <c r="H502" s="114"/>
      <c r="I502" s="114"/>
      <c r="R502" s="115"/>
      <c r="S502" s="115"/>
    </row>
    <row r="503" spans="3:19">
      <c r="C503" s="114"/>
      <c r="D503" s="114"/>
      <c r="E503" s="114"/>
      <c r="F503" s="114"/>
      <c r="G503" s="114"/>
      <c r="H503" s="114"/>
      <c r="I503" s="114"/>
      <c r="R503" s="115"/>
      <c r="S503" s="115"/>
    </row>
    <row r="504" spans="3:19">
      <c r="C504" s="114"/>
      <c r="D504" s="114"/>
      <c r="E504" s="114"/>
      <c r="F504" s="114"/>
      <c r="G504" s="114"/>
      <c r="H504" s="114"/>
      <c r="I504" s="114"/>
      <c r="R504" s="115"/>
      <c r="S504" s="115"/>
    </row>
    <row r="505" spans="3:19">
      <c r="C505" s="114"/>
      <c r="D505" s="114"/>
      <c r="E505" s="114"/>
      <c r="F505" s="114"/>
      <c r="G505" s="114"/>
      <c r="H505" s="114"/>
      <c r="I505" s="114"/>
      <c r="R505" s="115"/>
      <c r="S505" s="115"/>
    </row>
    <row r="506" spans="3:19">
      <c r="C506" s="114"/>
      <c r="D506" s="114"/>
      <c r="E506" s="114"/>
      <c r="F506" s="114"/>
      <c r="G506" s="114"/>
      <c r="H506" s="114"/>
      <c r="I506" s="114"/>
      <c r="R506" s="115"/>
      <c r="S506" s="115"/>
    </row>
    <row r="507" spans="3:19">
      <c r="C507" s="114"/>
      <c r="D507" s="114"/>
      <c r="E507" s="114"/>
      <c r="F507" s="114"/>
      <c r="G507" s="114"/>
      <c r="H507" s="114"/>
      <c r="I507" s="114"/>
      <c r="R507" s="115"/>
      <c r="S507" s="115"/>
    </row>
    <row r="508" spans="3:19">
      <c r="C508" s="114"/>
      <c r="D508" s="114"/>
      <c r="E508" s="114"/>
      <c r="F508" s="114"/>
      <c r="G508" s="114"/>
      <c r="H508" s="114"/>
      <c r="I508" s="114"/>
      <c r="R508" s="115"/>
      <c r="S508" s="115"/>
    </row>
    <row r="509" spans="3:19">
      <c r="C509" s="114"/>
      <c r="D509" s="114"/>
      <c r="E509" s="114"/>
      <c r="F509" s="114"/>
      <c r="G509" s="114"/>
      <c r="H509" s="114"/>
      <c r="I509" s="114"/>
      <c r="R509" s="115"/>
      <c r="S509" s="115"/>
    </row>
    <row r="510" spans="3:19">
      <c r="C510" s="114"/>
      <c r="D510" s="114"/>
      <c r="E510" s="114"/>
      <c r="F510" s="114"/>
      <c r="G510" s="114"/>
      <c r="H510" s="114"/>
      <c r="I510" s="114"/>
      <c r="R510" s="115"/>
      <c r="S510" s="115"/>
    </row>
    <row r="511" spans="3:19">
      <c r="C511" s="114"/>
      <c r="D511" s="114"/>
      <c r="E511" s="114"/>
      <c r="F511" s="114"/>
      <c r="G511" s="114"/>
      <c r="H511" s="114"/>
      <c r="I511" s="114"/>
      <c r="R511" s="115"/>
      <c r="S511" s="115"/>
    </row>
    <row r="512" spans="3:19">
      <c r="C512" s="114"/>
      <c r="D512" s="114"/>
      <c r="E512" s="114"/>
      <c r="F512" s="114"/>
      <c r="G512" s="114"/>
      <c r="H512" s="114"/>
      <c r="I512" s="114"/>
      <c r="R512" s="115"/>
      <c r="S512" s="115"/>
    </row>
    <row r="513" spans="3:19">
      <c r="C513" s="114"/>
      <c r="D513" s="114"/>
      <c r="E513" s="114"/>
      <c r="F513" s="114"/>
      <c r="G513" s="114"/>
      <c r="H513" s="114"/>
      <c r="I513" s="114"/>
      <c r="R513" s="115"/>
      <c r="S513" s="115"/>
    </row>
    <row r="514" spans="3:19">
      <c r="C514" s="114"/>
      <c r="D514" s="114"/>
      <c r="E514" s="114"/>
      <c r="F514" s="114"/>
      <c r="G514" s="114"/>
      <c r="H514" s="114"/>
      <c r="I514" s="114"/>
      <c r="R514" s="115"/>
      <c r="S514" s="115"/>
    </row>
    <row r="515" spans="3:19">
      <c r="C515" s="114"/>
      <c r="D515" s="114"/>
      <c r="E515" s="114"/>
      <c r="F515" s="114"/>
      <c r="G515" s="114"/>
      <c r="H515" s="114"/>
      <c r="I515" s="114"/>
      <c r="R515" s="115"/>
      <c r="S515" s="115"/>
    </row>
    <row r="516" spans="3:19">
      <c r="C516" s="114"/>
      <c r="D516" s="114"/>
      <c r="E516" s="114"/>
      <c r="F516" s="114"/>
      <c r="G516" s="114"/>
      <c r="H516" s="114"/>
      <c r="I516" s="114"/>
      <c r="R516" s="115"/>
      <c r="S516" s="115"/>
    </row>
    <row r="517" spans="3:19">
      <c r="C517" s="114"/>
      <c r="D517" s="114"/>
      <c r="E517" s="114"/>
      <c r="F517" s="114"/>
      <c r="G517" s="114"/>
      <c r="H517" s="114"/>
      <c r="I517" s="114"/>
      <c r="R517" s="115"/>
      <c r="S517" s="115"/>
    </row>
    <row r="518" spans="3:19">
      <c r="C518" s="114"/>
      <c r="D518" s="114"/>
      <c r="E518" s="114"/>
      <c r="F518" s="114"/>
      <c r="G518" s="114"/>
      <c r="H518" s="114"/>
      <c r="I518" s="114"/>
      <c r="R518" s="115"/>
      <c r="S518" s="115"/>
    </row>
    <row r="519" spans="3:19">
      <c r="C519" s="114"/>
      <c r="D519" s="114"/>
      <c r="E519" s="114"/>
      <c r="F519" s="114"/>
      <c r="G519" s="114"/>
      <c r="H519" s="114"/>
      <c r="I519" s="114"/>
      <c r="R519" s="115"/>
      <c r="S519" s="115"/>
    </row>
    <row r="520" spans="3:19">
      <c r="C520" s="114"/>
      <c r="D520" s="114"/>
      <c r="E520" s="114"/>
      <c r="F520" s="114"/>
      <c r="G520" s="114"/>
      <c r="H520" s="114"/>
      <c r="I520" s="114"/>
      <c r="R520" s="115"/>
      <c r="S520" s="115"/>
    </row>
    <row r="521" spans="3:19">
      <c r="C521" s="114"/>
      <c r="D521" s="114"/>
      <c r="E521" s="114"/>
      <c r="F521" s="114"/>
      <c r="G521" s="114"/>
      <c r="H521" s="114"/>
      <c r="I521" s="114"/>
      <c r="R521" s="115"/>
      <c r="S521" s="115"/>
    </row>
    <row r="522" spans="3:19">
      <c r="C522" s="114"/>
      <c r="D522" s="114"/>
      <c r="E522" s="114"/>
      <c r="F522" s="114"/>
      <c r="G522" s="114"/>
      <c r="H522" s="114"/>
      <c r="I522" s="114"/>
      <c r="R522" s="115"/>
      <c r="S522" s="115"/>
    </row>
    <row r="523" spans="3:19">
      <c r="C523" s="114"/>
      <c r="D523" s="114"/>
      <c r="E523" s="114"/>
      <c r="F523" s="114"/>
      <c r="G523" s="114"/>
      <c r="H523" s="114"/>
      <c r="I523" s="114"/>
      <c r="R523" s="115"/>
      <c r="S523" s="115"/>
    </row>
    <row r="524" spans="3:19">
      <c r="C524" s="114"/>
      <c r="D524" s="114"/>
      <c r="E524" s="114"/>
      <c r="F524" s="114"/>
      <c r="G524" s="114"/>
      <c r="H524" s="114"/>
      <c r="I524" s="114"/>
      <c r="R524" s="115"/>
      <c r="S524" s="115"/>
    </row>
    <row r="525" spans="3:19">
      <c r="C525" s="114"/>
      <c r="D525" s="114"/>
      <c r="E525" s="114"/>
      <c r="F525" s="114"/>
      <c r="G525" s="114"/>
      <c r="H525" s="114"/>
      <c r="I525" s="114"/>
      <c r="R525" s="115"/>
      <c r="S525" s="115"/>
    </row>
    <row r="526" spans="3:19">
      <c r="C526" s="114"/>
      <c r="D526" s="114"/>
      <c r="E526" s="114"/>
      <c r="F526" s="114"/>
      <c r="G526" s="114"/>
      <c r="H526" s="114"/>
      <c r="I526" s="114"/>
      <c r="R526" s="115"/>
      <c r="S526" s="115"/>
    </row>
    <row r="527" spans="3:19">
      <c r="C527" s="114"/>
      <c r="D527" s="114"/>
      <c r="E527" s="114"/>
      <c r="F527" s="114"/>
      <c r="G527" s="114"/>
      <c r="H527" s="114"/>
      <c r="I527" s="114"/>
      <c r="R527" s="115"/>
      <c r="S527" s="115"/>
    </row>
    <row r="528" spans="3:19">
      <c r="C528" s="114"/>
      <c r="D528" s="114"/>
      <c r="E528" s="114"/>
      <c r="F528" s="114"/>
      <c r="G528" s="114"/>
      <c r="H528" s="114"/>
      <c r="I528" s="114"/>
      <c r="R528" s="115"/>
      <c r="S528" s="115"/>
    </row>
    <row r="529" spans="3:19">
      <c r="C529" s="114"/>
      <c r="D529" s="114"/>
      <c r="E529" s="114"/>
      <c r="F529" s="114"/>
      <c r="G529" s="114"/>
      <c r="H529" s="114"/>
      <c r="I529" s="114"/>
      <c r="R529" s="115"/>
      <c r="S529" s="115"/>
    </row>
    <row r="530" spans="3:19">
      <c r="C530" s="114"/>
      <c r="D530" s="114"/>
      <c r="E530" s="114"/>
      <c r="F530" s="114"/>
      <c r="G530" s="114"/>
      <c r="H530" s="114"/>
      <c r="I530" s="114"/>
      <c r="R530" s="115"/>
      <c r="S530" s="115"/>
    </row>
    <row r="531" spans="3:19">
      <c r="C531" s="114"/>
      <c r="D531" s="114"/>
      <c r="E531" s="114"/>
      <c r="F531" s="114"/>
      <c r="G531" s="114"/>
      <c r="H531" s="114"/>
      <c r="I531" s="114"/>
      <c r="R531" s="115"/>
      <c r="S531" s="115"/>
    </row>
    <row r="532" spans="3:19">
      <c r="C532" s="114"/>
      <c r="D532" s="114"/>
      <c r="E532" s="114"/>
      <c r="F532" s="114"/>
      <c r="G532" s="114"/>
      <c r="H532" s="114"/>
      <c r="I532" s="114"/>
      <c r="R532" s="115"/>
      <c r="S532" s="115"/>
    </row>
    <row r="533" spans="3:19">
      <c r="C533" s="114"/>
      <c r="D533" s="114"/>
      <c r="E533" s="114"/>
      <c r="F533" s="114"/>
      <c r="G533" s="114"/>
      <c r="H533" s="114"/>
      <c r="I533" s="114"/>
      <c r="R533" s="115"/>
      <c r="S533" s="115"/>
    </row>
    <row r="534" spans="3:19">
      <c r="C534" s="114"/>
      <c r="D534" s="114"/>
      <c r="E534" s="114"/>
      <c r="F534" s="114"/>
      <c r="G534" s="114"/>
      <c r="H534" s="114"/>
      <c r="I534" s="114"/>
      <c r="R534" s="115"/>
      <c r="S534" s="115"/>
    </row>
    <row r="535" spans="3:19">
      <c r="C535" s="114"/>
      <c r="D535" s="114"/>
      <c r="E535" s="114"/>
      <c r="F535" s="114"/>
      <c r="G535" s="114"/>
      <c r="H535" s="114"/>
      <c r="I535" s="114"/>
      <c r="R535" s="115"/>
      <c r="S535" s="115"/>
    </row>
    <row r="536" spans="3:19">
      <c r="C536" s="114"/>
      <c r="D536" s="114"/>
      <c r="E536" s="114"/>
      <c r="F536" s="114"/>
      <c r="G536" s="114"/>
      <c r="H536" s="114"/>
      <c r="I536" s="114"/>
      <c r="R536" s="115"/>
      <c r="S536" s="115"/>
    </row>
    <row r="537" spans="3:19">
      <c r="C537" s="114"/>
      <c r="D537" s="114"/>
      <c r="E537" s="114"/>
      <c r="F537" s="114"/>
      <c r="G537" s="114"/>
      <c r="H537" s="114"/>
      <c r="I537" s="114"/>
      <c r="R537" s="115"/>
      <c r="S537" s="115"/>
    </row>
    <row r="538" spans="3:19">
      <c r="C538" s="114"/>
      <c r="D538" s="114"/>
      <c r="E538" s="114"/>
      <c r="F538" s="114"/>
      <c r="G538" s="114"/>
      <c r="H538" s="114"/>
      <c r="I538" s="114"/>
      <c r="R538" s="115"/>
      <c r="S538" s="115"/>
    </row>
    <row r="539" spans="3:19">
      <c r="C539" s="114"/>
      <c r="D539" s="114"/>
      <c r="E539" s="114"/>
      <c r="F539" s="114"/>
      <c r="G539" s="114"/>
      <c r="H539" s="114"/>
      <c r="I539" s="114"/>
      <c r="R539" s="115"/>
      <c r="S539" s="115"/>
    </row>
    <row r="540" spans="3:19">
      <c r="C540" s="114"/>
      <c r="D540" s="114"/>
      <c r="E540" s="114"/>
      <c r="F540" s="114"/>
      <c r="G540" s="114"/>
      <c r="H540" s="114"/>
      <c r="I540" s="114"/>
      <c r="R540" s="115"/>
      <c r="S540" s="115"/>
    </row>
    <row r="541" spans="3:19">
      <c r="C541" s="114"/>
      <c r="D541" s="114"/>
      <c r="E541" s="114"/>
      <c r="F541" s="114"/>
      <c r="G541" s="114"/>
      <c r="H541" s="114"/>
      <c r="I541" s="114"/>
      <c r="R541" s="115"/>
      <c r="S541" s="115"/>
    </row>
    <row r="542" spans="3:19">
      <c r="C542" s="114"/>
      <c r="D542" s="114"/>
      <c r="E542" s="114"/>
      <c r="F542" s="114"/>
      <c r="G542" s="114"/>
      <c r="H542" s="114"/>
      <c r="I542" s="114"/>
      <c r="R542" s="115"/>
      <c r="S542" s="115"/>
    </row>
    <row r="543" spans="3:19">
      <c r="C543" s="114"/>
      <c r="D543" s="114"/>
      <c r="E543" s="114"/>
      <c r="F543" s="114"/>
      <c r="G543" s="114"/>
      <c r="H543" s="114"/>
      <c r="I543" s="114"/>
      <c r="R543" s="115"/>
      <c r="S543" s="115"/>
    </row>
    <row r="544" spans="3:19">
      <c r="C544" s="114"/>
      <c r="D544" s="114"/>
      <c r="E544" s="114"/>
      <c r="F544" s="114"/>
      <c r="G544" s="114"/>
      <c r="H544" s="114"/>
      <c r="I544" s="114"/>
      <c r="R544" s="115"/>
      <c r="S544" s="115"/>
    </row>
    <row r="545" spans="3:19">
      <c r="C545" s="114"/>
      <c r="D545" s="114"/>
      <c r="E545" s="114"/>
      <c r="F545" s="114"/>
      <c r="G545" s="114"/>
      <c r="H545" s="114"/>
      <c r="I545" s="114"/>
      <c r="R545" s="115"/>
      <c r="S545" s="115"/>
    </row>
    <row r="546" spans="3:19">
      <c r="C546" s="114"/>
      <c r="D546" s="114"/>
      <c r="E546" s="114"/>
      <c r="F546" s="114"/>
      <c r="G546" s="114"/>
      <c r="H546" s="114"/>
      <c r="I546" s="114"/>
      <c r="R546" s="115"/>
      <c r="S546" s="115"/>
    </row>
    <row r="547" spans="3:19">
      <c r="C547" s="114"/>
      <c r="D547" s="114"/>
      <c r="E547" s="114"/>
      <c r="F547" s="114"/>
      <c r="G547" s="114"/>
      <c r="H547" s="114"/>
      <c r="I547" s="114"/>
      <c r="R547" s="115"/>
      <c r="S547" s="115"/>
    </row>
    <row r="548" spans="3:19">
      <c r="C548" s="114"/>
      <c r="D548" s="114"/>
      <c r="E548" s="114"/>
      <c r="F548" s="114"/>
      <c r="G548" s="114"/>
      <c r="H548" s="114"/>
      <c r="I548" s="114"/>
      <c r="R548" s="115"/>
      <c r="S548" s="115"/>
    </row>
    <row r="549" spans="3:19">
      <c r="C549" s="114"/>
      <c r="D549" s="114"/>
      <c r="E549" s="114"/>
      <c r="F549" s="114"/>
      <c r="G549" s="114"/>
      <c r="H549" s="114"/>
      <c r="I549" s="114"/>
      <c r="R549" s="115"/>
      <c r="S549" s="115"/>
    </row>
    <row r="550" spans="3:19">
      <c r="C550" s="114"/>
      <c r="D550" s="114"/>
      <c r="E550" s="114"/>
      <c r="F550" s="114"/>
      <c r="G550" s="114"/>
      <c r="H550" s="114"/>
      <c r="I550" s="114"/>
      <c r="R550" s="115"/>
      <c r="S550" s="115"/>
    </row>
    <row r="551" spans="3:19">
      <c r="C551" s="114"/>
      <c r="D551" s="114"/>
      <c r="E551" s="114"/>
      <c r="F551" s="114"/>
      <c r="G551" s="114"/>
      <c r="H551" s="114"/>
      <c r="I551" s="114"/>
      <c r="R551" s="115"/>
      <c r="S551" s="115"/>
    </row>
    <row r="552" spans="3:19">
      <c r="C552" s="114"/>
      <c r="D552" s="114"/>
      <c r="E552" s="114"/>
      <c r="F552" s="114"/>
      <c r="G552" s="114"/>
      <c r="H552" s="114"/>
      <c r="I552" s="114"/>
      <c r="R552" s="115"/>
      <c r="S552" s="115"/>
    </row>
    <row r="553" spans="3:19">
      <c r="C553" s="114"/>
      <c r="D553" s="114"/>
      <c r="E553" s="114"/>
      <c r="F553" s="114"/>
      <c r="G553" s="114"/>
      <c r="H553" s="114"/>
      <c r="I553" s="114"/>
      <c r="R553" s="115"/>
      <c r="S553" s="115"/>
    </row>
    <row r="554" spans="3:19">
      <c r="C554" s="114"/>
      <c r="D554" s="114"/>
      <c r="E554" s="114"/>
      <c r="F554" s="114"/>
      <c r="G554" s="114"/>
      <c r="H554" s="114"/>
      <c r="I554" s="114"/>
      <c r="R554" s="115"/>
      <c r="S554" s="115"/>
    </row>
    <row r="555" spans="3:19">
      <c r="C555" s="114"/>
      <c r="D555" s="114"/>
      <c r="E555" s="114"/>
      <c r="F555" s="114"/>
      <c r="G555" s="114"/>
      <c r="H555" s="114"/>
      <c r="I555" s="114"/>
      <c r="R555" s="115"/>
      <c r="S555" s="115"/>
    </row>
    <row r="556" spans="3:19">
      <c r="C556" s="114"/>
      <c r="D556" s="114"/>
      <c r="E556" s="114"/>
      <c r="F556" s="114"/>
      <c r="G556" s="114"/>
      <c r="H556" s="114"/>
      <c r="I556" s="114"/>
      <c r="R556" s="115"/>
      <c r="S556" s="115"/>
    </row>
    <row r="557" spans="3:19">
      <c r="C557" s="114"/>
      <c r="D557" s="114"/>
      <c r="E557" s="114"/>
      <c r="F557" s="114"/>
      <c r="G557" s="114"/>
      <c r="H557" s="114"/>
      <c r="I557" s="114"/>
      <c r="R557" s="115"/>
      <c r="S557" s="115"/>
    </row>
    <row r="558" spans="3:19">
      <c r="C558" s="114"/>
      <c r="D558" s="114"/>
      <c r="E558" s="114"/>
      <c r="F558" s="114"/>
      <c r="G558" s="114"/>
      <c r="H558" s="114"/>
      <c r="I558" s="114"/>
      <c r="R558" s="115"/>
      <c r="S558" s="115"/>
    </row>
    <row r="559" spans="3:19">
      <c r="C559" s="114"/>
      <c r="D559" s="114"/>
      <c r="E559" s="114"/>
      <c r="F559" s="114"/>
      <c r="G559" s="114"/>
      <c r="H559" s="114"/>
      <c r="I559" s="114"/>
      <c r="R559" s="115"/>
      <c r="S559" s="115"/>
    </row>
    <row r="560" spans="3:19">
      <c r="C560" s="114"/>
      <c r="D560" s="114"/>
      <c r="E560" s="114"/>
      <c r="F560" s="114"/>
      <c r="G560" s="114"/>
      <c r="H560" s="114"/>
      <c r="I560" s="114"/>
      <c r="R560" s="115"/>
      <c r="S560" s="115"/>
    </row>
    <row r="561" spans="3:19">
      <c r="C561" s="114"/>
      <c r="D561" s="114"/>
      <c r="E561" s="114"/>
      <c r="F561" s="114"/>
      <c r="G561" s="114"/>
      <c r="H561" s="114"/>
      <c r="I561" s="114"/>
      <c r="R561" s="115"/>
      <c r="S561" s="115"/>
    </row>
    <row r="562" spans="3:19">
      <c r="C562" s="114"/>
      <c r="D562" s="114"/>
      <c r="E562" s="114"/>
      <c r="F562" s="114"/>
      <c r="G562" s="114"/>
      <c r="H562" s="114"/>
      <c r="I562" s="114"/>
      <c r="R562" s="115"/>
      <c r="S562" s="115"/>
    </row>
    <row r="563" spans="3:19">
      <c r="C563" s="114"/>
      <c r="D563" s="114"/>
      <c r="E563" s="114"/>
      <c r="F563" s="114"/>
      <c r="G563" s="114"/>
      <c r="H563" s="114"/>
      <c r="I563" s="114"/>
      <c r="R563" s="115"/>
      <c r="S563" s="115"/>
    </row>
    <row r="564" spans="3:19">
      <c r="C564" s="114"/>
      <c r="D564" s="114"/>
      <c r="E564" s="114"/>
      <c r="F564" s="114"/>
      <c r="G564" s="114"/>
      <c r="H564" s="114"/>
      <c r="I564" s="114"/>
      <c r="R564" s="115"/>
      <c r="S564" s="115"/>
    </row>
    <row r="565" spans="3:19">
      <c r="C565" s="114"/>
      <c r="D565" s="114"/>
      <c r="E565" s="114"/>
      <c r="F565" s="114"/>
      <c r="G565" s="114"/>
      <c r="H565" s="114"/>
      <c r="I565" s="114"/>
      <c r="R565" s="115"/>
      <c r="S565" s="115"/>
    </row>
    <row r="566" spans="3:19">
      <c r="C566" s="114"/>
      <c r="D566" s="114"/>
      <c r="E566" s="114"/>
      <c r="F566" s="114"/>
      <c r="G566" s="114"/>
      <c r="H566" s="114"/>
      <c r="I566" s="114"/>
      <c r="R566" s="115"/>
      <c r="S566" s="115"/>
    </row>
    <row r="567" spans="3:19">
      <c r="C567" s="114"/>
      <c r="D567" s="114"/>
      <c r="E567" s="114"/>
      <c r="F567" s="114"/>
      <c r="G567" s="114"/>
      <c r="H567" s="114"/>
      <c r="I567" s="114"/>
      <c r="R567" s="115"/>
      <c r="S567" s="115"/>
    </row>
    <row r="568" spans="3:19">
      <c r="C568" s="114"/>
      <c r="D568" s="114"/>
      <c r="E568" s="114"/>
      <c r="F568" s="114"/>
      <c r="G568" s="114"/>
      <c r="H568" s="114"/>
      <c r="I568" s="114"/>
      <c r="R568" s="115"/>
      <c r="S568" s="115"/>
    </row>
    <row r="569" spans="3:19">
      <c r="C569" s="114"/>
      <c r="D569" s="114"/>
      <c r="E569" s="114"/>
      <c r="F569" s="114"/>
      <c r="G569" s="114"/>
      <c r="H569" s="114"/>
      <c r="I569" s="114"/>
      <c r="R569" s="115"/>
      <c r="S569" s="115"/>
    </row>
    <row r="570" spans="3:19">
      <c r="C570" s="114"/>
      <c r="D570" s="114"/>
      <c r="E570" s="114"/>
      <c r="F570" s="114"/>
      <c r="G570" s="114"/>
      <c r="H570" s="114"/>
      <c r="I570" s="114"/>
      <c r="R570" s="115"/>
      <c r="S570" s="115"/>
    </row>
    <row r="571" spans="3:19">
      <c r="C571" s="114"/>
      <c r="D571" s="114"/>
      <c r="E571" s="114"/>
      <c r="F571" s="114"/>
      <c r="G571" s="114"/>
      <c r="H571" s="114"/>
      <c r="I571" s="114"/>
      <c r="R571" s="115"/>
      <c r="S571" s="115"/>
    </row>
    <row r="572" spans="3:19">
      <c r="C572" s="114"/>
      <c r="D572" s="114"/>
      <c r="E572" s="114"/>
      <c r="F572" s="114"/>
      <c r="G572" s="114"/>
      <c r="H572" s="114"/>
      <c r="I572" s="114"/>
      <c r="R572" s="115"/>
      <c r="S572" s="115"/>
    </row>
    <row r="573" spans="3:19">
      <c r="C573" s="114"/>
      <c r="D573" s="114"/>
      <c r="E573" s="114"/>
      <c r="F573" s="114"/>
      <c r="G573" s="114"/>
      <c r="H573" s="114"/>
      <c r="I573" s="114"/>
      <c r="R573" s="115"/>
      <c r="S573" s="115"/>
    </row>
    <row r="574" spans="3:19">
      <c r="C574" s="114"/>
      <c r="D574" s="114"/>
      <c r="E574" s="114"/>
      <c r="F574" s="114"/>
      <c r="G574" s="114"/>
      <c r="H574" s="114"/>
      <c r="I574" s="114"/>
      <c r="R574" s="115"/>
      <c r="S574" s="115"/>
    </row>
    <row r="575" spans="3:19">
      <c r="C575" s="114"/>
      <c r="D575" s="114"/>
      <c r="E575" s="114"/>
      <c r="F575" s="114"/>
      <c r="G575" s="114"/>
      <c r="H575" s="114"/>
      <c r="I575" s="114"/>
      <c r="R575" s="115"/>
      <c r="S575" s="115"/>
    </row>
    <row r="576" spans="3:19">
      <c r="C576" s="114"/>
      <c r="D576" s="114"/>
      <c r="E576" s="114"/>
      <c r="F576" s="114"/>
      <c r="G576" s="114"/>
      <c r="H576" s="114"/>
      <c r="I576" s="114"/>
      <c r="R576" s="115"/>
      <c r="S576" s="115"/>
    </row>
    <row r="577" spans="3:19">
      <c r="C577" s="114"/>
      <c r="D577" s="114"/>
      <c r="E577" s="114"/>
      <c r="F577" s="114"/>
      <c r="G577" s="114"/>
      <c r="H577" s="114"/>
      <c r="I577" s="114"/>
      <c r="R577" s="115"/>
      <c r="S577" s="115"/>
    </row>
    <row r="578" spans="3:19">
      <c r="C578" s="114"/>
      <c r="D578" s="114"/>
      <c r="E578" s="114"/>
      <c r="F578" s="114"/>
      <c r="G578" s="114"/>
      <c r="H578" s="114"/>
      <c r="I578" s="114"/>
      <c r="R578" s="115"/>
      <c r="S578" s="115"/>
    </row>
    <row r="579" spans="3:19">
      <c r="C579" s="114"/>
      <c r="D579" s="114"/>
      <c r="E579" s="114"/>
      <c r="F579" s="114"/>
      <c r="G579" s="114"/>
      <c r="H579" s="114"/>
      <c r="I579" s="114"/>
      <c r="R579" s="115"/>
      <c r="S579" s="115"/>
    </row>
    <row r="580" spans="3:19">
      <c r="C580" s="114"/>
      <c r="D580" s="114"/>
      <c r="E580" s="114"/>
      <c r="F580" s="114"/>
      <c r="G580" s="114"/>
      <c r="H580" s="114"/>
      <c r="I580" s="114"/>
      <c r="R580" s="115"/>
      <c r="S580" s="115"/>
    </row>
    <row r="581" spans="3:19">
      <c r="C581" s="114"/>
      <c r="D581" s="114"/>
      <c r="E581" s="114"/>
      <c r="F581" s="114"/>
      <c r="G581" s="114"/>
      <c r="H581" s="114"/>
      <c r="I581" s="114"/>
      <c r="R581" s="115"/>
      <c r="S581" s="115"/>
    </row>
    <row r="582" spans="3:19">
      <c r="C582" s="114"/>
      <c r="D582" s="114"/>
      <c r="E582" s="114"/>
      <c r="F582" s="114"/>
      <c r="G582" s="114"/>
      <c r="H582" s="114"/>
      <c r="I582" s="114"/>
      <c r="R582" s="115"/>
      <c r="S582" s="115"/>
    </row>
    <row r="583" spans="3:19">
      <c r="C583" s="114"/>
      <c r="D583" s="114"/>
      <c r="E583" s="114"/>
      <c r="F583" s="114"/>
      <c r="G583" s="114"/>
      <c r="H583" s="114"/>
      <c r="I583" s="114"/>
      <c r="R583" s="115"/>
      <c r="S583" s="115"/>
    </row>
    <row r="584" spans="3:19">
      <c r="C584" s="114"/>
      <c r="D584" s="114"/>
      <c r="E584" s="114"/>
      <c r="F584" s="114"/>
      <c r="G584" s="114"/>
      <c r="H584" s="114"/>
      <c r="I584" s="114"/>
      <c r="R584" s="115"/>
      <c r="S584" s="115"/>
    </row>
    <row r="585" spans="3:19">
      <c r="C585" s="114"/>
      <c r="D585" s="114"/>
      <c r="E585" s="114"/>
      <c r="F585" s="114"/>
      <c r="G585" s="114"/>
      <c r="H585" s="114"/>
      <c r="I585" s="114"/>
      <c r="R585" s="115"/>
      <c r="S585" s="115"/>
    </row>
    <row r="586" spans="3:19">
      <c r="C586" s="114"/>
      <c r="D586" s="114"/>
      <c r="E586" s="114"/>
      <c r="F586" s="114"/>
      <c r="G586" s="114"/>
      <c r="H586" s="114"/>
      <c r="I586" s="114"/>
      <c r="R586" s="115"/>
      <c r="S586" s="115"/>
    </row>
    <row r="587" spans="3:19">
      <c r="C587" s="114"/>
      <c r="D587" s="114"/>
      <c r="E587" s="114"/>
      <c r="F587" s="114"/>
      <c r="G587" s="114"/>
      <c r="H587" s="114"/>
      <c r="I587" s="114"/>
      <c r="R587" s="115"/>
      <c r="S587" s="115"/>
    </row>
    <row r="588" spans="3:19">
      <c r="C588" s="114"/>
      <c r="D588" s="114"/>
      <c r="E588" s="114"/>
      <c r="F588" s="114"/>
      <c r="G588" s="114"/>
      <c r="H588" s="114"/>
      <c r="I588" s="114"/>
      <c r="R588" s="115"/>
      <c r="S588" s="115"/>
    </row>
    <row r="589" spans="3:19">
      <c r="C589" s="114"/>
      <c r="D589" s="114"/>
      <c r="E589" s="114"/>
      <c r="F589" s="114"/>
      <c r="G589" s="114"/>
      <c r="H589" s="114"/>
      <c r="I589" s="114"/>
      <c r="R589" s="115"/>
      <c r="S589" s="115"/>
    </row>
    <row r="590" spans="3:19">
      <c r="C590" s="114"/>
      <c r="D590" s="114"/>
      <c r="E590" s="114"/>
      <c r="F590" s="114"/>
      <c r="G590" s="114"/>
      <c r="H590" s="114"/>
      <c r="I590" s="114"/>
      <c r="R590" s="115"/>
      <c r="S590" s="115"/>
    </row>
    <row r="591" spans="3:19">
      <c r="C591" s="114"/>
      <c r="D591" s="114"/>
      <c r="E591" s="114"/>
      <c r="F591" s="114"/>
      <c r="G591" s="114"/>
      <c r="H591" s="114"/>
      <c r="I591" s="114"/>
      <c r="R591" s="115"/>
      <c r="S591" s="115"/>
    </row>
    <row r="592" spans="3:19">
      <c r="C592" s="114"/>
      <c r="D592" s="114"/>
      <c r="E592" s="114"/>
      <c r="F592" s="114"/>
      <c r="G592" s="114"/>
      <c r="H592" s="114"/>
      <c r="I592" s="114"/>
      <c r="R592" s="115"/>
      <c r="S592" s="115"/>
    </row>
    <row r="593" spans="3:19">
      <c r="C593" s="114"/>
      <c r="D593" s="114"/>
      <c r="E593" s="114"/>
      <c r="F593" s="114"/>
      <c r="G593" s="114"/>
      <c r="H593" s="114"/>
      <c r="I593" s="114"/>
      <c r="R593" s="115"/>
      <c r="S593" s="115"/>
    </row>
    <row r="594" spans="3:19">
      <c r="C594" s="114"/>
      <c r="D594" s="114"/>
      <c r="E594" s="114"/>
      <c r="F594" s="114"/>
      <c r="G594" s="114"/>
      <c r="H594" s="114"/>
      <c r="I594" s="114"/>
      <c r="R594" s="115"/>
      <c r="S594" s="115"/>
    </row>
    <row r="595" spans="3:19">
      <c r="C595" s="114"/>
      <c r="D595" s="114"/>
      <c r="E595" s="114"/>
      <c r="F595" s="114"/>
      <c r="G595" s="114"/>
      <c r="H595" s="114"/>
      <c r="I595" s="114"/>
      <c r="R595" s="115"/>
      <c r="S595" s="115"/>
    </row>
    <row r="596" spans="3:19">
      <c r="C596" s="114"/>
      <c r="D596" s="114"/>
      <c r="E596" s="114"/>
      <c r="F596" s="114"/>
      <c r="G596" s="114"/>
      <c r="H596" s="114"/>
      <c r="I596" s="114"/>
      <c r="R596" s="115"/>
      <c r="S596" s="115"/>
    </row>
    <row r="597" spans="3:19">
      <c r="C597" s="114"/>
      <c r="D597" s="114"/>
      <c r="E597" s="114"/>
      <c r="F597" s="114"/>
      <c r="G597" s="114"/>
      <c r="H597" s="114"/>
      <c r="I597" s="114"/>
      <c r="R597" s="115"/>
      <c r="S597" s="115"/>
    </row>
    <row r="598" spans="3:19">
      <c r="C598" s="114"/>
      <c r="D598" s="114"/>
      <c r="E598" s="114"/>
      <c r="F598" s="114"/>
      <c r="G598" s="114"/>
      <c r="H598" s="114"/>
      <c r="I598" s="114"/>
      <c r="R598" s="115"/>
      <c r="S598" s="115"/>
    </row>
    <row r="599" spans="3:19">
      <c r="C599" s="114"/>
      <c r="D599" s="114"/>
      <c r="E599" s="114"/>
      <c r="F599" s="114"/>
      <c r="G599" s="114"/>
      <c r="H599" s="114"/>
      <c r="I599" s="114"/>
      <c r="R599" s="115"/>
      <c r="S599" s="115"/>
    </row>
    <row r="600" spans="3:19">
      <c r="C600" s="114"/>
      <c r="D600" s="114"/>
      <c r="E600" s="114"/>
      <c r="F600" s="114"/>
      <c r="G600" s="114"/>
      <c r="H600" s="114"/>
      <c r="I600" s="114"/>
      <c r="R600" s="115"/>
      <c r="S600" s="115"/>
    </row>
    <row r="601" spans="3:19">
      <c r="C601" s="114"/>
      <c r="D601" s="114"/>
      <c r="E601" s="114"/>
      <c r="F601" s="114"/>
      <c r="G601" s="114"/>
      <c r="H601" s="114"/>
      <c r="I601" s="114"/>
      <c r="R601" s="115"/>
      <c r="S601" s="115"/>
    </row>
    <row r="602" spans="3:19">
      <c r="C602" s="114"/>
      <c r="D602" s="114"/>
      <c r="E602" s="114"/>
      <c r="F602" s="114"/>
      <c r="G602" s="114"/>
      <c r="H602" s="114"/>
      <c r="I602" s="114"/>
      <c r="R602" s="115"/>
      <c r="S602" s="115"/>
    </row>
    <row r="603" spans="3:19">
      <c r="C603" s="114"/>
      <c r="D603" s="114"/>
      <c r="E603" s="114"/>
      <c r="F603" s="114"/>
      <c r="G603" s="114"/>
      <c r="H603" s="114"/>
      <c r="I603" s="114"/>
      <c r="R603" s="115"/>
      <c r="S603" s="115"/>
    </row>
    <row r="604" spans="3:19">
      <c r="C604" s="114"/>
      <c r="D604" s="114"/>
      <c r="E604" s="114"/>
      <c r="F604" s="114"/>
      <c r="G604" s="114"/>
      <c r="H604" s="114"/>
      <c r="I604" s="114"/>
      <c r="R604" s="115"/>
      <c r="S604" s="115"/>
    </row>
    <row r="605" spans="3:19">
      <c r="C605" s="114"/>
      <c r="D605" s="114"/>
      <c r="E605" s="114"/>
      <c r="F605" s="114"/>
      <c r="G605" s="114"/>
      <c r="H605" s="114"/>
      <c r="I605" s="114"/>
      <c r="R605" s="115"/>
      <c r="S605" s="115"/>
    </row>
    <row r="606" spans="3:19">
      <c r="C606" s="114"/>
      <c r="D606" s="114"/>
      <c r="E606" s="114"/>
      <c r="F606" s="114"/>
      <c r="G606" s="114"/>
      <c r="H606" s="114"/>
      <c r="I606" s="114"/>
      <c r="R606" s="115"/>
      <c r="S606" s="115"/>
    </row>
    <row r="607" spans="3:19">
      <c r="C607" s="114"/>
      <c r="D607" s="114"/>
      <c r="E607" s="114"/>
      <c r="F607" s="114"/>
      <c r="G607" s="114"/>
      <c r="H607" s="114"/>
      <c r="I607" s="114"/>
      <c r="R607" s="115"/>
      <c r="S607" s="115"/>
    </row>
    <row r="608" spans="3:19">
      <c r="C608" s="114"/>
      <c r="D608" s="114"/>
      <c r="E608" s="114"/>
      <c r="F608" s="114"/>
      <c r="G608" s="114"/>
      <c r="H608" s="114"/>
      <c r="I608" s="114"/>
      <c r="R608" s="115"/>
      <c r="S608" s="115"/>
    </row>
    <row r="609" spans="3:19">
      <c r="C609" s="114"/>
      <c r="D609" s="114"/>
      <c r="E609" s="114"/>
      <c r="F609" s="114"/>
      <c r="G609" s="114"/>
      <c r="H609" s="114"/>
      <c r="I609" s="114"/>
      <c r="R609" s="115"/>
      <c r="S609" s="115"/>
    </row>
    <row r="610" spans="3:19">
      <c r="C610" s="114"/>
      <c r="D610" s="114"/>
      <c r="E610" s="114"/>
      <c r="F610" s="114"/>
      <c r="G610" s="114"/>
      <c r="H610" s="114"/>
      <c r="I610" s="114"/>
      <c r="R610" s="115"/>
      <c r="S610" s="115"/>
    </row>
    <row r="611" spans="3:19">
      <c r="C611" s="114"/>
      <c r="D611" s="114"/>
      <c r="E611" s="114"/>
      <c r="F611" s="114"/>
      <c r="G611" s="114"/>
      <c r="H611" s="114"/>
      <c r="I611" s="114"/>
      <c r="R611" s="115"/>
      <c r="S611" s="115"/>
    </row>
    <row r="612" spans="3:19">
      <c r="C612" s="114"/>
      <c r="D612" s="114"/>
      <c r="E612" s="114"/>
      <c r="F612" s="114"/>
      <c r="G612" s="114"/>
      <c r="H612" s="114"/>
      <c r="I612" s="114"/>
      <c r="R612" s="115"/>
      <c r="S612" s="115"/>
    </row>
    <row r="613" spans="3:19">
      <c r="C613" s="114"/>
      <c r="D613" s="114"/>
      <c r="E613" s="114"/>
      <c r="F613" s="114"/>
      <c r="G613" s="114"/>
      <c r="H613" s="114"/>
      <c r="I613" s="114"/>
      <c r="R613" s="115"/>
      <c r="S613" s="115"/>
    </row>
    <row r="614" spans="3:19">
      <c r="C614" s="114"/>
      <c r="D614" s="114"/>
      <c r="E614" s="114"/>
      <c r="F614" s="114"/>
      <c r="G614" s="114"/>
      <c r="H614" s="114"/>
      <c r="I614" s="114"/>
      <c r="R614" s="115"/>
      <c r="S614" s="115"/>
    </row>
    <row r="615" spans="3:19">
      <c r="C615" s="114"/>
      <c r="D615" s="114"/>
      <c r="E615" s="114"/>
      <c r="F615" s="114"/>
      <c r="G615" s="114"/>
      <c r="H615" s="114"/>
      <c r="I615" s="114"/>
      <c r="R615" s="115"/>
      <c r="S615" s="115"/>
    </row>
    <row r="616" spans="3:19">
      <c r="C616" s="114"/>
      <c r="D616" s="114"/>
      <c r="E616" s="114"/>
      <c r="F616" s="114"/>
      <c r="G616" s="114"/>
      <c r="H616" s="114"/>
      <c r="I616" s="114"/>
      <c r="R616" s="115"/>
      <c r="S616" s="115"/>
    </row>
    <row r="617" spans="3:19">
      <c r="C617" s="114"/>
      <c r="D617" s="114"/>
      <c r="E617" s="114"/>
      <c r="F617" s="114"/>
      <c r="G617" s="114"/>
      <c r="H617" s="114"/>
      <c r="I617" s="114"/>
      <c r="R617" s="115"/>
      <c r="S617" s="115"/>
    </row>
    <row r="618" spans="3:19">
      <c r="C618" s="114"/>
      <c r="D618" s="114"/>
      <c r="E618" s="114"/>
      <c r="F618" s="114"/>
      <c r="G618" s="114"/>
      <c r="H618" s="114"/>
      <c r="I618" s="114"/>
      <c r="R618" s="115"/>
      <c r="S618" s="115"/>
    </row>
    <row r="619" spans="3:19">
      <c r="C619" s="114"/>
      <c r="D619" s="114"/>
      <c r="E619" s="114"/>
      <c r="F619" s="114"/>
      <c r="G619" s="114"/>
      <c r="H619" s="114"/>
      <c r="I619" s="114"/>
      <c r="R619" s="115"/>
      <c r="S619" s="115"/>
    </row>
    <row r="620" spans="3:19">
      <c r="C620" s="114"/>
      <c r="D620" s="114"/>
      <c r="E620" s="114"/>
      <c r="F620" s="114"/>
      <c r="G620" s="114"/>
      <c r="H620" s="114"/>
      <c r="I620" s="114"/>
      <c r="R620" s="115"/>
      <c r="S620" s="115"/>
    </row>
    <row r="621" spans="3:19">
      <c r="C621" s="114"/>
      <c r="D621" s="114"/>
      <c r="E621" s="114"/>
      <c r="F621" s="114"/>
      <c r="G621" s="114"/>
      <c r="H621" s="114"/>
      <c r="I621" s="114"/>
      <c r="R621" s="115"/>
      <c r="S621" s="115"/>
    </row>
    <row r="622" spans="3:19">
      <c r="C622" s="114"/>
      <c r="D622" s="114"/>
      <c r="E622" s="114"/>
      <c r="F622" s="114"/>
      <c r="G622" s="114"/>
      <c r="H622" s="114"/>
      <c r="I622" s="114"/>
      <c r="R622" s="115"/>
      <c r="S622" s="115"/>
    </row>
    <row r="623" spans="3:19">
      <c r="C623" s="114"/>
      <c r="D623" s="114"/>
      <c r="E623" s="114"/>
      <c r="F623" s="114"/>
      <c r="G623" s="114"/>
      <c r="H623" s="114"/>
      <c r="I623" s="114"/>
      <c r="R623" s="115"/>
      <c r="S623" s="115"/>
    </row>
    <row r="624" spans="3:19">
      <c r="C624" s="114"/>
      <c r="D624" s="114"/>
      <c r="E624" s="114"/>
      <c r="F624" s="114"/>
      <c r="G624" s="114"/>
      <c r="H624" s="114"/>
      <c r="I624" s="114"/>
      <c r="R624" s="115"/>
      <c r="S624" s="115"/>
    </row>
    <row r="625" spans="3:19">
      <c r="C625" s="114"/>
      <c r="D625" s="114"/>
      <c r="E625" s="114"/>
      <c r="F625" s="114"/>
      <c r="G625" s="114"/>
      <c r="H625" s="114"/>
      <c r="I625" s="114"/>
      <c r="R625" s="115"/>
      <c r="S625" s="115"/>
    </row>
    <row r="626" spans="3:19">
      <c r="C626" s="114"/>
      <c r="D626" s="114"/>
      <c r="E626" s="114"/>
      <c r="F626" s="114"/>
      <c r="G626" s="114"/>
      <c r="H626" s="114"/>
      <c r="I626" s="114"/>
      <c r="R626" s="115"/>
      <c r="S626" s="115"/>
    </row>
    <row r="627" spans="3:19">
      <c r="C627" s="114"/>
      <c r="D627" s="114"/>
      <c r="E627" s="114"/>
      <c r="F627" s="114"/>
      <c r="G627" s="114"/>
      <c r="H627" s="114"/>
      <c r="I627" s="114"/>
      <c r="R627" s="115"/>
      <c r="S627" s="115"/>
    </row>
    <row r="628" spans="3:19">
      <c r="C628" s="114"/>
      <c r="D628" s="114"/>
      <c r="E628" s="114"/>
      <c r="F628" s="114"/>
      <c r="G628" s="114"/>
      <c r="H628" s="114"/>
      <c r="I628" s="114"/>
      <c r="R628" s="115"/>
      <c r="S628" s="115"/>
    </row>
    <row r="629" spans="3:19">
      <c r="C629" s="114"/>
      <c r="D629" s="114"/>
      <c r="E629" s="114"/>
      <c r="F629" s="114"/>
      <c r="G629" s="114"/>
      <c r="H629" s="114"/>
      <c r="I629" s="114"/>
      <c r="R629" s="115"/>
      <c r="S629" s="115"/>
    </row>
    <row r="630" spans="3:19">
      <c r="C630" s="114"/>
      <c r="D630" s="114"/>
      <c r="E630" s="114"/>
      <c r="F630" s="114"/>
      <c r="G630" s="114"/>
      <c r="H630" s="114"/>
      <c r="I630" s="114"/>
      <c r="R630" s="115"/>
      <c r="S630" s="115"/>
    </row>
    <row r="631" spans="3:19">
      <c r="C631" s="114"/>
      <c r="D631" s="114"/>
      <c r="E631" s="114"/>
      <c r="F631" s="114"/>
      <c r="G631" s="114"/>
      <c r="H631" s="114"/>
      <c r="I631" s="114"/>
      <c r="R631" s="115"/>
      <c r="S631" s="115"/>
    </row>
    <row r="632" spans="3:19">
      <c r="C632" s="114"/>
      <c r="D632" s="114"/>
      <c r="E632" s="114"/>
      <c r="F632" s="114"/>
      <c r="G632" s="114"/>
      <c r="H632" s="114"/>
      <c r="I632" s="114"/>
      <c r="R632" s="115"/>
      <c r="S632" s="115"/>
    </row>
    <row r="633" spans="3:19">
      <c r="C633" s="114"/>
      <c r="D633" s="114"/>
      <c r="E633" s="114"/>
      <c r="F633" s="114"/>
      <c r="G633" s="114"/>
      <c r="H633" s="114"/>
      <c r="I633" s="114"/>
      <c r="R633" s="115"/>
      <c r="S633" s="115"/>
    </row>
    <row r="634" spans="3:19">
      <c r="C634" s="114"/>
      <c r="D634" s="114"/>
      <c r="E634" s="114"/>
      <c r="F634" s="114"/>
      <c r="G634" s="114"/>
      <c r="H634" s="114"/>
      <c r="I634" s="114"/>
      <c r="R634" s="115"/>
      <c r="S634" s="115"/>
    </row>
    <row r="635" spans="3:19">
      <c r="C635" s="114"/>
      <c r="D635" s="114"/>
      <c r="E635" s="114"/>
      <c r="F635" s="114"/>
      <c r="G635" s="114"/>
      <c r="H635" s="114"/>
      <c r="I635" s="114"/>
      <c r="R635" s="115"/>
      <c r="S635" s="115"/>
    </row>
    <row r="636" spans="3:19">
      <c r="C636" s="114"/>
      <c r="D636" s="114"/>
      <c r="E636" s="114"/>
      <c r="F636" s="114"/>
      <c r="G636" s="114"/>
      <c r="H636" s="114"/>
      <c r="I636" s="114"/>
      <c r="R636" s="115"/>
      <c r="S636" s="115"/>
    </row>
    <row r="637" spans="3:19">
      <c r="C637" s="114"/>
      <c r="D637" s="114"/>
      <c r="E637" s="114"/>
      <c r="F637" s="114"/>
      <c r="G637" s="114"/>
      <c r="H637" s="114"/>
      <c r="I637" s="114"/>
      <c r="R637" s="115"/>
      <c r="S637" s="115"/>
    </row>
    <row r="638" spans="3:19">
      <c r="C638" s="114"/>
      <c r="D638" s="114"/>
      <c r="E638" s="114"/>
      <c r="F638" s="114"/>
      <c r="G638" s="114"/>
      <c r="H638" s="114"/>
      <c r="I638" s="114"/>
      <c r="R638" s="115"/>
      <c r="S638" s="115"/>
    </row>
    <row r="639" spans="3:19">
      <c r="C639" s="114"/>
      <c r="D639" s="114"/>
      <c r="E639" s="114"/>
      <c r="F639" s="114"/>
      <c r="G639" s="114"/>
      <c r="H639" s="114"/>
      <c r="I639" s="114"/>
      <c r="R639" s="115"/>
      <c r="S639" s="115"/>
    </row>
    <row r="640" spans="3:19">
      <c r="C640" s="114"/>
      <c r="D640" s="114"/>
      <c r="E640" s="114"/>
      <c r="F640" s="114"/>
      <c r="G640" s="114"/>
      <c r="H640" s="114"/>
      <c r="I640" s="114"/>
      <c r="R640" s="115"/>
      <c r="S640" s="115"/>
    </row>
    <row r="641" spans="3:19">
      <c r="C641" s="114"/>
      <c r="D641" s="114"/>
      <c r="E641" s="114"/>
      <c r="F641" s="114"/>
      <c r="G641" s="114"/>
      <c r="H641" s="114"/>
      <c r="I641" s="114"/>
      <c r="R641" s="115"/>
      <c r="S641" s="115"/>
    </row>
    <row r="642" spans="3:19">
      <c r="C642" s="114"/>
      <c r="D642" s="114"/>
      <c r="E642" s="114"/>
      <c r="F642" s="114"/>
      <c r="G642" s="114"/>
      <c r="H642" s="114"/>
      <c r="I642" s="114"/>
      <c r="R642" s="115"/>
      <c r="S642" s="115"/>
    </row>
    <row r="643" spans="3:19">
      <c r="C643" s="114"/>
      <c r="D643" s="114"/>
      <c r="E643" s="114"/>
      <c r="F643" s="114"/>
      <c r="G643" s="114"/>
      <c r="H643" s="114"/>
      <c r="I643" s="114"/>
      <c r="R643" s="115"/>
      <c r="S643" s="115"/>
    </row>
    <row r="644" spans="3:19">
      <c r="C644" s="114"/>
      <c r="D644" s="114"/>
      <c r="E644" s="114"/>
      <c r="F644" s="114"/>
      <c r="G644" s="114"/>
      <c r="H644" s="114"/>
      <c r="I644" s="114"/>
      <c r="R644" s="115"/>
      <c r="S644" s="115"/>
    </row>
    <row r="645" spans="3:19">
      <c r="C645" s="114"/>
      <c r="D645" s="114"/>
      <c r="E645" s="114"/>
      <c r="F645" s="114"/>
      <c r="G645" s="114"/>
      <c r="H645" s="114"/>
      <c r="I645" s="114"/>
      <c r="R645" s="115"/>
      <c r="S645" s="115"/>
    </row>
    <row r="646" spans="3:19">
      <c r="C646" s="114"/>
      <c r="D646" s="114"/>
      <c r="E646" s="114"/>
      <c r="F646" s="114"/>
      <c r="G646" s="114"/>
      <c r="H646" s="114"/>
      <c r="I646" s="114"/>
      <c r="R646" s="115"/>
      <c r="S646" s="115"/>
    </row>
    <row r="647" spans="3:19">
      <c r="C647" s="114"/>
      <c r="D647" s="114"/>
      <c r="E647" s="114"/>
      <c r="F647" s="114"/>
      <c r="G647" s="114"/>
      <c r="H647" s="114"/>
      <c r="I647" s="114"/>
      <c r="R647" s="115"/>
      <c r="S647" s="115"/>
    </row>
    <row r="648" spans="3:19">
      <c r="C648" s="114"/>
      <c r="D648" s="114"/>
      <c r="E648" s="114"/>
      <c r="F648" s="114"/>
      <c r="G648" s="114"/>
      <c r="H648" s="114"/>
      <c r="I648" s="114"/>
      <c r="R648" s="115"/>
      <c r="S648" s="115"/>
    </row>
    <row r="649" spans="3:19">
      <c r="C649" s="114"/>
      <c r="D649" s="114"/>
      <c r="E649" s="114"/>
      <c r="F649" s="114"/>
      <c r="G649" s="114"/>
      <c r="H649" s="114"/>
      <c r="I649" s="114"/>
      <c r="R649" s="115"/>
      <c r="S649" s="115"/>
    </row>
    <row r="650" spans="3:19">
      <c r="C650" s="114"/>
      <c r="D650" s="114"/>
      <c r="E650" s="114"/>
      <c r="F650" s="114"/>
      <c r="G650" s="114"/>
      <c r="H650" s="114"/>
      <c r="I650" s="114"/>
      <c r="R650" s="115"/>
      <c r="S650" s="115"/>
    </row>
    <row r="651" spans="3:19">
      <c r="C651" s="114"/>
      <c r="D651" s="114"/>
      <c r="E651" s="114"/>
      <c r="F651" s="114"/>
      <c r="G651" s="114"/>
      <c r="H651" s="114"/>
      <c r="I651" s="114"/>
      <c r="R651" s="115"/>
      <c r="S651" s="115"/>
    </row>
    <row r="652" spans="3:19">
      <c r="C652" s="114"/>
      <c r="D652" s="114"/>
      <c r="E652" s="114"/>
      <c r="F652" s="114"/>
      <c r="G652" s="114"/>
      <c r="H652" s="114"/>
      <c r="I652" s="114"/>
      <c r="R652" s="115"/>
      <c r="S652" s="115"/>
    </row>
    <row r="653" spans="3:19">
      <c r="C653" s="114"/>
      <c r="D653" s="114"/>
      <c r="E653" s="114"/>
      <c r="F653" s="114"/>
      <c r="G653" s="114"/>
      <c r="H653" s="114"/>
      <c r="I653" s="114"/>
      <c r="R653" s="115"/>
      <c r="S653" s="115"/>
    </row>
    <row r="654" spans="3:19">
      <c r="C654" s="114"/>
      <c r="D654" s="114"/>
      <c r="E654" s="114"/>
      <c r="F654" s="114"/>
      <c r="G654" s="114"/>
      <c r="H654" s="114"/>
      <c r="I654" s="114"/>
      <c r="R654" s="115"/>
      <c r="S654" s="115"/>
    </row>
    <row r="655" spans="3:19">
      <c r="C655" s="114"/>
      <c r="D655" s="114"/>
      <c r="E655" s="114"/>
      <c r="F655" s="114"/>
      <c r="G655" s="114"/>
      <c r="H655" s="114"/>
      <c r="I655" s="114"/>
      <c r="R655" s="115"/>
      <c r="S655" s="115"/>
    </row>
    <row r="656" spans="3:19">
      <c r="C656" s="114"/>
      <c r="D656" s="114"/>
      <c r="E656" s="114"/>
      <c r="F656" s="114"/>
      <c r="G656" s="114"/>
      <c r="H656" s="114"/>
      <c r="I656" s="114"/>
      <c r="R656" s="115"/>
      <c r="S656" s="115"/>
    </row>
    <row r="657" spans="3:19">
      <c r="C657" s="114"/>
      <c r="D657" s="114"/>
      <c r="E657" s="114"/>
      <c r="F657" s="114"/>
      <c r="G657" s="114"/>
      <c r="H657" s="114"/>
      <c r="I657" s="114"/>
      <c r="R657" s="115"/>
      <c r="S657" s="115"/>
    </row>
    <row r="658" spans="3:19">
      <c r="C658" s="114"/>
      <c r="D658" s="114"/>
      <c r="E658" s="114"/>
      <c r="F658" s="114"/>
      <c r="G658" s="114"/>
      <c r="H658" s="114"/>
      <c r="I658" s="114"/>
      <c r="R658" s="115"/>
      <c r="S658" s="115"/>
    </row>
    <row r="659" spans="3:19">
      <c r="C659" s="114"/>
      <c r="D659" s="114"/>
      <c r="E659" s="114"/>
      <c r="F659" s="114"/>
      <c r="G659" s="114"/>
      <c r="H659" s="114"/>
      <c r="I659" s="114"/>
      <c r="R659" s="115"/>
      <c r="S659" s="115"/>
    </row>
    <row r="660" spans="3:19">
      <c r="C660" s="114"/>
      <c r="D660" s="114"/>
      <c r="E660" s="114"/>
      <c r="F660" s="114"/>
      <c r="G660" s="114"/>
      <c r="H660" s="114"/>
      <c r="I660" s="114"/>
      <c r="R660" s="115"/>
      <c r="S660" s="115"/>
    </row>
    <row r="661" spans="3:19">
      <c r="C661" s="114"/>
      <c r="D661" s="114"/>
      <c r="E661" s="114"/>
      <c r="F661" s="114"/>
      <c r="G661" s="114"/>
      <c r="H661" s="114"/>
      <c r="I661" s="114"/>
      <c r="R661" s="115"/>
      <c r="S661" s="115"/>
    </row>
    <row r="662" spans="3:19">
      <c r="C662" s="114"/>
      <c r="D662" s="114"/>
      <c r="E662" s="114"/>
      <c r="F662" s="114"/>
      <c r="G662" s="114"/>
      <c r="H662" s="114"/>
      <c r="I662" s="114"/>
      <c r="R662" s="115"/>
      <c r="S662" s="115"/>
    </row>
    <row r="663" spans="3:19">
      <c r="C663" s="114"/>
      <c r="D663" s="114"/>
      <c r="E663" s="114"/>
      <c r="F663" s="114"/>
      <c r="G663" s="114"/>
      <c r="H663" s="114"/>
      <c r="I663" s="114"/>
      <c r="R663" s="115"/>
      <c r="S663" s="115"/>
    </row>
    <row r="664" spans="3:19">
      <c r="C664" s="114"/>
      <c r="D664" s="114"/>
      <c r="E664" s="114"/>
      <c r="F664" s="114"/>
      <c r="G664" s="114"/>
      <c r="H664" s="114"/>
      <c r="I664" s="114"/>
      <c r="R664" s="115"/>
      <c r="S664" s="115"/>
    </row>
    <row r="665" spans="3:19">
      <c r="C665" s="114"/>
      <c r="D665" s="114"/>
      <c r="E665" s="114"/>
      <c r="F665" s="114"/>
      <c r="G665" s="114"/>
      <c r="H665" s="114"/>
      <c r="I665" s="114"/>
      <c r="R665" s="115"/>
      <c r="S665" s="115"/>
    </row>
    <row r="666" spans="3:19">
      <c r="C666" s="114"/>
      <c r="D666" s="114"/>
      <c r="E666" s="114"/>
      <c r="F666" s="114"/>
      <c r="G666" s="114"/>
      <c r="H666" s="114"/>
      <c r="I666" s="114"/>
      <c r="R666" s="115"/>
      <c r="S666" s="115"/>
    </row>
    <row r="667" spans="3:19">
      <c r="C667" s="114"/>
      <c r="D667" s="114"/>
      <c r="E667" s="114"/>
      <c r="F667" s="114"/>
      <c r="G667" s="114"/>
      <c r="H667" s="114"/>
      <c r="I667" s="114"/>
      <c r="R667" s="115"/>
      <c r="S667" s="115"/>
    </row>
    <row r="668" spans="3:19">
      <c r="C668" s="114"/>
      <c r="D668" s="114"/>
      <c r="E668" s="114"/>
      <c r="F668" s="114"/>
      <c r="G668" s="114"/>
      <c r="H668" s="114"/>
      <c r="I668" s="114"/>
      <c r="R668" s="115"/>
      <c r="S668" s="115"/>
    </row>
    <row r="669" spans="3:19">
      <c r="C669" s="114"/>
      <c r="D669" s="114"/>
      <c r="E669" s="114"/>
      <c r="F669" s="114"/>
      <c r="G669" s="114"/>
      <c r="H669" s="114"/>
      <c r="I669" s="114"/>
      <c r="R669" s="115"/>
      <c r="S669" s="115"/>
    </row>
    <row r="670" spans="3:19">
      <c r="C670" s="114"/>
      <c r="D670" s="114"/>
      <c r="E670" s="114"/>
      <c r="F670" s="114"/>
      <c r="G670" s="114"/>
      <c r="H670" s="114"/>
      <c r="I670" s="114"/>
      <c r="R670" s="115"/>
      <c r="S670" s="115"/>
    </row>
    <row r="671" spans="3:19">
      <c r="C671" s="114"/>
      <c r="D671" s="114"/>
      <c r="E671" s="114"/>
      <c r="F671" s="114"/>
      <c r="G671" s="114"/>
      <c r="H671" s="114"/>
      <c r="I671" s="114"/>
      <c r="R671" s="115"/>
      <c r="S671" s="115"/>
    </row>
    <row r="672" spans="3:19">
      <c r="C672" s="114"/>
      <c r="D672" s="114"/>
      <c r="E672" s="114"/>
      <c r="F672" s="114"/>
      <c r="G672" s="114"/>
      <c r="H672" s="114"/>
      <c r="I672" s="114"/>
      <c r="R672" s="115"/>
      <c r="S672" s="115"/>
    </row>
    <row r="673" spans="3:19">
      <c r="C673" s="114"/>
      <c r="D673" s="114"/>
      <c r="E673" s="114"/>
      <c r="F673" s="114"/>
      <c r="G673" s="114"/>
      <c r="H673" s="114"/>
      <c r="I673" s="114"/>
      <c r="R673" s="115"/>
      <c r="S673" s="115"/>
    </row>
    <row r="674" spans="3:19">
      <c r="C674" s="114"/>
      <c r="D674" s="114"/>
      <c r="E674" s="114"/>
      <c r="F674" s="114"/>
      <c r="G674" s="114"/>
      <c r="H674" s="114"/>
      <c r="I674" s="114"/>
      <c r="R674" s="115"/>
      <c r="S674" s="115"/>
    </row>
    <row r="675" spans="3:19">
      <c r="C675" s="114"/>
      <c r="D675" s="114"/>
      <c r="E675" s="114"/>
      <c r="F675" s="114"/>
      <c r="G675" s="114"/>
      <c r="H675" s="114"/>
      <c r="I675" s="114"/>
      <c r="R675" s="115"/>
      <c r="S675" s="115"/>
    </row>
    <row r="676" spans="3:19">
      <c r="C676" s="114"/>
      <c r="D676" s="114"/>
      <c r="E676" s="114"/>
      <c r="F676" s="114"/>
      <c r="G676" s="114"/>
      <c r="H676" s="114"/>
      <c r="I676" s="114"/>
      <c r="R676" s="115"/>
      <c r="S676" s="115"/>
    </row>
    <row r="677" spans="3:19">
      <c r="C677" s="114"/>
      <c r="D677" s="114"/>
      <c r="E677" s="114"/>
      <c r="F677" s="114"/>
      <c r="G677" s="114"/>
      <c r="H677" s="114"/>
      <c r="I677" s="114"/>
      <c r="R677" s="115"/>
      <c r="S677" s="115"/>
    </row>
    <row r="678" spans="3:19">
      <c r="C678" s="114"/>
      <c r="D678" s="114"/>
      <c r="E678" s="114"/>
      <c r="F678" s="114"/>
      <c r="G678" s="114"/>
      <c r="H678" s="114"/>
      <c r="I678" s="114"/>
      <c r="R678" s="115"/>
      <c r="S678" s="115"/>
    </row>
    <row r="679" spans="3:19">
      <c r="C679" s="114"/>
      <c r="D679" s="114"/>
      <c r="E679" s="114"/>
      <c r="F679" s="114"/>
      <c r="G679" s="114"/>
      <c r="H679" s="114"/>
      <c r="I679" s="114"/>
      <c r="R679" s="115"/>
      <c r="S679" s="115"/>
    </row>
    <row r="680" spans="3:19">
      <c r="C680" s="114"/>
      <c r="D680" s="114"/>
      <c r="E680" s="114"/>
      <c r="F680" s="114"/>
      <c r="G680" s="114"/>
      <c r="H680" s="114"/>
      <c r="I680" s="114"/>
      <c r="R680" s="115"/>
      <c r="S680" s="115"/>
    </row>
    <row r="681" spans="3:19">
      <c r="C681" s="114"/>
      <c r="D681" s="114"/>
      <c r="E681" s="114"/>
      <c r="F681" s="114"/>
      <c r="G681" s="114"/>
      <c r="H681" s="114"/>
      <c r="I681" s="114"/>
      <c r="R681" s="115"/>
      <c r="S681" s="115"/>
    </row>
    <row r="682" spans="3:19">
      <c r="C682" s="114"/>
      <c r="D682" s="114"/>
      <c r="E682" s="114"/>
      <c r="F682" s="114"/>
      <c r="G682" s="114"/>
      <c r="H682" s="114"/>
      <c r="I682" s="114"/>
      <c r="R682" s="115"/>
      <c r="S682" s="115"/>
    </row>
    <row r="683" spans="3:19">
      <c r="C683" s="114"/>
      <c r="D683" s="114"/>
      <c r="E683" s="114"/>
      <c r="F683" s="114"/>
      <c r="G683" s="114"/>
      <c r="H683" s="114"/>
      <c r="I683" s="114"/>
      <c r="R683" s="115"/>
      <c r="S683" s="115"/>
    </row>
    <row r="684" spans="3:19">
      <c r="C684" s="114"/>
      <c r="D684" s="114"/>
      <c r="E684" s="114"/>
      <c r="F684" s="114"/>
      <c r="G684" s="114"/>
      <c r="H684" s="114"/>
      <c r="I684" s="114"/>
      <c r="R684" s="115"/>
      <c r="S684" s="115"/>
    </row>
    <row r="685" spans="3:19">
      <c r="C685" s="114"/>
      <c r="D685" s="114"/>
      <c r="E685" s="114"/>
      <c r="F685" s="114"/>
      <c r="G685" s="114"/>
      <c r="H685" s="114"/>
      <c r="I685" s="114"/>
      <c r="R685" s="115"/>
      <c r="S685" s="115"/>
    </row>
    <row r="686" spans="3:19">
      <c r="C686" s="114"/>
      <c r="D686" s="114"/>
      <c r="E686" s="114"/>
      <c r="F686" s="114"/>
      <c r="G686" s="114"/>
      <c r="H686" s="114"/>
      <c r="I686" s="114"/>
      <c r="R686" s="115"/>
      <c r="S686" s="115"/>
    </row>
    <row r="687" spans="3:19">
      <c r="C687" s="114"/>
      <c r="D687" s="114"/>
      <c r="E687" s="114"/>
      <c r="F687" s="114"/>
      <c r="G687" s="114"/>
      <c r="H687" s="114"/>
      <c r="I687" s="114"/>
      <c r="R687" s="115"/>
      <c r="S687" s="115"/>
    </row>
    <row r="688" spans="3:19">
      <c r="C688" s="114"/>
      <c r="D688" s="114"/>
      <c r="E688" s="114"/>
      <c r="F688" s="114"/>
      <c r="G688" s="114"/>
      <c r="H688" s="114"/>
      <c r="I688" s="114"/>
      <c r="R688" s="115"/>
      <c r="S688" s="115"/>
    </row>
    <row r="689" spans="3:19">
      <c r="C689" s="114"/>
      <c r="D689" s="114"/>
      <c r="E689" s="114"/>
      <c r="F689" s="114"/>
      <c r="G689" s="114"/>
      <c r="H689" s="114"/>
      <c r="I689" s="114"/>
      <c r="R689" s="115"/>
      <c r="S689" s="115"/>
    </row>
    <row r="690" spans="3:19">
      <c r="C690" s="114"/>
      <c r="D690" s="114"/>
      <c r="E690" s="114"/>
      <c r="F690" s="114"/>
      <c r="G690" s="114"/>
      <c r="H690" s="114"/>
      <c r="I690" s="114"/>
      <c r="R690" s="115"/>
      <c r="S690" s="115"/>
    </row>
    <row r="691" spans="3:19">
      <c r="C691" s="114"/>
      <c r="D691" s="114"/>
      <c r="E691" s="114"/>
      <c r="F691" s="114"/>
      <c r="G691" s="114"/>
      <c r="H691" s="114"/>
      <c r="I691" s="114"/>
      <c r="R691" s="115"/>
      <c r="S691" s="115"/>
    </row>
    <row r="692" spans="3:19">
      <c r="C692" s="114"/>
      <c r="D692" s="114"/>
      <c r="E692" s="114"/>
      <c r="F692" s="114"/>
      <c r="G692" s="114"/>
      <c r="H692" s="114"/>
      <c r="I692" s="114"/>
      <c r="R692" s="115"/>
      <c r="S692" s="115"/>
    </row>
    <row r="693" spans="3:19">
      <c r="C693" s="114"/>
      <c r="D693" s="114"/>
      <c r="E693" s="114"/>
      <c r="F693" s="114"/>
      <c r="G693" s="114"/>
      <c r="H693" s="114"/>
      <c r="I693" s="114"/>
      <c r="R693" s="115"/>
      <c r="S693" s="115"/>
    </row>
    <row r="694" spans="3:19">
      <c r="C694" s="114"/>
      <c r="D694" s="114"/>
      <c r="E694" s="114"/>
      <c r="F694" s="114"/>
      <c r="G694" s="114"/>
      <c r="H694" s="114"/>
      <c r="I694" s="114"/>
      <c r="R694" s="115"/>
      <c r="S694" s="115"/>
    </row>
    <row r="695" spans="3:19">
      <c r="C695" s="114"/>
      <c r="D695" s="114"/>
      <c r="E695" s="114"/>
      <c r="F695" s="114"/>
      <c r="G695" s="114"/>
      <c r="H695" s="114"/>
      <c r="I695" s="114"/>
      <c r="R695" s="115"/>
      <c r="S695" s="115"/>
    </row>
    <row r="696" spans="3:19">
      <c r="C696" s="114"/>
      <c r="D696" s="114"/>
      <c r="E696" s="114"/>
      <c r="F696" s="114"/>
      <c r="G696" s="114"/>
      <c r="H696" s="114"/>
      <c r="I696" s="114"/>
      <c r="R696" s="115"/>
      <c r="S696" s="115"/>
    </row>
    <row r="697" spans="3:19">
      <c r="C697" s="114"/>
      <c r="D697" s="114"/>
      <c r="E697" s="114"/>
      <c r="F697" s="114"/>
      <c r="G697" s="114"/>
      <c r="H697" s="114"/>
      <c r="I697" s="114"/>
      <c r="R697" s="115"/>
      <c r="S697" s="115"/>
    </row>
    <row r="698" spans="3:19">
      <c r="C698" s="114"/>
      <c r="D698" s="114"/>
      <c r="E698" s="114"/>
      <c r="F698" s="114"/>
      <c r="G698" s="114"/>
      <c r="H698" s="114"/>
      <c r="I698" s="114"/>
      <c r="R698" s="115"/>
      <c r="S698" s="115"/>
    </row>
    <row r="699" spans="3:19">
      <c r="C699" s="114"/>
      <c r="D699" s="114"/>
      <c r="E699" s="114"/>
      <c r="F699" s="114"/>
      <c r="G699" s="114"/>
      <c r="H699" s="114"/>
      <c r="I699" s="114"/>
      <c r="R699" s="115"/>
      <c r="S699" s="115"/>
    </row>
    <row r="700" spans="3:19">
      <c r="C700" s="114"/>
      <c r="D700" s="114"/>
      <c r="E700" s="114"/>
      <c r="F700" s="114"/>
      <c r="G700" s="114"/>
      <c r="H700" s="114"/>
      <c r="I700" s="114"/>
      <c r="R700" s="115"/>
      <c r="S700" s="115"/>
    </row>
    <row r="701" spans="3:19">
      <c r="C701" s="114"/>
      <c r="D701" s="114"/>
      <c r="E701" s="114"/>
      <c r="F701" s="114"/>
      <c r="G701" s="114"/>
      <c r="H701" s="114"/>
      <c r="I701" s="114"/>
      <c r="R701" s="115"/>
      <c r="S701" s="115"/>
    </row>
    <row r="702" spans="3:19">
      <c r="C702" s="114"/>
      <c r="D702" s="114"/>
      <c r="E702" s="114"/>
      <c r="F702" s="114"/>
      <c r="G702" s="114"/>
      <c r="H702" s="114"/>
      <c r="I702" s="114"/>
      <c r="R702" s="115"/>
      <c r="S702" s="115"/>
    </row>
    <row r="703" spans="3:19">
      <c r="C703" s="114"/>
      <c r="D703" s="114"/>
      <c r="E703" s="114"/>
      <c r="F703" s="114"/>
      <c r="G703" s="114"/>
      <c r="H703" s="114"/>
      <c r="I703" s="114"/>
      <c r="R703" s="115"/>
      <c r="S703" s="115"/>
    </row>
    <row r="704" spans="3:19">
      <c r="C704" s="114"/>
      <c r="D704" s="114"/>
      <c r="E704" s="114"/>
      <c r="F704" s="114"/>
      <c r="G704" s="114"/>
      <c r="H704" s="114"/>
      <c r="I704" s="114"/>
      <c r="R704" s="115"/>
      <c r="S704" s="115"/>
    </row>
    <row r="705" spans="3:19">
      <c r="C705" s="114"/>
      <c r="D705" s="114"/>
      <c r="E705" s="114"/>
      <c r="F705" s="114"/>
      <c r="G705" s="114"/>
      <c r="H705" s="114"/>
      <c r="I705" s="114"/>
      <c r="R705" s="115"/>
      <c r="S705" s="115"/>
    </row>
    <row r="706" spans="3:19">
      <c r="C706" s="114"/>
      <c r="D706" s="114"/>
      <c r="E706" s="114"/>
      <c r="F706" s="114"/>
      <c r="G706" s="114"/>
      <c r="H706" s="114"/>
      <c r="I706" s="114"/>
      <c r="R706" s="115"/>
      <c r="S706" s="115"/>
    </row>
    <row r="707" spans="3:19">
      <c r="C707" s="114"/>
      <c r="D707" s="114"/>
      <c r="E707" s="114"/>
      <c r="F707" s="114"/>
      <c r="G707" s="114"/>
      <c r="H707" s="114"/>
      <c r="I707" s="114"/>
      <c r="R707" s="115"/>
      <c r="S707" s="115"/>
    </row>
    <row r="708" spans="3:19">
      <c r="C708" s="114"/>
      <c r="D708" s="114"/>
      <c r="E708" s="114"/>
      <c r="F708" s="114"/>
      <c r="G708" s="114"/>
      <c r="H708" s="114"/>
      <c r="I708" s="114"/>
      <c r="R708" s="115"/>
      <c r="S708" s="115"/>
    </row>
    <row r="709" spans="3:19">
      <c r="C709" s="114"/>
      <c r="D709" s="114"/>
      <c r="E709" s="114"/>
      <c r="F709" s="114"/>
      <c r="G709" s="114"/>
      <c r="H709" s="114"/>
      <c r="I709" s="114"/>
      <c r="R709" s="115"/>
      <c r="S709" s="115"/>
    </row>
    <row r="710" spans="3:19">
      <c r="C710" s="114"/>
      <c r="D710" s="114"/>
      <c r="E710" s="114"/>
      <c r="F710" s="114"/>
      <c r="G710" s="114"/>
      <c r="H710" s="114"/>
      <c r="I710" s="114"/>
      <c r="R710" s="115"/>
      <c r="S710" s="115"/>
    </row>
    <row r="711" spans="3:19">
      <c r="C711" s="114"/>
      <c r="D711" s="114"/>
      <c r="E711" s="114"/>
      <c r="F711" s="114"/>
      <c r="G711" s="114"/>
      <c r="H711" s="114"/>
      <c r="I711" s="114"/>
      <c r="R711" s="115"/>
      <c r="S711" s="115"/>
    </row>
    <row r="712" spans="3:19">
      <c r="C712" s="114"/>
      <c r="D712" s="114"/>
      <c r="E712" s="114"/>
      <c r="F712" s="114"/>
      <c r="G712" s="114"/>
      <c r="H712" s="114"/>
      <c r="I712" s="114"/>
      <c r="R712" s="115"/>
      <c r="S712" s="115"/>
    </row>
    <row r="713" spans="3:19">
      <c r="C713" s="114"/>
      <c r="D713" s="114"/>
      <c r="E713" s="114"/>
      <c r="F713" s="114"/>
      <c r="G713" s="114"/>
      <c r="H713" s="114"/>
      <c r="I713" s="114"/>
      <c r="R713" s="115"/>
      <c r="S713" s="115"/>
    </row>
    <row r="714" spans="3:19">
      <c r="C714" s="114"/>
      <c r="D714" s="114"/>
      <c r="E714" s="114"/>
      <c r="F714" s="114"/>
      <c r="G714" s="114"/>
      <c r="H714" s="114"/>
      <c r="I714" s="114"/>
      <c r="R714" s="115"/>
      <c r="S714" s="115"/>
    </row>
    <row r="715" spans="3:19">
      <c r="C715" s="114"/>
      <c r="D715" s="114"/>
      <c r="E715" s="114"/>
      <c r="F715" s="114"/>
      <c r="G715" s="114"/>
      <c r="H715" s="114"/>
      <c r="I715" s="114"/>
      <c r="R715" s="115"/>
      <c r="S715" s="115"/>
    </row>
    <row r="716" spans="3:19">
      <c r="C716" s="114"/>
      <c r="D716" s="114"/>
      <c r="E716" s="114"/>
      <c r="F716" s="114"/>
      <c r="G716" s="114"/>
      <c r="H716" s="114"/>
      <c r="I716" s="114"/>
      <c r="R716" s="115"/>
      <c r="S716" s="115"/>
    </row>
    <row r="717" spans="3:19">
      <c r="C717" s="114"/>
      <c r="D717" s="114"/>
      <c r="E717" s="114"/>
      <c r="F717" s="114"/>
      <c r="G717" s="114"/>
      <c r="H717" s="114"/>
      <c r="I717" s="114"/>
      <c r="R717" s="115"/>
      <c r="S717" s="115"/>
    </row>
    <row r="718" spans="3:19">
      <c r="C718" s="114"/>
      <c r="D718" s="114"/>
      <c r="E718" s="114"/>
      <c r="F718" s="114"/>
      <c r="G718" s="114"/>
      <c r="H718" s="114"/>
      <c r="I718" s="114"/>
      <c r="R718" s="115"/>
      <c r="S718" s="115"/>
    </row>
    <row r="719" spans="3:19">
      <c r="C719" s="114"/>
      <c r="D719" s="114"/>
      <c r="E719" s="114"/>
      <c r="F719" s="114"/>
      <c r="G719" s="114"/>
      <c r="H719" s="114"/>
      <c r="I719" s="114"/>
      <c r="R719" s="115"/>
      <c r="S719" s="115"/>
    </row>
    <row r="720" spans="3:19">
      <c r="C720" s="114"/>
      <c r="D720" s="114"/>
      <c r="E720" s="114"/>
      <c r="F720" s="114"/>
      <c r="G720" s="114"/>
      <c r="H720" s="114"/>
      <c r="I720" s="114"/>
      <c r="R720" s="115"/>
      <c r="S720" s="115"/>
    </row>
    <row r="721" spans="3:19">
      <c r="C721" s="114"/>
      <c r="D721" s="114"/>
      <c r="E721" s="114"/>
      <c r="F721" s="114"/>
      <c r="G721" s="114"/>
      <c r="H721" s="114"/>
      <c r="I721" s="114"/>
      <c r="R721" s="115"/>
      <c r="S721" s="115"/>
    </row>
    <row r="722" spans="3:19">
      <c r="C722" s="114"/>
      <c r="D722" s="114"/>
      <c r="E722" s="114"/>
      <c r="F722" s="114"/>
      <c r="G722" s="114"/>
      <c r="H722" s="114"/>
      <c r="I722" s="114"/>
      <c r="R722" s="115"/>
      <c r="S722" s="115"/>
    </row>
    <row r="723" spans="3:19">
      <c r="C723" s="114"/>
      <c r="D723" s="114"/>
      <c r="E723" s="114"/>
      <c r="F723" s="114"/>
      <c r="G723" s="114"/>
      <c r="H723" s="114"/>
      <c r="I723" s="114"/>
      <c r="R723" s="115"/>
      <c r="S723" s="115"/>
    </row>
    <row r="724" spans="3:19">
      <c r="C724" s="114"/>
      <c r="D724" s="114"/>
      <c r="E724" s="114"/>
      <c r="F724" s="114"/>
      <c r="G724" s="114"/>
      <c r="H724" s="114"/>
      <c r="I724" s="114"/>
      <c r="R724" s="115"/>
      <c r="S724" s="115"/>
    </row>
    <row r="725" spans="3:19">
      <c r="C725" s="114"/>
      <c r="D725" s="114"/>
      <c r="E725" s="114"/>
      <c r="F725" s="114"/>
      <c r="G725" s="114"/>
      <c r="H725" s="114"/>
      <c r="I725" s="114"/>
      <c r="R725" s="115"/>
      <c r="S725" s="115"/>
    </row>
    <row r="726" spans="3:19">
      <c r="C726" s="114"/>
      <c r="D726" s="114"/>
      <c r="E726" s="114"/>
      <c r="F726" s="114"/>
      <c r="G726" s="114"/>
      <c r="H726" s="114"/>
      <c r="I726" s="114"/>
      <c r="R726" s="115"/>
      <c r="S726" s="115"/>
    </row>
    <row r="727" spans="3:19">
      <c r="C727" s="114"/>
      <c r="D727" s="114"/>
      <c r="E727" s="114"/>
      <c r="F727" s="114"/>
      <c r="G727" s="114"/>
      <c r="H727" s="114"/>
      <c r="I727" s="114"/>
      <c r="R727" s="115"/>
      <c r="S727" s="115"/>
    </row>
    <row r="728" spans="3:19">
      <c r="C728" s="114"/>
      <c r="D728" s="114"/>
      <c r="E728" s="114"/>
      <c r="F728" s="114"/>
      <c r="G728" s="114"/>
      <c r="H728" s="114"/>
      <c r="I728" s="114"/>
      <c r="R728" s="115"/>
      <c r="S728" s="115"/>
    </row>
    <row r="729" spans="3:19">
      <c r="C729" s="114"/>
      <c r="D729" s="114"/>
      <c r="E729" s="114"/>
      <c r="F729" s="114"/>
      <c r="G729" s="114"/>
      <c r="H729" s="114"/>
      <c r="I729" s="114"/>
      <c r="R729" s="115"/>
      <c r="S729" s="115"/>
    </row>
    <row r="730" spans="3:19">
      <c r="C730" s="114"/>
      <c r="D730" s="114"/>
      <c r="E730" s="114"/>
      <c r="F730" s="114"/>
      <c r="G730" s="114"/>
      <c r="H730" s="114"/>
      <c r="I730" s="114"/>
      <c r="R730" s="115"/>
      <c r="S730" s="115"/>
    </row>
    <row r="731" spans="3:19">
      <c r="C731" s="114"/>
      <c r="D731" s="114"/>
      <c r="E731" s="114"/>
      <c r="F731" s="114"/>
      <c r="G731" s="114"/>
      <c r="H731" s="114"/>
      <c r="I731" s="114"/>
      <c r="R731" s="115"/>
      <c r="S731" s="115"/>
    </row>
    <row r="732" spans="3:19">
      <c r="C732" s="114"/>
      <c r="D732" s="114"/>
      <c r="E732" s="114"/>
      <c r="F732" s="114"/>
      <c r="G732" s="114"/>
      <c r="H732" s="114"/>
      <c r="I732" s="114"/>
      <c r="R732" s="115"/>
      <c r="S732" s="115"/>
    </row>
    <row r="733" spans="3:19">
      <c r="C733" s="114"/>
      <c r="D733" s="114"/>
      <c r="E733" s="114"/>
      <c r="F733" s="114"/>
      <c r="G733" s="114"/>
      <c r="H733" s="114"/>
      <c r="I733" s="114"/>
      <c r="R733" s="115"/>
      <c r="S733" s="115"/>
    </row>
    <row r="734" spans="3:19">
      <c r="C734" s="114"/>
      <c r="D734" s="114"/>
      <c r="E734" s="114"/>
      <c r="F734" s="114"/>
      <c r="G734" s="114"/>
      <c r="H734" s="114"/>
      <c r="I734" s="114"/>
      <c r="R734" s="115"/>
      <c r="S734" s="115"/>
    </row>
    <row r="735" spans="3:19">
      <c r="C735" s="114"/>
      <c r="D735" s="114"/>
      <c r="E735" s="114"/>
      <c r="F735" s="114"/>
      <c r="G735" s="114"/>
      <c r="H735" s="114"/>
      <c r="I735" s="114"/>
      <c r="R735" s="115"/>
      <c r="S735" s="115"/>
    </row>
    <row r="736" spans="3:19">
      <c r="C736" s="114"/>
      <c r="D736" s="114"/>
      <c r="E736" s="114"/>
      <c r="F736" s="114"/>
      <c r="G736" s="114"/>
      <c r="H736" s="114"/>
      <c r="I736" s="114"/>
      <c r="R736" s="115"/>
      <c r="S736" s="115"/>
    </row>
    <row r="737" spans="3:19">
      <c r="C737" s="114"/>
      <c r="D737" s="114"/>
      <c r="E737" s="114"/>
      <c r="F737" s="114"/>
      <c r="G737" s="114"/>
      <c r="H737" s="114"/>
      <c r="I737" s="114"/>
      <c r="R737" s="115"/>
      <c r="S737" s="115"/>
    </row>
    <row r="738" spans="3:19">
      <c r="C738" s="114"/>
      <c r="D738" s="114"/>
      <c r="E738" s="114"/>
      <c r="F738" s="114"/>
      <c r="G738" s="114"/>
      <c r="H738" s="114"/>
      <c r="I738" s="114"/>
      <c r="R738" s="115"/>
      <c r="S738" s="115"/>
    </row>
    <row r="739" spans="3:19">
      <c r="C739" s="114"/>
      <c r="D739" s="114"/>
      <c r="E739" s="114"/>
      <c r="F739" s="114"/>
      <c r="G739" s="114"/>
      <c r="H739" s="114"/>
      <c r="I739" s="114"/>
      <c r="R739" s="115"/>
      <c r="S739" s="115"/>
    </row>
    <row r="740" spans="3:19">
      <c r="C740" s="114"/>
      <c r="D740" s="114"/>
      <c r="E740" s="114"/>
      <c r="F740" s="114"/>
      <c r="G740" s="114"/>
      <c r="H740" s="114"/>
      <c r="I740" s="114"/>
      <c r="R740" s="115"/>
      <c r="S740" s="115"/>
    </row>
    <row r="741" spans="3:19">
      <c r="C741" s="114"/>
      <c r="D741" s="114"/>
      <c r="E741" s="114"/>
      <c r="F741" s="114"/>
      <c r="G741" s="114"/>
      <c r="H741" s="114"/>
      <c r="I741" s="114"/>
      <c r="R741" s="115"/>
      <c r="S741" s="115"/>
    </row>
    <row r="742" spans="3:19">
      <c r="C742" s="114"/>
      <c r="D742" s="114"/>
      <c r="E742" s="114"/>
      <c r="F742" s="114"/>
      <c r="G742" s="114"/>
      <c r="H742" s="114"/>
      <c r="I742" s="114"/>
      <c r="R742" s="115"/>
      <c r="S742" s="115"/>
    </row>
    <row r="743" spans="3:19">
      <c r="C743" s="114"/>
      <c r="D743" s="114"/>
      <c r="E743" s="114"/>
      <c r="F743" s="114"/>
      <c r="G743" s="114"/>
      <c r="H743" s="114"/>
      <c r="I743" s="114"/>
      <c r="R743" s="115"/>
      <c r="S743" s="115"/>
    </row>
    <row r="744" spans="3:19">
      <c r="C744" s="114"/>
      <c r="D744" s="114"/>
      <c r="E744" s="114"/>
      <c r="F744" s="114"/>
      <c r="G744" s="114"/>
      <c r="H744" s="114"/>
      <c r="I744" s="114"/>
      <c r="R744" s="115"/>
      <c r="S744" s="115"/>
    </row>
    <row r="745" spans="3:19">
      <c r="C745" s="114"/>
      <c r="D745" s="114"/>
      <c r="E745" s="114"/>
      <c r="F745" s="114"/>
      <c r="G745" s="114"/>
      <c r="H745" s="114"/>
      <c r="I745" s="114"/>
      <c r="R745" s="115"/>
      <c r="S745" s="115"/>
    </row>
    <row r="746" spans="3:19">
      <c r="C746" s="114"/>
      <c r="D746" s="114"/>
      <c r="E746" s="114"/>
      <c r="F746" s="114"/>
      <c r="G746" s="114"/>
      <c r="H746" s="114"/>
      <c r="I746" s="114"/>
      <c r="R746" s="115"/>
      <c r="S746" s="115"/>
    </row>
    <row r="747" spans="3:19">
      <c r="C747" s="114"/>
      <c r="D747" s="114"/>
      <c r="E747" s="114"/>
      <c r="F747" s="114"/>
      <c r="G747" s="114"/>
      <c r="H747" s="114"/>
      <c r="I747" s="114"/>
      <c r="R747" s="115"/>
      <c r="S747" s="115"/>
    </row>
    <row r="748" spans="3:19">
      <c r="C748" s="114"/>
      <c r="D748" s="114"/>
      <c r="E748" s="114"/>
      <c r="F748" s="114"/>
      <c r="G748" s="114"/>
      <c r="H748" s="114"/>
      <c r="I748" s="114"/>
      <c r="R748" s="115"/>
      <c r="S748" s="115"/>
    </row>
    <row r="749" spans="3:19">
      <c r="C749" s="114"/>
      <c r="D749" s="114"/>
      <c r="E749" s="114"/>
      <c r="F749" s="114"/>
      <c r="G749" s="114"/>
      <c r="H749" s="114"/>
      <c r="I749" s="114"/>
      <c r="R749" s="115"/>
      <c r="S749" s="115"/>
    </row>
    <row r="750" spans="3:19">
      <c r="C750" s="114"/>
      <c r="D750" s="114"/>
      <c r="E750" s="114"/>
      <c r="F750" s="114"/>
      <c r="G750" s="114"/>
      <c r="H750" s="114"/>
      <c r="I750" s="114"/>
      <c r="R750" s="115"/>
      <c r="S750" s="115"/>
    </row>
    <row r="751" spans="3:19">
      <c r="C751" s="114"/>
      <c r="D751" s="114"/>
      <c r="E751" s="114"/>
      <c r="F751" s="114"/>
      <c r="G751" s="114"/>
      <c r="H751" s="114"/>
      <c r="I751" s="114"/>
      <c r="R751" s="115"/>
      <c r="S751" s="115"/>
    </row>
    <row r="752" spans="3:19">
      <c r="C752" s="114"/>
      <c r="D752" s="114"/>
      <c r="E752" s="114"/>
      <c r="F752" s="114"/>
      <c r="G752" s="114"/>
      <c r="H752" s="114"/>
      <c r="I752" s="114"/>
      <c r="R752" s="115"/>
      <c r="S752" s="115"/>
    </row>
    <row r="753" spans="3:19">
      <c r="C753" s="114"/>
      <c r="D753" s="114"/>
      <c r="E753" s="114"/>
      <c r="F753" s="114"/>
      <c r="G753" s="114"/>
      <c r="H753" s="114"/>
      <c r="I753" s="114"/>
      <c r="R753" s="115"/>
      <c r="S753" s="115"/>
    </row>
    <row r="754" spans="3:19">
      <c r="C754" s="114"/>
      <c r="D754" s="114"/>
      <c r="E754" s="114"/>
      <c r="F754" s="114"/>
      <c r="G754" s="114"/>
      <c r="H754" s="114"/>
      <c r="I754" s="114"/>
      <c r="R754" s="115"/>
      <c r="S754" s="115"/>
    </row>
    <row r="755" spans="3:19">
      <c r="C755" s="114"/>
      <c r="D755" s="114"/>
      <c r="E755" s="114"/>
      <c r="F755" s="114"/>
      <c r="G755" s="114"/>
      <c r="H755" s="114"/>
      <c r="I755" s="114"/>
      <c r="R755" s="115"/>
      <c r="S755" s="115"/>
    </row>
    <row r="756" spans="3:19">
      <c r="C756" s="114"/>
      <c r="D756" s="114"/>
      <c r="E756" s="114"/>
      <c r="F756" s="114"/>
      <c r="G756" s="114"/>
      <c r="H756" s="114"/>
      <c r="I756" s="114"/>
      <c r="R756" s="115"/>
      <c r="S756" s="115"/>
    </row>
    <row r="757" spans="3:19">
      <c r="C757" s="114"/>
      <c r="D757" s="114"/>
      <c r="E757" s="114"/>
      <c r="F757" s="114"/>
      <c r="G757" s="114"/>
      <c r="H757" s="114"/>
      <c r="I757" s="114"/>
      <c r="R757" s="115"/>
      <c r="S757" s="115"/>
    </row>
    <row r="758" spans="3:19">
      <c r="C758" s="114"/>
      <c r="D758" s="114"/>
      <c r="E758" s="114"/>
      <c r="F758" s="114"/>
      <c r="G758" s="114"/>
      <c r="H758" s="114"/>
      <c r="I758" s="114"/>
      <c r="R758" s="115"/>
      <c r="S758" s="115"/>
    </row>
    <row r="759" spans="3:19">
      <c r="C759" s="114"/>
      <c r="D759" s="114"/>
      <c r="E759" s="114"/>
      <c r="F759" s="114"/>
      <c r="G759" s="114"/>
      <c r="H759" s="114"/>
      <c r="I759" s="114"/>
      <c r="R759" s="115"/>
      <c r="S759" s="115"/>
    </row>
    <row r="760" spans="3:19">
      <c r="C760" s="114"/>
      <c r="D760" s="114"/>
      <c r="E760" s="114"/>
      <c r="F760" s="114"/>
      <c r="G760" s="114"/>
      <c r="H760" s="114"/>
      <c r="I760" s="114"/>
      <c r="R760" s="115"/>
      <c r="S760" s="115"/>
    </row>
    <row r="761" spans="3:19">
      <c r="C761" s="114"/>
      <c r="D761" s="114"/>
      <c r="E761" s="114"/>
      <c r="F761" s="114"/>
      <c r="G761" s="114"/>
      <c r="H761" s="114"/>
      <c r="I761" s="114"/>
      <c r="R761" s="115"/>
      <c r="S761" s="115"/>
    </row>
    <row r="762" spans="3:19">
      <c r="C762" s="114"/>
      <c r="D762" s="114"/>
      <c r="E762" s="114"/>
      <c r="F762" s="114"/>
      <c r="G762" s="114"/>
      <c r="H762" s="114"/>
      <c r="I762" s="114"/>
      <c r="R762" s="115"/>
      <c r="S762" s="115"/>
    </row>
    <row r="763" spans="3:19">
      <c r="C763" s="114"/>
      <c r="D763" s="114"/>
      <c r="E763" s="114"/>
      <c r="F763" s="114"/>
      <c r="G763" s="114"/>
      <c r="H763" s="114"/>
      <c r="I763" s="114"/>
      <c r="R763" s="115"/>
      <c r="S763" s="115"/>
    </row>
    <row r="764" spans="3:19">
      <c r="C764" s="114"/>
      <c r="D764" s="114"/>
      <c r="E764" s="114"/>
      <c r="F764" s="114"/>
      <c r="G764" s="114"/>
      <c r="H764" s="114"/>
      <c r="I764" s="114"/>
      <c r="R764" s="115"/>
      <c r="S764" s="115"/>
    </row>
    <row r="765" spans="3:19">
      <c r="C765" s="114"/>
      <c r="D765" s="114"/>
      <c r="E765" s="114"/>
      <c r="F765" s="114"/>
      <c r="G765" s="114"/>
      <c r="H765" s="114"/>
      <c r="I765" s="114"/>
      <c r="R765" s="115"/>
      <c r="S765" s="115"/>
    </row>
    <row r="766" spans="3:19">
      <c r="C766" s="114"/>
      <c r="D766" s="114"/>
      <c r="E766" s="114"/>
      <c r="F766" s="114"/>
      <c r="G766" s="114"/>
      <c r="H766" s="114"/>
      <c r="I766" s="114"/>
      <c r="R766" s="115"/>
      <c r="S766" s="115"/>
    </row>
    <row r="767" spans="3:19">
      <c r="C767" s="114"/>
      <c r="D767" s="114"/>
      <c r="E767" s="114"/>
      <c r="F767" s="114"/>
      <c r="G767" s="114"/>
      <c r="H767" s="114"/>
      <c r="I767" s="114"/>
      <c r="R767" s="115"/>
      <c r="S767" s="115"/>
    </row>
    <row r="768" spans="3:19">
      <c r="C768" s="114"/>
      <c r="D768" s="114"/>
      <c r="E768" s="114"/>
      <c r="F768" s="114"/>
      <c r="G768" s="114"/>
      <c r="H768" s="114"/>
      <c r="I768" s="114"/>
      <c r="R768" s="115"/>
      <c r="S768" s="115"/>
    </row>
    <row r="769" spans="3:19">
      <c r="C769" s="114"/>
      <c r="D769" s="114"/>
      <c r="E769" s="114"/>
      <c r="F769" s="114"/>
      <c r="G769" s="114"/>
      <c r="H769" s="114"/>
      <c r="I769" s="114"/>
      <c r="R769" s="115"/>
      <c r="S769" s="115"/>
    </row>
    <row r="770" spans="3:19">
      <c r="C770" s="114"/>
      <c r="D770" s="114"/>
      <c r="E770" s="114"/>
      <c r="F770" s="114"/>
      <c r="G770" s="114"/>
      <c r="H770" s="114"/>
      <c r="I770" s="114"/>
      <c r="R770" s="115"/>
      <c r="S770" s="115"/>
    </row>
    <row r="771" spans="3:19">
      <c r="C771" s="114"/>
      <c r="D771" s="114"/>
      <c r="E771" s="114"/>
      <c r="F771" s="114"/>
      <c r="G771" s="114"/>
      <c r="H771" s="114"/>
      <c r="I771" s="114"/>
      <c r="R771" s="115"/>
      <c r="S771" s="115"/>
    </row>
    <row r="772" spans="3:19">
      <c r="C772" s="114"/>
      <c r="D772" s="114"/>
      <c r="E772" s="114"/>
      <c r="F772" s="114"/>
      <c r="G772" s="114"/>
      <c r="H772" s="114"/>
      <c r="I772" s="114"/>
      <c r="R772" s="115"/>
      <c r="S772" s="115"/>
    </row>
    <row r="773" spans="3:19">
      <c r="C773" s="114"/>
      <c r="D773" s="114"/>
      <c r="E773" s="114"/>
      <c r="F773" s="114"/>
      <c r="G773" s="114"/>
      <c r="H773" s="114"/>
      <c r="I773" s="114"/>
      <c r="R773" s="115"/>
      <c r="S773" s="115"/>
    </row>
    <row r="774" spans="3:19">
      <c r="C774" s="114"/>
      <c r="D774" s="114"/>
      <c r="E774" s="114"/>
      <c r="F774" s="114"/>
      <c r="G774" s="114"/>
      <c r="H774" s="114"/>
      <c r="I774" s="114"/>
      <c r="R774" s="115"/>
      <c r="S774" s="115"/>
    </row>
    <row r="775" spans="3:19">
      <c r="C775" s="114"/>
      <c r="D775" s="114"/>
      <c r="E775" s="114"/>
      <c r="F775" s="114"/>
      <c r="G775" s="114"/>
      <c r="H775" s="114"/>
      <c r="I775" s="114"/>
      <c r="R775" s="115"/>
      <c r="S775" s="115"/>
    </row>
    <row r="776" spans="3:19">
      <c r="C776" s="114"/>
      <c r="D776" s="114"/>
      <c r="E776" s="114"/>
      <c r="F776" s="114"/>
      <c r="G776" s="114"/>
      <c r="H776" s="114"/>
      <c r="I776" s="114"/>
      <c r="R776" s="115"/>
      <c r="S776" s="115"/>
    </row>
    <row r="777" spans="3:19">
      <c r="C777" s="114"/>
      <c r="D777" s="114"/>
      <c r="E777" s="114"/>
      <c r="F777" s="114"/>
      <c r="G777" s="114"/>
      <c r="H777" s="114"/>
      <c r="I777" s="114"/>
      <c r="R777" s="115"/>
      <c r="S777" s="115"/>
    </row>
    <row r="778" spans="3:19">
      <c r="C778" s="114"/>
      <c r="D778" s="114"/>
      <c r="E778" s="114"/>
      <c r="F778" s="114"/>
      <c r="G778" s="114"/>
      <c r="H778" s="114"/>
      <c r="I778" s="114"/>
      <c r="R778" s="115"/>
      <c r="S778" s="115"/>
    </row>
    <row r="779" spans="3:19">
      <c r="C779" s="114"/>
      <c r="D779" s="114"/>
      <c r="E779" s="114"/>
      <c r="F779" s="114"/>
      <c r="G779" s="114"/>
      <c r="H779" s="114"/>
      <c r="I779" s="114"/>
      <c r="R779" s="115"/>
      <c r="S779" s="115"/>
    </row>
    <row r="780" spans="3:19">
      <c r="C780" s="114"/>
      <c r="D780" s="114"/>
      <c r="E780" s="114"/>
      <c r="F780" s="114"/>
      <c r="G780" s="114"/>
      <c r="H780" s="114"/>
      <c r="I780" s="114"/>
      <c r="R780" s="115"/>
      <c r="S780" s="115"/>
    </row>
    <row r="781" spans="3:19">
      <c r="C781" s="114"/>
      <c r="D781" s="114"/>
      <c r="E781" s="114"/>
      <c r="F781" s="114"/>
      <c r="G781" s="114"/>
      <c r="H781" s="114"/>
      <c r="I781" s="114"/>
      <c r="R781" s="115"/>
      <c r="S781" s="115"/>
    </row>
    <row r="782" spans="3:19">
      <c r="C782" s="114"/>
      <c r="D782" s="114"/>
      <c r="E782" s="114"/>
      <c r="F782" s="114"/>
      <c r="G782" s="114"/>
      <c r="H782" s="114"/>
      <c r="I782" s="114"/>
      <c r="R782" s="115"/>
      <c r="S782" s="115"/>
    </row>
    <row r="783" spans="3:19">
      <c r="C783" s="114"/>
      <c r="D783" s="114"/>
      <c r="E783" s="114"/>
      <c r="F783" s="114"/>
      <c r="G783" s="114"/>
      <c r="H783" s="114"/>
      <c r="I783" s="114"/>
      <c r="R783" s="115"/>
      <c r="S783" s="115"/>
    </row>
    <row r="784" spans="3:19">
      <c r="C784" s="114"/>
      <c r="D784" s="114"/>
      <c r="E784" s="114"/>
      <c r="F784" s="114"/>
      <c r="G784" s="114"/>
      <c r="H784" s="114"/>
      <c r="I784" s="114"/>
      <c r="R784" s="115"/>
      <c r="S784" s="115"/>
    </row>
    <row r="785" spans="3:19">
      <c r="C785" s="114"/>
      <c r="D785" s="114"/>
      <c r="E785" s="114"/>
      <c r="F785" s="114"/>
      <c r="G785" s="114"/>
      <c r="H785" s="114"/>
      <c r="I785" s="114"/>
      <c r="R785" s="115"/>
      <c r="S785" s="115"/>
    </row>
    <row r="786" spans="3:19">
      <c r="C786" s="114"/>
      <c r="D786" s="114"/>
      <c r="E786" s="114"/>
      <c r="F786" s="114"/>
      <c r="G786" s="114"/>
      <c r="H786" s="114"/>
      <c r="I786" s="114"/>
      <c r="R786" s="115"/>
      <c r="S786" s="115"/>
    </row>
    <row r="787" spans="3:19">
      <c r="C787" s="114"/>
      <c r="D787" s="114"/>
      <c r="E787" s="114"/>
      <c r="F787" s="114"/>
      <c r="G787" s="114"/>
      <c r="H787" s="114"/>
      <c r="I787" s="114"/>
      <c r="R787" s="115"/>
      <c r="S787" s="115"/>
    </row>
    <row r="788" spans="3:19">
      <c r="C788" s="114"/>
      <c r="D788" s="114"/>
      <c r="E788" s="114"/>
      <c r="F788" s="114"/>
      <c r="G788" s="114"/>
      <c r="H788" s="114"/>
      <c r="I788" s="114"/>
      <c r="R788" s="115"/>
      <c r="S788" s="115"/>
    </row>
    <row r="789" spans="3:19">
      <c r="C789" s="114"/>
      <c r="D789" s="114"/>
      <c r="E789" s="114"/>
      <c r="F789" s="114"/>
      <c r="G789" s="114"/>
      <c r="H789" s="114"/>
      <c r="I789" s="114"/>
      <c r="R789" s="115"/>
      <c r="S789" s="115"/>
    </row>
    <row r="790" spans="3:19">
      <c r="C790" s="114"/>
      <c r="D790" s="114"/>
      <c r="E790" s="114"/>
      <c r="F790" s="114"/>
      <c r="G790" s="114"/>
      <c r="H790" s="114"/>
      <c r="I790" s="114"/>
      <c r="R790" s="115"/>
      <c r="S790" s="115"/>
    </row>
    <row r="791" spans="3:19">
      <c r="C791" s="114"/>
      <c r="D791" s="114"/>
      <c r="E791" s="114"/>
      <c r="F791" s="114"/>
      <c r="G791" s="114"/>
      <c r="H791" s="114"/>
      <c r="I791" s="114"/>
      <c r="R791" s="115"/>
      <c r="S791" s="115"/>
    </row>
    <row r="792" spans="3:19">
      <c r="C792" s="114"/>
      <c r="D792" s="114"/>
      <c r="E792" s="114"/>
      <c r="F792" s="114"/>
      <c r="G792" s="114"/>
      <c r="H792" s="114"/>
      <c r="I792" s="114"/>
      <c r="R792" s="115"/>
      <c r="S792" s="115"/>
    </row>
    <row r="793" spans="3:19">
      <c r="C793" s="114"/>
      <c r="D793" s="114"/>
      <c r="E793" s="114"/>
      <c r="F793" s="114"/>
      <c r="G793" s="114"/>
      <c r="H793" s="114"/>
      <c r="I793" s="114"/>
      <c r="R793" s="115"/>
      <c r="S793" s="115"/>
    </row>
    <row r="794" spans="3:19">
      <c r="C794" s="114"/>
      <c r="D794" s="114"/>
      <c r="E794" s="114"/>
      <c r="F794" s="114"/>
      <c r="G794" s="114"/>
      <c r="H794" s="114"/>
      <c r="I794" s="114"/>
      <c r="R794" s="115"/>
      <c r="S794" s="115"/>
    </row>
    <row r="795" spans="3:19">
      <c r="C795" s="114"/>
      <c r="D795" s="114"/>
      <c r="E795" s="114"/>
      <c r="F795" s="114"/>
      <c r="G795" s="114"/>
      <c r="H795" s="114"/>
      <c r="I795" s="114"/>
      <c r="R795" s="115"/>
      <c r="S795" s="115"/>
    </row>
    <row r="796" spans="3:19">
      <c r="C796" s="114"/>
      <c r="D796" s="114"/>
      <c r="E796" s="114"/>
      <c r="F796" s="114"/>
      <c r="G796" s="114"/>
      <c r="H796" s="114"/>
      <c r="I796" s="114"/>
      <c r="R796" s="115"/>
      <c r="S796" s="115"/>
    </row>
    <row r="797" spans="3:19">
      <c r="C797" s="114"/>
      <c r="D797" s="114"/>
      <c r="E797" s="114"/>
      <c r="F797" s="114"/>
      <c r="G797" s="114"/>
      <c r="H797" s="114"/>
      <c r="I797" s="114"/>
      <c r="R797" s="115"/>
      <c r="S797" s="115"/>
    </row>
    <row r="798" spans="3:19">
      <c r="C798" s="114"/>
      <c r="D798" s="114"/>
      <c r="E798" s="114"/>
      <c r="F798" s="114"/>
      <c r="G798" s="114"/>
      <c r="H798" s="114"/>
      <c r="I798" s="114"/>
      <c r="R798" s="115"/>
      <c r="S798" s="115"/>
    </row>
    <row r="799" spans="3:19">
      <c r="C799" s="114"/>
      <c r="D799" s="114"/>
      <c r="E799" s="114"/>
      <c r="F799" s="114"/>
      <c r="G799" s="114"/>
      <c r="H799" s="114"/>
      <c r="I799" s="114"/>
      <c r="R799" s="115"/>
      <c r="S799" s="115"/>
    </row>
    <row r="800" spans="3:19">
      <c r="C800" s="114"/>
      <c r="D800" s="114"/>
      <c r="E800" s="114"/>
      <c r="F800" s="114"/>
      <c r="G800" s="114"/>
      <c r="H800" s="114"/>
      <c r="I800" s="114"/>
      <c r="R800" s="115"/>
      <c r="S800" s="115"/>
    </row>
    <row r="801" spans="3:19">
      <c r="C801" s="114"/>
      <c r="D801" s="114"/>
      <c r="E801" s="114"/>
      <c r="F801" s="114"/>
      <c r="G801" s="114"/>
      <c r="H801" s="114"/>
      <c r="I801" s="114"/>
      <c r="R801" s="115"/>
      <c r="S801" s="115"/>
    </row>
    <row r="802" spans="3:19">
      <c r="C802" s="114"/>
      <c r="D802" s="114"/>
      <c r="E802" s="114"/>
      <c r="F802" s="114"/>
      <c r="G802" s="114"/>
      <c r="H802" s="114"/>
      <c r="I802" s="114"/>
      <c r="R802" s="115"/>
      <c r="S802" s="115"/>
    </row>
    <row r="803" spans="3:19">
      <c r="C803" s="114"/>
      <c r="D803" s="114"/>
      <c r="E803" s="114"/>
      <c r="F803" s="114"/>
      <c r="G803" s="114"/>
      <c r="H803" s="114"/>
      <c r="I803" s="114"/>
      <c r="R803" s="115"/>
      <c r="S803" s="115"/>
    </row>
    <row r="804" spans="3:19">
      <c r="C804" s="114"/>
      <c r="D804" s="114"/>
      <c r="E804" s="114"/>
      <c r="F804" s="114"/>
      <c r="G804" s="114"/>
      <c r="H804" s="114"/>
      <c r="I804" s="114"/>
      <c r="R804" s="115"/>
      <c r="S804" s="115"/>
    </row>
    <row r="805" spans="3:19">
      <c r="C805" s="114"/>
      <c r="D805" s="114"/>
      <c r="E805" s="114"/>
      <c r="F805" s="114"/>
      <c r="G805" s="114"/>
      <c r="H805" s="114"/>
      <c r="I805" s="114"/>
      <c r="R805" s="115"/>
      <c r="S805" s="115"/>
    </row>
    <row r="806" spans="3:19">
      <c r="C806" s="114"/>
      <c r="D806" s="114"/>
      <c r="E806" s="114"/>
      <c r="F806" s="114"/>
      <c r="G806" s="114"/>
      <c r="H806" s="114"/>
      <c r="I806" s="114"/>
      <c r="R806" s="115"/>
      <c r="S806" s="115"/>
    </row>
    <row r="807" spans="3:19">
      <c r="C807" s="114"/>
      <c r="D807" s="114"/>
      <c r="E807" s="114"/>
      <c r="F807" s="114"/>
      <c r="G807" s="114"/>
      <c r="H807" s="114"/>
      <c r="I807" s="114"/>
      <c r="R807" s="115"/>
      <c r="S807" s="115"/>
    </row>
    <row r="808" spans="3:19">
      <c r="C808" s="114"/>
      <c r="D808" s="114"/>
      <c r="E808" s="114"/>
      <c r="F808" s="114"/>
      <c r="G808" s="114"/>
      <c r="H808" s="114"/>
      <c r="I808" s="114"/>
      <c r="R808" s="115"/>
      <c r="S808" s="115"/>
    </row>
    <row r="809" spans="3:19">
      <c r="C809" s="114"/>
      <c r="D809" s="114"/>
      <c r="E809" s="114"/>
      <c r="F809" s="114"/>
      <c r="G809" s="114"/>
      <c r="H809" s="114"/>
      <c r="I809" s="114"/>
      <c r="R809" s="115"/>
      <c r="S809" s="115"/>
    </row>
    <row r="810" spans="3:19">
      <c r="C810" s="114"/>
      <c r="D810" s="114"/>
      <c r="E810" s="114"/>
      <c r="F810" s="114"/>
      <c r="G810" s="114"/>
      <c r="H810" s="114"/>
      <c r="I810" s="114"/>
      <c r="R810" s="115"/>
      <c r="S810" s="115"/>
    </row>
    <row r="811" spans="3:19">
      <c r="C811" s="114"/>
      <c r="D811" s="114"/>
      <c r="E811" s="114"/>
      <c r="F811" s="114"/>
      <c r="G811" s="114"/>
      <c r="H811" s="114"/>
      <c r="I811" s="114"/>
      <c r="R811" s="115"/>
      <c r="S811" s="115"/>
    </row>
    <row r="812" spans="3:19">
      <c r="C812" s="114"/>
      <c r="D812" s="114"/>
      <c r="E812" s="114"/>
      <c r="F812" s="114"/>
      <c r="G812" s="114"/>
      <c r="H812" s="114"/>
      <c r="I812" s="114"/>
      <c r="R812" s="115"/>
      <c r="S812" s="115"/>
    </row>
    <row r="813" spans="3:19">
      <c r="C813" s="114"/>
      <c r="D813" s="114"/>
      <c r="E813" s="114"/>
      <c r="F813" s="114"/>
      <c r="G813" s="114"/>
      <c r="H813" s="114"/>
      <c r="I813" s="114"/>
      <c r="R813" s="115"/>
      <c r="S813" s="115"/>
    </row>
    <row r="814" spans="3:19">
      <c r="C814" s="114"/>
      <c r="D814" s="114"/>
      <c r="E814" s="114"/>
      <c r="F814" s="114"/>
      <c r="G814" s="114"/>
      <c r="H814" s="114"/>
      <c r="I814" s="114"/>
      <c r="R814" s="115"/>
      <c r="S814" s="115"/>
    </row>
    <row r="815" spans="3:19">
      <c r="C815" s="114"/>
      <c r="D815" s="114"/>
      <c r="E815" s="114"/>
      <c r="F815" s="114"/>
      <c r="G815" s="114"/>
      <c r="H815" s="114"/>
      <c r="I815" s="114"/>
      <c r="R815" s="115"/>
      <c r="S815" s="115"/>
    </row>
    <row r="816" spans="3:19">
      <c r="C816" s="114"/>
      <c r="D816" s="114"/>
      <c r="E816" s="114"/>
      <c r="F816" s="114"/>
      <c r="G816" s="114"/>
      <c r="H816" s="114"/>
      <c r="I816" s="114"/>
      <c r="R816" s="115"/>
      <c r="S816" s="115"/>
    </row>
    <row r="817" spans="3:19">
      <c r="C817" s="114"/>
      <c r="D817" s="114"/>
      <c r="E817" s="114"/>
      <c r="F817" s="114"/>
      <c r="G817" s="114"/>
      <c r="H817" s="114"/>
      <c r="I817" s="114"/>
      <c r="R817" s="115"/>
      <c r="S817" s="115"/>
    </row>
    <row r="818" spans="3:19">
      <c r="C818" s="114"/>
      <c r="D818" s="114"/>
      <c r="E818" s="114"/>
      <c r="F818" s="114"/>
      <c r="G818" s="114"/>
      <c r="H818" s="114"/>
      <c r="I818" s="114"/>
      <c r="R818" s="115"/>
      <c r="S818" s="115"/>
    </row>
    <row r="819" spans="3:19">
      <c r="C819" s="114"/>
      <c r="D819" s="114"/>
      <c r="E819" s="114"/>
      <c r="F819" s="114"/>
      <c r="G819" s="114"/>
      <c r="H819" s="114"/>
      <c r="I819" s="114"/>
      <c r="R819" s="115"/>
      <c r="S819" s="115"/>
    </row>
    <row r="820" spans="3:19">
      <c r="C820" s="114"/>
      <c r="D820" s="114"/>
      <c r="E820" s="114"/>
      <c r="F820" s="114"/>
      <c r="G820" s="114"/>
      <c r="H820" s="114"/>
      <c r="I820" s="114"/>
      <c r="R820" s="115"/>
      <c r="S820" s="115"/>
    </row>
    <row r="821" spans="3:19">
      <c r="C821" s="114"/>
      <c r="D821" s="114"/>
      <c r="E821" s="114"/>
      <c r="F821" s="114"/>
      <c r="G821" s="114"/>
      <c r="H821" s="114"/>
      <c r="I821" s="114"/>
      <c r="R821" s="115"/>
      <c r="S821" s="115"/>
    </row>
    <row r="822" spans="3:19">
      <c r="C822" s="114"/>
      <c r="D822" s="114"/>
      <c r="E822" s="114"/>
      <c r="F822" s="114"/>
      <c r="G822" s="114"/>
      <c r="H822" s="114"/>
      <c r="I822" s="114"/>
      <c r="R822" s="115"/>
      <c r="S822" s="115"/>
    </row>
    <row r="823" spans="3:19">
      <c r="C823" s="114"/>
      <c r="D823" s="114"/>
      <c r="E823" s="114"/>
      <c r="F823" s="114"/>
      <c r="G823" s="114"/>
      <c r="H823" s="114"/>
      <c r="I823" s="114"/>
      <c r="R823" s="115"/>
      <c r="S823" s="115"/>
    </row>
    <row r="824" spans="3:19">
      <c r="C824" s="114"/>
      <c r="D824" s="114"/>
      <c r="E824" s="114"/>
      <c r="F824" s="114"/>
      <c r="G824" s="114"/>
      <c r="H824" s="114"/>
      <c r="I824" s="114"/>
      <c r="R824" s="115"/>
      <c r="S824" s="115"/>
    </row>
    <row r="825" spans="3:19">
      <c r="C825" s="114"/>
      <c r="D825" s="114"/>
      <c r="E825" s="114"/>
      <c r="F825" s="114"/>
      <c r="G825" s="114"/>
      <c r="H825" s="114"/>
      <c r="I825" s="114"/>
      <c r="R825" s="115"/>
      <c r="S825" s="115"/>
    </row>
    <row r="826" spans="3:19">
      <c r="C826" s="114"/>
      <c r="D826" s="114"/>
      <c r="E826" s="114"/>
      <c r="F826" s="114"/>
      <c r="G826" s="114"/>
      <c r="H826" s="114"/>
      <c r="I826" s="114"/>
      <c r="R826" s="115"/>
      <c r="S826" s="115"/>
    </row>
    <row r="827" spans="3:19">
      <c r="C827" s="114"/>
      <c r="D827" s="114"/>
      <c r="E827" s="114"/>
      <c r="F827" s="114"/>
      <c r="G827" s="114"/>
      <c r="H827" s="114"/>
      <c r="I827" s="114"/>
      <c r="R827" s="115"/>
      <c r="S827" s="115"/>
    </row>
    <row r="828" spans="3:19">
      <c r="C828" s="114"/>
      <c r="D828" s="114"/>
      <c r="E828" s="114"/>
      <c r="F828" s="114"/>
      <c r="G828" s="114"/>
      <c r="H828" s="114"/>
      <c r="I828" s="114"/>
      <c r="R828" s="115"/>
      <c r="S828" s="115"/>
    </row>
    <row r="829" spans="3:19">
      <c r="C829" s="114"/>
      <c r="D829" s="114"/>
      <c r="E829" s="114"/>
      <c r="F829" s="114"/>
      <c r="G829" s="114"/>
      <c r="H829" s="114"/>
      <c r="I829" s="114"/>
      <c r="R829" s="115"/>
      <c r="S829" s="115"/>
    </row>
    <row r="830" spans="3:19">
      <c r="C830" s="114"/>
      <c r="D830" s="114"/>
      <c r="E830" s="114"/>
      <c r="F830" s="114"/>
      <c r="G830" s="114"/>
      <c r="H830" s="114"/>
      <c r="I830" s="114"/>
      <c r="R830" s="115"/>
      <c r="S830" s="115"/>
    </row>
    <row r="831" spans="3:19">
      <c r="C831" s="114"/>
      <c r="D831" s="114"/>
      <c r="E831" s="114"/>
      <c r="F831" s="114"/>
      <c r="G831" s="114"/>
      <c r="H831" s="114"/>
      <c r="I831" s="114"/>
      <c r="R831" s="115"/>
      <c r="S831" s="115"/>
    </row>
    <row r="832" spans="3:19">
      <c r="C832" s="114"/>
      <c r="D832" s="114"/>
      <c r="E832" s="114"/>
      <c r="F832" s="114"/>
      <c r="G832" s="114"/>
      <c r="H832" s="114"/>
      <c r="I832" s="114"/>
      <c r="R832" s="115"/>
      <c r="S832" s="115"/>
    </row>
    <row r="833" spans="3:19">
      <c r="C833" s="114"/>
      <c r="D833" s="114"/>
      <c r="E833" s="114"/>
      <c r="F833" s="114"/>
      <c r="G833" s="114"/>
      <c r="H833" s="114"/>
      <c r="I833" s="114"/>
      <c r="R833" s="115"/>
      <c r="S833" s="115"/>
    </row>
    <row r="834" spans="3:19">
      <c r="C834" s="114"/>
      <c r="D834" s="114"/>
      <c r="E834" s="114"/>
      <c r="F834" s="114"/>
      <c r="G834" s="114"/>
      <c r="H834" s="114"/>
      <c r="I834" s="114"/>
      <c r="R834" s="115"/>
      <c r="S834" s="115"/>
    </row>
    <row r="835" spans="3:19">
      <c r="C835" s="114"/>
      <c r="D835" s="114"/>
      <c r="E835" s="114"/>
      <c r="F835" s="114"/>
      <c r="G835" s="114"/>
      <c r="H835" s="114"/>
      <c r="I835" s="114"/>
      <c r="R835" s="115"/>
      <c r="S835" s="115"/>
    </row>
    <row r="836" spans="3:19">
      <c r="C836" s="114"/>
      <c r="D836" s="114"/>
      <c r="E836" s="114"/>
      <c r="F836" s="114"/>
      <c r="G836" s="114"/>
      <c r="H836" s="114"/>
      <c r="I836" s="114"/>
      <c r="R836" s="115"/>
      <c r="S836" s="115"/>
    </row>
    <row r="837" spans="3:19">
      <c r="C837" s="114"/>
      <c r="D837" s="114"/>
      <c r="E837" s="114"/>
      <c r="F837" s="114"/>
      <c r="G837" s="114"/>
      <c r="H837" s="114"/>
      <c r="I837" s="114"/>
      <c r="R837" s="115"/>
      <c r="S837" s="115"/>
    </row>
    <row r="838" spans="3:19">
      <c r="C838" s="114"/>
      <c r="D838" s="114"/>
      <c r="E838" s="114"/>
      <c r="F838" s="114"/>
      <c r="G838" s="114"/>
      <c r="H838" s="114"/>
      <c r="I838" s="114"/>
      <c r="R838" s="115"/>
      <c r="S838" s="115"/>
    </row>
    <row r="839" spans="3:19">
      <c r="C839" s="114"/>
      <c r="D839" s="114"/>
      <c r="E839" s="114"/>
      <c r="F839" s="114"/>
      <c r="G839" s="114"/>
      <c r="H839" s="114"/>
      <c r="I839" s="114"/>
      <c r="R839" s="115"/>
      <c r="S839" s="115"/>
    </row>
    <row r="840" spans="3:19">
      <c r="C840" s="114"/>
      <c r="D840" s="114"/>
      <c r="E840" s="114"/>
      <c r="F840" s="114"/>
      <c r="G840" s="114"/>
      <c r="H840" s="114"/>
      <c r="I840" s="114"/>
      <c r="R840" s="115"/>
      <c r="S840" s="115"/>
    </row>
    <row r="841" spans="3:19">
      <c r="C841" s="114"/>
      <c r="D841" s="114"/>
      <c r="E841" s="114"/>
      <c r="F841" s="114"/>
      <c r="G841" s="114"/>
      <c r="H841" s="114"/>
      <c r="I841" s="114"/>
      <c r="R841" s="115"/>
      <c r="S841" s="115"/>
    </row>
    <row r="842" spans="3:19">
      <c r="C842" s="114"/>
      <c r="D842" s="114"/>
      <c r="E842" s="114"/>
      <c r="F842" s="114"/>
      <c r="G842" s="114"/>
      <c r="H842" s="114"/>
      <c r="I842" s="114"/>
      <c r="R842" s="115"/>
      <c r="S842" s="115"/>
    </row>
    <row r="843" spans="3:19">
      <c r="C843" s="114"/>
      <c r="D843" s="114"/>
      <c r="E843" s="114"/>
      <c r="F843" s="114"/>
      <c r="G843" s="114"/>
      <c r="H843" s="114"/>
      <c r="I843" s="114"/>
      <c r="R843" s="115"/>
      <c r="S843" s="115"/>
    </row>
    <row r="844" spans="3:19">
      <c r="C844" s="114"/>
      <c r="D844" s="114"/>
      <c r="E844" s="114"/>
      <c r="F844" s="114"/>
      <c r="G844" s="114"/>
      <c r="H844" s="114"/>
      <c r="I844" s="114"/>
      <c r="R844" s="115"/>
      <c r="S844" s="115"/>
    </row>
    <row r="845" spans="3:19">
      <c r="C845" s="114"/>
      <c r="D845" s="114"/>
      <c r="E845" s="114"/>
      <c r="F845" s="114"/>
      <c r="G845" s="114"/>
      <c r="H845" s="114"/>
      <c r="I845" s="114"/>
      <c r="R845" s="115"/>
      <c r="S845" s="115"/>
    </row>
    <row r="846" spans="3:19">
      <c r="C846" s="114"/>
      <c r="D846" s="114"/>
      <c r="E846" s="114"/>
      <c r="F846" s="114"/>
      <c r="G846" s="114"/>
      <c r="H846" s="114"/>
      <c r="I846" s="114"/>
      <c r="R846" s="115"/>
      <c r="S846" s="115"/>
    </row>
    <row r="847" spans="3:19">
      <c r="C847" s="114"/>
      <c r="D847" s="114"/>
      <c r="E847" s="114"/>
      <c r="F847" s="114"/>
      <c r="G847" s="114"/>
      <c r="H847" s="114"/>
      <c r="I847" s="114"/>
      <c r="R847" s="115"/>
      <c r="S847" s="115"/>
    </row>
    <row r="848" spans="3:19">
      <c r="C848" s="114"/>
      <c r="D848" s="114"/>
      <c r="E848" s="114"/>
      <c r="F848" s="114"/>
      <c r="G848" s="114"/>
      <c r="H848" s="114"/>
      <c r="I848" s="114"/>
      <c r="R848" s="115"/>
      <c r="S848" s="115"/>
    </row>
    <row r="849" spans="3:19">
      <c r="C849" s="114"/>
      <c r="D849" s="114"/>
      <c r="E849" s="114"/>
      <c r="F849" s="114"/>
      <c r="G849" s="114"/>
      <c r="H849" s="114"/>
      <c r="I849" s="114"/>
      <c r="R849" s="115"/>
      <c r="S849" s="115"/>
    </row>
    <row r="850" spans="3:19">
      <c r="C850" s="114"/>
      <c r="D850" s="114"/>
      <c r="E850" s="114"/>
      <c r="F850" s="114"/>
      <c r="G850" s="114"/>
      <c r="H850" s="114"/>
      <c r="I850" s="114"/>
      <c r="R850" s="115"/>
      <c r="S850" s="115"/>
    </row>
    <row r="851" spans="3:19">
      <c r="C851" s="114"/>
      <c r="D851" s="114"/>
      <c r="E851" s="114"/>
      <c r="F851" s="114"/>
      <c r="G851" s="114"/>
      <c r="H851" s="114"/>
      <c r="I851" s="114"/>
      <c r="R851" s="115"/>
      <c r="S851" s="115"/>
    </row>
    <row r="852" spans="3:19">
      <c r="C852" s="114"/>
      <c r="D852" s="114"/>
      <c r="E852" s="114"/>
      <c r="F852" s="114"/>
      <c r="G852" s="114"/>
      <c r="H852" s="114"/>
      <c r="I852" s="114"/>
      <c r="R852" s="115"/>
      <c r="S852" s="115"/>
    </row>
    <row r="853" spans="3:19">
      <c r="C853" s="114"/>
      <c r="D853" s="114"/>
      <c r="E853" s="114"/>
      <c r="F853" s="114"/>
      <c r="G853" s="114"/>
      <c r="H853" s="114"/>
      <c r="I853" s="114"/>
      <c r="R853" s="115"/>
      <c r="S853" s="115"/>
    </row>
    <row r="854" spans="3:19">
      <c r="C854" s="114"/>
      <c r="D854" s="114"/>
      <c r="E854" s="114"/>
      <c r="F854" s="114"/>
      <c r="G854" s="114"/>
      <c r="H854" s="114"/>
      <c r="I854" s="114"/>
      <c r="R854" s="115"/>
      <c r="S854" s="115"/>
    </row>
    <row r="855" spans="3:19">
      <c r="C855" s="114"/>
      <c r="D855" s="114"/>
      <c r="E855" s="114"/>
      <c r="F855" s="114"/>
      <c r="G855" s="114"/>
      <c r="H855" s="114"/>
      <c r="I855" s="114"/>
      <c r="R855" s="115"/>
      <c r="S855" s="115"/>
    </row>
    <row r="856" spans="3:19">
      <c r="C856" s="114"/>
      <c r="D856" s="114"/>
      <c r="E856" s="114"/>
      <c r="F856" s="114"/>
      <c r="G856" s="114"/>
      <c r="H856" s="114"/>
      <c r="I856" s="114"/>
      <c r="R856" s="115"/>
      <c r="S856" s="115"/>
    </row>
    <row r="857" spans="3:19">
      <c r="C857" s="114"/>
      <c r="D857" s="114"/>
      <c r="E857" s="114"/>
      <c r="F857" s="114"/>
      <c r="G857" s="114"/>
      <c r="H857" s="114"/>
      <c r="I857" s="114"/>
      <c r="R857" s="115"/>
      <c r="S857" s="115"/>
    </row>
    <row r="858" spans="3:19">
      <c r="C858" s="114"/>
      <c r="D858" s="114"/>
      <c r="E858" s="114"/>
      <c r="F858" s="114"/>
      <c r="G858" s="114"/>
      <c r="H858" s="114"/>
      <c r="I858" s="114"/>
      <c r="R858" s="115"/>
      <c r="S858" s="115"/>
    </row>
    <row r="859" spans="3:19">
      <c r="C859" s="114"/>
      <c r="D859" s="114"/>
      <c r="E859" s="114"/>
      <c r="F859" s="114"/>
      <c r="G859" s="114"/>
      <c r="H859" s="114"/>
      <c r="I859" s="114"/>
      <c r="R859" s="115"/>
      <c r="S859" s="115"/>
    </row>
    <row r="860" spans="3:19">
      <c r="C860" s="114"/>
      <c r="D860" s="114"/>
      <c r="E860" s="114"/>
      <c r="F860" s="114"/>
      <c r="G860" s="114"/>
      <c r="H860" s="114"/>
      <c r="I860" s="114"/>
      <c r="R860" s="115"/>
      <c r="S860" s="115"/>
    </row>
    <row r="861" spans="3:19">
      <c r="C861" s="114"/>
      <c r="D861" s="114"/>
      <c r="E861" s="114"/>
      <c r="F861" s="114"/>
      <c r="G861" s="114"/>
      <c r="H861" s="114"/>
      <c r="I861" s="114"/>
      <c r="R861" s="115"/>
      <c r="S861" s="115"/>
    </row>
    <row r="862" spans="3:19">
      <c r="C862" s="114"/>
      <c r="D862" s="114"/>
      <c r="E862" s="114"/>
      <c r="F862" s="114"/>
      <c r="G862" s="114"/>
      <c r="H862" s="114"/>
      <c r="I862" s="114"/>
      <c r="R862" s="115"/>
      <c r="S862" s="115"/>
    </row>
    <row r="863" spans="3:19">
      <c r="C863" s="114"/>
      <c r="D863" s="114"/>
      <c r="E863" s="114"/>
      <c r="F863" s="114"/>
      <c r="G863" s="114"/>
      <c r="H863" s="114"/>
      <c r="I863" s="114"/>
      <c r="R863" s="115"/>
      <c r="S863" s="115"/>
    </row>
    <row r="864" spans="3:19">
      <c r="C864" s="114"/>
      <c r="D864" s="114"/>
      <c r="E864" s="114"/>
      <c r="F864" s="114"/>
      <c r="G864" s="114"/>
      <c r="H864" s="114"/>
      <c r="I864" s="114"/>
      <c r="R864" s="115"/>
      <c r="S864" s="115"/>
    </row>
    <row r="865" spans="3:19">
      <c r="C865" s="114"/>
      <c r="D865" s="114"/>
      <c r="E865" s="114"/>
      <c r="F865" s="114"/>
      <c r="G865" s="114"/>
      <c r="H865" s="114"/>
      <c r="I865" s="114"/>
      <c r="R865" s="115"/>
      <c r="S865" s="115"/>
    </row>
    <row r="866" spans="3:19">
      <c r="C866" s="114"/>
      <c r="D866" s="114"/>
      <c r="E866" s="114"/>
      <c r="F866" s="114"/>
      <c r="G866" s="114"/>
      <c r="H866" s="114"/>
      <c r="I866" s="114"/>
      <c r="R866" s="115"/>
      <c r="S866" s="115"/>
    </row>
    <row r="867" spans="3:19">
      <c r="C867" s="114"/>
      <c r="D867" s="114"/>
      <c r="E867" s="114"/>
      <c r="F867" s="114"/>
      <c r="G867" s="114"/>
      <c r="H867" s="114"/>
      <c r="I867" s="114"/>
      <c r="R867" s="115"/>
      <c r="S867" s="115"/>
    </row>
    <row r="868" spans="3:19">
      <c r="C868" s="114"/>
      <c r="D868" s="114"/>
      <c r="E868" s="114"/>
      <c r="F868" s="114"/>
      <c r="G868" s="114"/>
      <c r="H868" s="114"/>
      <c r="I868" s="114"/>
      <c r="R868" s="115"/>
      <c r="S868" s="115"/>
    </row>
    <row r="869" spans="3:19">
      <c r="C869" s="114"/>
      <c r="D869" s="114"/>
      <c r="E869" s="114"/>
      <c r="F869" s="114"/>
      <c r="G869" s="114"/>
      <c r="H869" s="114"/>
      <c r="I869" s="114"/>
      <c r="R869" s="115"/>
      <c r="S869" s="115"/>
    </row>
    <row r="870" spans="3:19">
      <c r="C870" s="114"/>
      <c r="D870" s="114"/>
      <c r="E870" s="114"/>
      <c r="F870" s="114"/>
      <c r="G870" s="114"/>
      <c r="H870" s="114"/>
      <c r="I870" s="114"/>
      <c r="R870" s="115"/>
      <c r="S870" s="115"/>
    </row>
    <row r="871" spans="3:19">
      <c r="C871" s="114"/>
      <c r="D871" s="114"/>
      <c r="E871" s="114"/>
      <c r="F871" s="114"/>
      <c r="G871" s="114"/>
      <c r="H871" s="114"/>
      <c r="I871" s="114"/>
      <c r="R871" s="115"/>
      <c r="S871" s="115"/>
    </row>
    <row r="872" spans="3:19">
      <c r="C872" s="114"/>
      <c r="D872" s="114"/>
      <c r="E872" s="114"/>
      <c r="F872" s="114"/>
      <c r="G872" s="114"/>
      <c r="H872" s="114"/>
      <c r="I872" s="114"/>
      <c r="R872" s="115"/>
      <c r="S872" s="115"/>
    </row>
    <row r="873" spans="3:19">
      <c r="C873" s="114"/>
      <c r="D873" s="114"/>
      <c r="E873" s="114"/>
      <c r="F873" s="114"/>
      <c r="G873" s="114"/>
      <c r="H873" s="114"/>
      <c r="I873" s="114"/>
      <c r="R873" s="115"/>
      <c r="S873" s="115"/>
    </row>
    <row r="874" spans="3:19">
      <c r="C874" s="114"/>
      <c r="D874" s="114"/>
      <c r="E874" s="114"/>
      <c r="F874" s="114"/>
      <c r="G874" s="114"/>
      <c r="H874" s="114"/>
      <c r="I874" s="114"/>
      <c r="R874" s="115"/>
      <c r="S874" s="115"/>
    </row>
    <row r="875" spans="3:19">
      <c r="C875" s="114"/>
      <c r="D875" s="114"/>
      <c r="E875" s="114"/>
      <c r="F875" s="114"/>
      <c r="G875" s="114"/>
      <c r="H875" s="114"/>
      <c r="I875" s="114"/>
      <c r="R875" s="115"/>
      <c r="S875" s="115"/>
    </row>
    <row r="876" spans="3:19">
      <c r="C876" s="114"/>
      <c r="D876" s="114"/>
      <c r="E876" s="114"/>
      <c r="F876" s="114"/>
      <c r="G876" s="114"/>
      <c r="H876" s="114"/>
      <c r="I876" s="114"/>
      <c r="R876" s="115"/>
      <c r="S876" s="115"/>
    </row>
    <row r="877" spans="3:19">
      <c r="C877" s="114"/>
      <c r="D877" s="114"/>
      <c r="E877" s="114"/>
      <c r="F877" s="114"/>
      <c r="G877" s="114"/>
      <c r="H877" s="114"/>
      <c r="I877" s="114"/>
      <c r="R877" s="115"/>
      <c r="S877" s="115"/>
    </row>
    <row r="878" spans="3:19">
      <c r="C878" s="114"/>
      <c r="D878" s="114"/>
      <c r="E878" s="114"/>
      <c r="F878" s="114"/>
      <c r="G878" s="114"/>
      <c r="H878" s="114"/>
      <c r="I878" s="114"/>
      <c r="R878" s="115"/>
      <c r="S878" s="115"/>
    </row>
    <row r="879" spans="3:19">
      <c r="C879" s="114"/>
      <c r="D879" s="114"/>
      <c r="E879" s="114"/>
      <c r="F879" s="114"/>
      <c r="G879" s="114"/>
      <c r="H879" s="114"/>
      <c r="I879" s="114"/>
      <c r="R879" s="115"/>
      <c r="S879" s="115"/>
    </row>
    <row r="880" spans="3:19">
      <c r="C880" s="114"/>
      <c r="D880" s="114"/>
      <c r="E880" s="114"/>
      <c r="F880" s="114"/>
      <c r="G880" s="114"/>
      <c r="H880" s="114"/>
      <c r="I880" s="114"/>
      <c r="R880" s="115"/>
      <c r="S880" s="115"/>
    </row>
    <row r="881" spans="3:19">
      <c r="C881" s="114"/>
      <c r="D881" s="114"/>
      <c r="E881" s="114"/>
      <c r="F881" s="114"/>
      <c r="G881" s="114"/>
      <c r="H881" s="114"/>
      <c r="I881" s="114"/>
      <c r="R881" s="115"/>
      <c r="S881" s="115"/>
    </row>
    <row r="882" spans="3:19">
      <c r="C882" s="114"/>
      <c r="D882" s="114"/>
      <c r="E882" s="114"/>
      <c r="F882" s="114"/>
      <c r="G882" s="114"/>
      <c r="H882" s="114"/>
      <c r="I882" s="114"/>
      <c r="R882" s="115"/>
      <c r="S882" s="115"/>
    </row>
    <row r="883" spans="3:19">
      <c r="C883" s="114"/>
      <c r="D883" s="114"/>
      <c r="E883" s="114"/>
      <c r="F883" s="114"/>
      <c r="G883" s="114"/>
      <c r="H883" s="114"/>
      <c r="I883" s="114"/>
      <c r="R883" s="115"/>
      <c r="S883" s="115"/>
    </row>
    <row r="884" spans="3:19">
      <c r="C884" s="114"/>
      <c r="D884" s="114"/>
      <c r="E884" s="114"/>
      <c r="F884" s="114"/>
      <c r="G884" s="114"/>
      <c r="H884" s="114"/>
      <c r="I884" s="114"/>
      <c r="R884" s="115"/>
      <c r="S884" s="115"/>
    </row>
    <row r="885" spans="3:19">
      <c r="C885" s="114"/>
      <c r="D885" s="114"/>
      <c r="E885" s="114"/>
      <c r="F885" s="114"/>
      <c r="G885" s="114"/>
      <c r="H885" s="114"/>
      <c r="I885" s="114"/>
      <c r="R885" s="115"/>
      <c r="S885" s="115"/>
    </row>
    <row r="886" spans="3:19">
      <c r="C886" s="114"/>
      <c r="D886" s="114"/>
      <c r="E886" s="114"/>
      <c r="F886" s="114"/>
      <c r="G886" s="114"/>
      <c r="H886" s="114"/>
      <c r="I886" s="114"/>
      <c r="R886" s="115"/>
      <c r="S886" s="115"/>
    </row>
    <row r="887" spans="3:19">
      <c r="C887" s="114"/>
      <c r="D887" s="114"/>
      <c r="E887" s="114"/>
      <c r="F887" s="114"/>
      <c r="G887" s="114"/>
      <c r="H887" s="114"/>
      <c r="I887" s="114"/>
      <c r="R887" s="115"/>
      <c r="S887" s="115"/>
    </row>
    <row r="888" spans="3:19">
      <c r="C888" s="114"/>
      <c r="D888" s="114"/>
      <c r="E888" s="114"/>
      <c r="F888" s="114"/>
      <c r="G888" s="114"/>
      <c r="H888" s="114"/>
      <c r="I888" s="114"/>
      <c r="R888" s="115"/>
      <c r="S888" s="115"/>
    </row>
    <row r="889" spans="3:19">
      <c r="C889" s="114"/>
      <c r="D889" s="114"/>
      <c r="E889" s="114"/>
      <c r="F889" s="114"/>
      <c r="G889" s="114"/>
      <c r="H889" s="114"/>
      <c r="I889" s="114"/>
      <c r="R889" s="115"/>
      <c r="S889" s="115"/>
    </row>
    <row r="890" spans="3:19">
      <c r="C890" s="114"/>
      <c r="D890" s="114"/>
      <c r="E890" s="114"/>
      <c r="F890" s="114"/>
      <c r="G890" s="114"/>
      <c r="H890" s="114"/>
      <c r="I890" s="114"/>
      <c r="R890" s="115"/>
      <c r="S890" s="115"/>
    </row>
    <row r="891" spans="3:19">
      <c r="C891" s="114"/>
      <c r="D891" s="114"/>
      <c r="E891" s="114"/>
      <c r="F891" s="114"/>
      <c r="G891" s="114"/>
      <c r="H891" s="114"/>
      <c r="I891" s="114"/>
      <c r="R891" s="115"/>
      <c r="S891" s="115"/>
    </row>
    <row r="892" spans="3:19">
      <c r="C892" s="114"/>
      <c r="D892" s="114"/>
      <c r="E892" s="114"/>
      <c r="F892" s="114"/>
      <c r="G892" s="114"/>
      <c r="H892" s="114"/>
      <c r="I892" s="114"/>
      <c r="R892" s="115"/>
      <c r="S892" s="115"/>
    </row>
    <row r="893" spans="3:19">
      <c r="C893" s="114"/>
      <c r="D893" s="114"/>
      <c r="E893" s="114"/>
      <c r="F893" s="114"/>
      <c r="G893" s="114"/>
      <c r="H893" s="114"/>
      <c r="I893" s="114"/>
      <c r="R893" s="115"/>
      <c r="S893" s="115"/>
    </row>
    <row r="894" spans="3:19">
      <c r="C894" s="114"/>
      <c r="D894" s="114"/>
      <c r="E894" s="114"/>
      <c r="F894" s="114"/>
      <c r="G894" s="114"/>
      <c r="H894" s="114"/>
      <c r="I894" s="114"/>
      <c r="R894" s="115"/>
      <c r="S894" s="115"/>
    </row>
    <row r="895" spans="3:19">
      <c r="C895" s="114"/>
      <c r="D895" s="114"/>
      <c r="E895" s="114"/>
      <c r="F895" s="114"/>
      <c r="G895" s="114"/>
      <c r="H895" s="114"/>
      <c r="I895" s="114"/>
      <c r="R895" s="115"/>
      <c r="S895" s="115"/>
    </row>
    <row r="896" spans="3:19">
      <c r="C896" s="114"/>
      <c r="D896" s="114"/>
      <c r="E896" s="114"/>
      <c r="F896" s="114"/>
      <c r="G896" s="114"/>
      <c r="H896" s="114"/>
      <c r="I896" s="114"/>
      <c r="R896" s="115"/>
      <c r="S896" s="115"/>
    </row>
    <row r="897" spans="3:19">
      <c r="C897" s="114"/>
      <c r="D897" s="114"/>
      <c r="E897" s="114"/>
      <c r="F897" s="114"/>
      <c r="G897" s="114"/>
      <c r="H897" s="114"/>
      <c r="I897" s="114"/>
      <c r="R897" s="115"/>
      <c r="S897" s="115"/>
    </row>
    <row r="898" spans="3:19">
      <c r="C898" s="114"/>
      <c r="D898" s="114"/>
      <c r="E898" s="114"/>
      <c r="F898" s="114"/>
      <c r="G898" s="114"/>
      <c r="H898" s="114"/>
      <c r="I898" s="114"/>
      <c r="R898" s="115"/>
      <c r="S898" s="115"/>
    </row>
    <row r="899" spans="3:19">
      <c r="C899" s="114"/>
      <c r="D899" s="114"/>
      <c r="E899" s="114"/>
      <c r="F899" s="114"/>
      <c r="G899" s="114"/>
      <c r="H899" s="114"/>
      <c r="I899" s="114"/>
      <c r="R899" s="115"/>
      <c r="S899" s="115"/>
    </row>
    <row r="900" spans="3:19">
      <c r="C900" s="114"/>
      <c r="D900" s="114"/>
      <c r="E900" s="114"/>
      <c r="F900" s="114"/>
      <c r="G900" s="114"/>
      <c r="H900" s="114"/>
      <c r="I900" s="114"/>
      <c r="R900" s="115"/>
      <c r="S900" s="115"/>
    </row>
    <row r="901" spans="3:19">
      <c r="C901" s="114"/>
      <c r="D901" s="114"/>
      <c r="E901" s="114"/>
      <c r="F901" s="114"/>
      <c r="G901" s="114"/>
      <c r="H901" s="114"/>
      <c r="I901" s="114"/>
      <c r="R901" s="115"/>
      <c r="S901" s="115"/>
    </row>
    <row r="902" spans="3:19">
      <c r="C902" s="114"/>
      <c r="D902" s="114"/>
      <c r="E902" s="114"/>
      <c r="F902" s="114"/>
      <c r="G902" s="114"/>
      <c r="H902" s="114"/>
      <c r="I902" s="114"/>
      <c r="R902" s="115"/>
      <c r="S902" s="115"/>
    </row>
    <row r="903" spans="3:19">
      <c r="C903" s="114"/>
      <c r="D903" s="114"/>
      <c r="E903" s="114"/>
      <c r="F903" s="114"/>
      <c r="G903" s="114"/>
      <c r="H903" s="114"/>
      <c r="I903" s="114"/>
      <c r="R903" s="115"/>
      <c r="S903" s="115"/>
    </row>
    <row r="904" spans="3:19">
      <c r="C904" s="114"/>
      <c r="D904" s="114"/>
      <c r="E904" s="114"/>
      <c r="F904" s="114"/>
      <c r="G904" s="114"/>
      <c r="H904" s="114"/>
      <c r="I904" s="114"/>
      <c r="R904" s="115"/>
      <c r="S904" s="115"/>
    </row>
    <row r="905" spans="3:19">
      <c r="C905" s="114"/>
      <c r="D905" s="114"/>
      <c r="E905" s="114"/>
      <c r="F905" s="114"/>
      <c r="G905" s="114"/>
      <c r="H905" s="114"/>
      <c r="I905" s="114"/>
      <c r="R905" s="115"/>
      <c r="S905" s="115"/>
    </row>
    <row r="906" spans="3:19">
      <c r="C906" s="114"/>
      <c r="D906" s="114"/>
      <c r="E906" s="114"/>
      <c r="F906" s="114"/>
      <c r="G906" s="114"/>
      <c r="H906" s="114"/>
      <c r="I906" s="114"/>
      <c r="R906" s="115"/>
      <c r="S906" s="115"/>
    </row>
    <row r="907" spans="3:19">
      <c r="C907" s="114"/>
      <c r="D907" s="114"/>
      <c r="E907" s="114"/>
      <c r="F907" s="114"/>
      <c r="G907" s="114"/>
      <c r="H907" s="114"/>
      <c r="I907" s="114"/>
      <c r="R907" s="115"/>
      <c r="S907" s="115"/>
    </row>
    <row r="908" spans="3:19">
      <c r="C908" s="114"/>
      <c r="D908" s="114"/>
      <c r="E908" s="114"/>
      <c r="F908" s="114"/>
      <c r="G908" s="114"/>
      <c r="H908" s="114"/>
      <c r="I908" s="114"/>
      <c r="R908" s="115"/>
      <c r="S908" s="115"/>
    </row>
    <row r="909" spans="3:19">
      <c r="C909" s="114"/>
      <c r="D909" s="114"/>
      <c r="E909" s="114"/>
      <c r="F909" s="114"/>
      <c r="G909" s="114"/>
      <c r="H909" s="114"/>
      <c r="I909" s="114"/>
      <c r="R909" s="115"/>
      <c r="S909" s="115"/>
    </row>
    <row r="910" spans="3:19">
      <c r="C910" s="114"/>
      <c r="D910" s="114"/>
      <c r="E910" s="114"/>
      <c r="F910" s="114"/>
      <c r="G910" s="114"/>
      <c r="H910" s="114"/>
      <c r="I910" s="114"/>
      <c r="R910" s="115"/>
      <c r="S910" s="115"/>
    </row>
    <row r="911" spans="3:19">
      <c r="C911" s="114"/>
      <c r="D911" s="114"/>
      <c r="E911" s="114"/>
      <c r="F911" s="114"/>
      <c r="G911" s="114"/>
      <c r="H911" s="114"/>
      <c r="I911" s="114"/>
      <c r="R911" s="115"/>
      <c r="S911" s="115"/>
    </row>
    <row r="912" spans="3:19">
      <c r="C912" s="114"/>
      <c r="D912" s="114"/>
      <c r="E912" s="114"/>
      <c r="F912" s="114"/>
      <c r="G912" s="114"/>
      <c r="H912" s="114"/>
      <c r="I912" s="114"/>
      <c r="R912" s="115"/>
      <c r="S912" s="115"/>
    </row>
    <row r="913" spans="3:19">
      <c r="C913" s="114"/>
      <c r="D913" s="114"/>
      <c r="E913" s="114"/>
      <c r="F913" s="114"/>
      <c r="G913" s="114"/>
      <c r="H913" s="114"/>
      <c r="I913" s="114"/>
      <c r="R913" s="115"/>
      <c r="S913" s="115"/>
    </row>
    <row r="914" spans="3:19">
      <c r="C914" s="114"/>
      <c r="D914" s="114"/>
      <c r="E914" s="114"/>
      <c r="F914" s="114"/>
      <c r="G914" s="114"/>
      <c r="H914" s="114"/>
      <c r="I914" s="114"/>
      <c r="R914" s="115"/>
      <c r="S914" s="115"/>
    </row>
    <row r="915" spans="3:19">
      <c r="C915" s="114"/>
      <c r="D915" s="114"/>
      <c r="E915" s="114"/>
      <c r="F915" s="114"/>
      <c r="G915" s="114"/>
      <c r="H915" s="114"/>
      <c r="I915" s="114"/>
      <c r="R915" s="115"/>
      <c r="S915" s="115"/>
    </row>
    <row r="916" spans="3:19">
      <c r="C916" s="114"/>
      <c r="D916" s="114"/>
      <c r="E916" s="114"/>
      <c r="F916" s="114"/>
      <c r="G916" s="114"/>
      <c r="H916" s="114"/>
      <c r="I916" s="114"/>
      <c r="R916" s="115"/>
      <c r="S916" s="115"/>
    </row>
    <row r="917" spans="3:19">
      <c r="C917" s="114"/>
      <c r="D917" s="114"/>
      <c r="E917" s="114"/>
      <c r="F917" s="114"/>
      <c r="G917" s="114"/>
      <c r="H917" s="114"/>
      <c r="I917" s="114"/>
      <c r="R917" s="115"/>
      <c r="S917" s="115"/>
    </row>
    <row r="918" spans="3:19">
      <c r="C918" s="114"/>
      <c r="D918" s="114"/>
      <c r="E918" s="114"/>
      <c r="F918" s="114"/>
      <c r="G918" s="114"/>
      <c r="H918" s="114"/>
      <c r="I918" s="114"/>
      <c r="R918" s="115"/>
      <c r="S918" s="115"/>
    </row>
    <row r="919" spans="3:19">
      <c r="C919" s="114"/>
      <c r="D919" s="114"/>
      <c r="E919" s="114"/>
      <c r="F919" s="114"/>
      <c r="G919" s="114"/>
      <c r="H919" s="114"/>
      <c r="I919" s="114"/>
      <c r="R919" s="115"/>
      <c r="S919" s="115"/>
    </row>
    <row r="920" spans="3:19">
      <c r="C920" s="114"/>
      <c r="D920" s="114"/>
      <c r="E920" s="114"/>
      <c r="F920" s="114"/>
      <c r="G920" s="114"/>
      <c r="H920" s="114"/>
      <c r="I920" s="114"/>
      <c r="R920" s="115"/>
      <c r="S920" s="115"/>
    </row>
    <row r="921" spans="3:19">
      <c r="C921" s="114"/>
      <c r="D921" s="114"/>
      <c r="E921" s="114"/>
      <c r="F921" s="114"/>
      <c r="G921" s="114"/>
      <c r="H921" s="114"/>
      <c r="I921" s="114"/>
      <c r="R921" s="115"/>
      <c r="S921" s="115"/>
    </row>
    <row r="922" spans="3:19">
      <c r="C922" s="114"/>
      <c r="D922" s="114"/>
      <c r="E922" s="114"/>
      <c r="F922" s="114"/>
      <c r="G922" s="114"/>
      <c r="H922" s="114"/>
      <c r="I922" s="114"/>
      <c r="R922" s="115"/>
      <c r="S922" s="115"/>
    </row>
    <row r="923" spans="3:19">
      <c r="C923" s="114"/>
      <c r="D923" s="114"/>
      <c r="E923" s="114"/>
      <c r="F923" s="114"/>
      <c r="G923" s="114"/>
      <c r="H923" s="114"/>
      <c r="I923" s="114"/>
      <c r="R923" s="115"/>
      <c r="S923" s="115"/>
    </row>
    <row r="924" spans="3:19">
      <c r="C924" s="114"/>
      <c r="D924" s="114"/>
      <c r="E924" s="114"/>
      <c r="F924" s="114"/>
      <c r="G924" s="114"/>
      <c r="H924" s="114"/>
      <c r="I924" s="114"/>
      <c r="R924" s="115"/>
      <c r="S924" s="115"/>
    </row>
    <row r="925" spans="3:19">
      <c r="C925" s="114"/>
      <c r="D925" s="114"/>
      <c r="E925" s="114"/>
      <c r="F925" s="114"/>
      <c r="G925" s="114"/>
      <c r="H925" s="114"/>
      <c r="I925" s="114"/>
      <c r="R925" s="115"/>
      <c r="S925" s="115"/>
    </row>
    <row r="926" spans="3:19">
      <c r="C926" s="114"/>
      <c r="D926" s="114"/>
      <c r="E926" s="114"/>
      <c r="F926" s="114"/>
      <c r="G926" s="114"/>
      <c r="H926" s="114"/>
      <c r="I926" s="114"/>
      <c r="R926" s="115"/>
      <c r="S926" s="115"/>
    </row>
    <row r="927" spans="3:19">
      <c r="C927" s="114"/>
      <c r="D927" s="114"/>
      <c r="E927" s="114"/>
      <c r="F927" s="114"/>
      <c r="G927" s="114"/>
      <c r="H927" s="114"/>
      <c r="I927" s="114"/>
      <c r="R927" s="115"/>
      <c r="S927" s="115"/>
    </row>
    <row r="928" spans="3:19">
      <c r="C928" s="114"/>
      <c r="D928" s="114"/>
      <c r="E928" s="114"/>
      <c r="F928" s="114"/>
      <c r="G928" s="114"/>
      <c r="H928" s="114"/>
      <c r="I928" s="114"/>
      <c r="R928" s="115"/>
      <c r="S928" s="115"/>
    </row>
    <row r="929" spans="3:19">
      <c r="C929" s="114"/>
      <c r="D929" s="114"/>
      <c r="E929" s="114"/>
      <c r="F929" s="114"/>
      <c r="G929" s="114"/>
      <c r="H929" s="114"/>
      <c r="I929" s="114"/>
      <c r="R929" s="115"/>
      <c r="S929" s="115"/>
    </row>
    <row r="930" spans="3:19">
      <c r="C930" s="114"/>
      <c r="D930" s="114"/>
      <c r="E930" s="114"/>
      <c r="F930" s="114"/>
      <c r="G930" s="114"/>
      <c r="H930" s="114"/>
      <c r="I930" s="114"/>
      <c r="R930" s="115"/>
      <c r="S930" s="115"/>
    </row>
    <row r="931" spans="3:19">
      <c r="C931" s="114"/>
      <c r="D931" s="114"/>
      <c r="E931" s="114"/>
      <c r="F931" s="114"/>
      <c r="G931" s="114"/>
      <c r="H931" s="114"/>
      <c r="I931" s="114"/>
      <c r="R931" s="115"/>
      <c r="S931" s="115"/>
    </row>
    <row r="932" spans="3:19">
      <c r="C932" s="114"/>
      <c r="D932" s="114"/>
      <c r="E932" s="114"/>
      <c r="F932" s="114"/>
      <c r="G932" s="114"/>
      <c r="H932" s="114"/>
      <c r="I932" s="114"/>
      <c r="R932" s="115"/>
      <c r="S932" s="115"/>
    </row>
    <row r="933" spans="3:19">
      <c r="C933" s="114"/>
      <c r="D933" s="114"/>
      <c r="E933" s="114"/>
      <c r="F933" s="114"/>
      <c r="G933" s="114"/>
      <c r="H933" s="114"/>
      <c r="I933" s="114"/>
      <c r="R933" s="115"/>
      <c r="S933" s="115"/>
    </row>
    <row r="934" spans="3:19">
      <c r="C934" s="114"/>
      <c r="D934" s="114"/>
      <c r="E934" s="114"/>
      <c r="F934" s="114"/>
      <c r="G934" s="114"/>
      <c r="H934" s="114"/>
      <c r="I934" s="114"/>
      <c r="R934" s="115"/>
      <c r="S934" s="115"/>
    </row>
    <row r="935" spans="3:19">
      <c r="C935" s="114"/>
      <c r="D935" s="114"/>
      <c r="E935" s="114"/>
      <c r="F935" s="114"/>
      <c r="G935" s="114"/>
      <c r="H935" s="114"/>
      <c r="I935" s="114"/>
      <c r="R935" s="115"/>
      <c r="S935" s="115"/>
    </row>
    <row r="936" spans="3:19">
      <c r="C936" s="114"/>
      <c r="D936" s="114"/>
      <c r="E936" s="114"/>
      <c r="F936" s="114"/>
      <c r="G936" s="114"/>
      <c r="H936" s="114"/>
      <c r="I936" s="114"/>
      <c r="R936" s="115"/>
      <c r="S936" s="115"/>
    </row>
    <row r="937" spans="3:19">
      <c r="C937" s="114"/>
      <c r="D937" s="114"/>
      <c r="E937" s="114"/>
      <c r="F937" s="114"/>
      <c r="G937" s="114"/>
      <c r="H937" s="114"/>
      <c r="I937" s="114"/>
      <c r="R937" s="115"/>
      <c r="S937" s="115"/>
    </row>
    <row r="938" spans="3:19">
      <c r="C938" s="114"/>
      <c r="D938" s="114"/>
      <c r="E938" s="114"/>
      <c r="F938" s="114"/>
      <c r="G938" s="114"/>
      <c r="H938" s="114"/>
      <c r="I938" s="114"/>
      <c r="R938" s="115"/>
      <c r="S938" s="115"/>
    </row>
    <row r="939" spans="3:19">
      <c r="C939" s="114"/>
      <c r="D939" s="114"/>
      <c r="E939" s="114"/>
      <c r="F939" s="114"/>
      <c r="G939" s="114"/>
      <c r="H939" s="114"/>
      <c r="I939" s="114"/>
      <c r="R939" s="115"/>
      <c r="S939" s="115"/>
    </row>
    <row r="940" spans="3:19">
      <c r="C940" s="114"/>
      <c r="D940" s="114"/>
      <c r="E940" s="114"/>
      <c r="F940" s="114"/>
      <c r="G940" s="114"/>
      <c r="H940" s="114"/>
      <c r="I940" s="114"/>
      <c r="R940" s="115"/>
      <c r="S940" s="115"/>
    </row>
    <row r="941" spans="3:19">
      <c r="C941" s="114"/>
      <c r="D941" s="114"/>
      <c r="E941" s="114"/>
      <c r="F941" s="114"/>
      <c r="G941" s="114"/>
      <c r="H941" s="114"/>
      <c r="I941" s="114"/>
      <c r="R941" s="115"/>
      <c r="S941" s="115"/>
    </row>
    <row r="942" spans="3:19">
      <c r="C942" s="114"/>
      <c r="D942" s="114"/>
      <c r="E942" s="114"/>
      <c r="F942" s="114"/>
      <c r="G942" s="114"/>
      <c r="H942" s="114"/>
      <c r="I942" s="114"/>
      <c r="R942" s="115"/>
      <c r="S942" s="115"/>
    </row>
    <row r="943" spans="3:19">
      <c r="C943" s="114"/>
      <c r="D943" s="114"/>
      <c r="E943" s="114"/>
      <c r="F943" s="114"/>
      <c r="G943" s="114"/>
      <c r="H943" s="114"/>
      <c r="I943" s="114"/>
      <c r="R943" s="115"/>
      <c r="S943" s="115"/>
    </row>
    <row r="944" spans="3:19">
      <c r="C944" s="114"/>
      <c r="D944" s="114"/>
      <c r="E944" s="114"/>
      <c r="F944" s="114"/>
      <c r="G944" s="114"/>
      <c r="H944" s="114"/>
      <c r="I944" s="114"/>
      <c r="R944" s="115"/>
      <c r="S944" s="115"/>
    </row>
    <row r="945" spans="3:19">
      <c r="C945" s="114"/>
      <c r="D945" s="114"/>
      <c r="E945" s="114"/>
      <c r="F945" s="114"/>
      <c r="G945" s="114"/>
      <c r="H945" s="114"/>
      <c r="I945" s="114"/>
      <c r="R945" s="115"/>
      <c r="S945" s="115"/>
    </row>
    <row r="946" spans="3:19">
      <c r="C946" s="114"/>
      <c r="D946" s="114"/>
      <c r="E946" s="114"/>
      <c r="F946" s="114"/>
      <c r="G946" s="114"/>
      <c r="H946" s="114"/>
      <c r="I946" s="114"/>
      <c r="R946" s="115"/>
      <c r="S946" s="115"/>
    </row>
    <row r="947" spans="3:19">
      <c r="C947" s="114"/>
      <c r="D947" s="114"/>
      <c r="E947" s="114"/>
      <c r="F947" s="114"/>
      <c r="G947" s="114"/>
      <c r="H947" s="114"/>
      <c r="I947" s="114"/>
      <c r="R947" s="115"/>
      <c r="S947" s="115"/>
    </row>
    <row r="948" spans="3:19">
      <c r="C948" s="114"/>
      <c r="D948" s="114"/>
      <c r="E948" s="114"/>
      <c r="F948" s="114"/>
      <c r="G948" s="114"/>
      <c r="H948" s="114"/>
      <c r="I948" s="114"/>
      <c r="R948" s="115"/>
      <c r="S948" s="115"/>
    </row>
    <row r="949" spans="3:19">
      <c r="C949" s="114"/>
      <c r="D949" s="114"/>
      <c r="E949" s="114"/>
      <c r="F949" s="114"/>
      <c r="G949" s="114"/>
      <c r="H949" s="114"/>
      <c r="I949" s="114"/>
      <c r="R949" s="115"/>
      <c r="S949" s="115"/>
    </row>
    <row r="950" spans="3:19">
      <c r="C950" s="114"/>
      <c r="D950" s="114"/>
      <c r="E950" s="114"/>
      <c r="F950" s="114"/>
      <c r="G950" s="114"/>
      <c r="H950" s="114"/>
      <c r="I950" s="114"/>
      <c r="R950" s="115"/>
      <c r="S950" s="115"/>
    </row>
    <row r="951" spans="3:19">
      <c r="C951" s="114"/>
      <c r="D951" s="114"/>
      <c r="E951" s="114"/>
      <c r="F951" s="114"/>
      <c r="G951" s="114"/>
      <c r="H951" s="114"/>
      <c r="I951" s="114"/>
      <c r="R951" s="115"/>
      <c r="S951" s="115"/>
    </row>
    <row r="952" spans="3:19">
      <c r="C952" s="114"/>
      <c r="D952" s="114"/>
      <c r="E952" s="114"/>
      <c r="F952" s="114"/>
      <c r="G952" s="114"/>
      <c r="H952" s="114"/>
      <c r="I952" s="114"/>
      <c r="R952" s="115"/>
      <c r="S952" s="115"/>
    </row>
    <row r="953" spans="3:19">
      <c r="C953" s="114"/>
      <c r="D953" s="114"/>
      <c r="E953" s="114"/>
      <c r="F953" s="114"/>
      <c r="G953" s="114"/>
      <c r="H953" s="114"/>
      <c r="I953" s="114"/>
      <c r="R953" s="115"/>
      <c r="S953" s="115"/>
    </row>
    <row r="954" spans="3:19">
      <c r="C954" s="114"/>
      <c r="D954" s="114"/>
      <c r="E954" s="114"/>
      <c r="F954" s="114"/>
      <c r="G954" s="114"/>
      <c r="H954" s="114"/>
      <c r="I954" s="114"/>
      <c r="R954" s="115"/>
      <c r="S954" s="115"/>
    </row>
    <row r="955" spans="3:19">
      <c r="C955" s="114"/>
      <c r="D955" s="114"/>
      <c r="E955" s="114"/>
      <c r="F955" s="114"/>
      <c r="G955" s="114"/>
      <c r="H955" s="114"/>
      <c r="I955" s="114"/>
      <c r="R955" s="115"/>
      <c r="S955" s="115"/>
    </row>
    <row r="956" spans="3:19">
      <c r="C956" s="114"/>
      <c r="D956" s="114"/>
      <c r="E956" s="114"/>
      <c r="F956" s="114"/>
      <c r="G956" s="114"/>
      <c r="H956" s="114"/>
      <c r="I956" s="114"/>
      <c r="R956" s="115"/>
      <c r="S956" s="115"/>
    </row>
    <row r="957" spans="3:19">
      <c r="C957" s="114"/>
      <c r="D957" s="114"/>
      <c r="E957" s="114"/>
      <c r="F957" s="114"/>
      <c r="G957" s="114"/>
      <c r="H957" s="114"/>
      <c r="I957" s="114"/>
      <c r="R957" s="115"/>
      <c r="S957" s="115"/>
    </row>
    <row r="958" spans="3:19">
      <c r="C958" s="114"/>
      <c r="D958" s="114"/>
      <c r="E958" s="114"/>
      <c r="F958" s="114"/>
      <c r="G958" s="114"/>
      <c r="H958" s="114"/>
      <c r="I958" s="114"/>
      <c r="R958" s="115"/>
      <c r="S958" s="115"/>
    </row>
    <row r="959" spans="3:19">
      <c r="C959" s="114"/>
      <c r="D959" s="114"/>
      <c r="E959" s="114"/>
      <c r="F959" s="114"/>
      <c r="G959" s="114"/>
      <c r="H959" s="114"/>
      <c r="I959" s="114"/>
      <c r="R959" s="115"/>
      <c r="S959" s="115"/>
    </row>
    <row r="960" spans="3:19">
      <c r="C960" s="114"/>
      <c r="D960" s="114"/>
      <c r="E960" s="114"/>
      <c r="F960" s="114"/>
      <c r="G960" s="114"/>
      <c r="H960" s="114"/>
      <c r="I960" s="114"/>
      <c r="R960" s="115"/>
      <c r="S960" s="115"/>
    </row>
    <row r="961" spans="3:19">
      <c r="C961" s="114"/>
      <c r="D961" s="114"/>
      <c r="E961" s="114"/>
      <c r="F961" s="114"/>
      <c r="G961" s="114"/>
      <c r="H961" s="114"/>
      <c r="I961" s="114"/>
      <c r="R961" s="115"/>
      <c r="S961" s="115"/>
    </row>
    <row r="962" spans="3:19">
      <c r="C962" s="114"/>
      <c r="D962" s="114"/>
      <c r="E962" s="114"/>
      <c r="F962" s="114"/>
      <c r="G962" s="114"/>
      <c r="H962" s="114"/>
      <c r="I962" s="114"/>
      <c r="R962" s="115"/>
      <c r="S962" s="115"/>
    </row>
    <row r="963" spans="3:19">
      <c r="C963" s="114"/>
      <c r="D963" s="114"/>
      <c r="E963" s="114"/>
      <c r="F963" s="114"/>
      <c r="G963" s="114"/>
      <c r="H963" s="114"/>
      <c r="I963" s="114"/>
      <c r="R963" s="115"/>
      <c r="S963" s="115"/>
    </row>
    <row r="964" spans="3:19">
      <c r="C964" s="114"/>
      <c r="D964" s="114"/>
      <c r="E964" s="114"/>
      <c r="F964" s="114"/>
      <c r="G964" s="114"/>
      <c r="H964" s="114"/>
      <c r="I964" s="114"/>
      <c r="R964" s="115"/>
      <c r="S964" s="115"/>
    </row>
    <row r="965" spans="3:19">
      <c r="C965" s="114"/>
      <c r="D965" s="114"/>
      <c r="E965" s="114"/>
      <c r="F965" s="114"/>
      <c r="G965" s="114"/>
      <c r="H965" s="114"/>
      <c r="I965" s="114"/>
      <c r="R965" s="115"/>
      <c r="S965" s="115"/>
    </row>
    <row r="966" spans="3:19">
      <c r="C966" s="114"/>
      <c r="D966" s="114"/>
      <c r="E966" s="114"/>
      <c r="F966" s="114"/>
      <c r="G966" s="114"/>
      <c r="H966" s="114"/>
      <c r="I966" s="114"/>
      <c r="R966" s="115"/>
      <c r="S966" s="115"/>
    </row>
    <row r="967" spans="3:19">
      <c r="C967" s="114"/>
      <c r="D967" s="114"/>
      <c r="E967" s="114"/>
      <c r="F967" s="114"/>
      <c r="G967" s="114"/>
      <c r="H967" s="114"/>
      <c r="I967" s="114"/>
      <c r="R967" s="115"/>
      <c r="S967" s="115"/>
    </row>
    <row r="968" spans="3:19">
      <c r="C968" s="114"/>
      <c r="D968" s="114"/>
      <c r="E968" s="114"/>
      <c r="F968" s="114"/>
      <c r="G968" s="114"/>
      <c r="H968" s="114"/>
      <c r="I968" s="114"/>
      <c r="R968" s="115"/>
      <c r="S968" s="115"/>
    </row>
    <row r="969" spans="3:19">
      <c r="C969" s="114"/>
      <c r="D969" s="114"/>
      <c r="E969" s="114"/>
      <c r="F969" s="114"/>
      <c r="G969" s="114"/>
      <c r="H969" s="114"/>
      <c r="I969" s="114"/>
      <c r="R969" s="115"/>
      <c r="S969" s="115"/>
    </row>
    <row r="970" spans="3:19">
      <c r="C970" s="114"/>
      <c r="D970" s="114"/>
      <c r="E970" s="114"/>
      <c r="F970" s="114"/>
      <c r="G970" s="114"/>
      <c r="H970" s="114"/>
      <c r="I970" s="114"/>
      <c r="R970" s="115"/>
      <c r="S970" s="115"/>
    </row>
    <row r="971" spans="3:19">
      <c r="C971" s="114"/>
      <c r="D971" s="114"/>
      <c r="E971" s="114"/>
      <c r="F971" s="114"/>
      <c r="G971" s="114"/>
      <c r="H971" s="114"/>
      <c r="I971" s="114"/>
      <c r="R971" s="115"/>
      <c r="S971" s="115"/>
    </row>
    <row r="972" spans="3:19">
      <c r="C972" s="114"/>
      <c r="D972" s="114"/>
      <c r="E972" s="114"/>
      <c r="F972" s="114"/>
      <c r="G972" s="114"/>
      <c r="H972" s="114"/>
      <c r="I972" s="114"/>
      <c r="R972" s="115"/>
      <c r="S972" s="115"/>
    </row>
    <row r="973" spans="3:19">
      <c r="C973" s="114"/>
      <c r="D973" s="114"/>
      <c r="E973" s="114"/>
      <c r="F973" s="114"/>
      <c r="G973" s="114"/>
      <c r="H973" s="114"/>
      <c r="I973" s="114"/>
      <c r="R973" s="115"/>
      <c r="S973" s="115"/>
    </row>
    <row r="974" spans="3:19">
      <c r="C974" s="114"/>
      <c r="D974" s="114"/>
      <c r="E974" s="114"/>
      <c r="F974" s="114"/>
      <c r="G974" s="114"/>
      <c r="H974" s="114"/>
      <c r="I974" s="114"/>
      <c r="R974" s="115"/>
      <c r="S974" s="115"/>
    </row>
    <row r="975" spans="3:19">
      <c r="C975" s="114"/>
      <c r="D975" s="114"/>
      <c r="E975" s="114"/>
      <c r="F975" s="114"/>
      <c r="G975" s="114"/>
      <c r="H975" s="114"/>
      <c r="I975" s="114"/>
      <c r="R975" s="115"/>
      <c r="S975" s="115"/>
    </row>
    <row r="976" spans="3:19">
      <c r="C976" s="114"/>
      <c r="D976" s="114"/>
      <c r="E976" s="114"/>
      <c r="F976" s="114"/>
      <c r="G976" s="114"/>
      <c r="H976" s="114"/>
      <c r="I976" s="114"/>
      <c r="R976" s="115"/>
      <c r="S976" s="115"/>
    </row>
    <row r="977" spans="3:19">
      <c r="C977" s="114"/>
      <c r="D977" s="114"/>
      <c r="E977" s="114"/>
      <c r="F977" s="114"/>
      <c r="G977" s="114"/>
      <c r="H977" s="114"/>
      <c r="I977" s="114"/>
      <c r="R977" s="115"/>
      <c r="S977" s="115"/>
    </row>
    <row r="978" spans="3:19">
      <c r="C978" s="114"/>
      <c r="D978" s="114"/>
      <c r="E978" s="114"/>
      <c r="F978" s="114"/>
      <c r="G978" s="114"/>
      <c r="H978" s="114"/>
      <c r="I978" s="114"/>
      <c r="R978" s="115"/>
      <c r="S978" s="115"/>
    </row>
    <row r="979" spans="3:19">
      <c r="C979" s="114"/>
      <c r="D979" s="114"/>
      <c r="E979" s="114"/>
      <c r="F979" s="114"/>
      <c r="G979" s="114"/>
      <c r="H979" s="114"/>
      <c r="I979" s="114"/>
      <c r="R979" s="115"/>
      <c r="S979" s="115"/>
    </row>
    <row r="980" spans="3:19">
      <c r="C980" s="114"/>
      <c r="D980" s="114"/>
      <c r="E980" s="114"/>
      <c r="F980" s="114"/>
      <c r="G980" s="114"/>
      <c r="H980" s="114"/>
      <c r="I980" s="114"/>
      <c r="R980" s="115"/>
      <c r="S980" s="115"/>
    </row>
    <row r="981" spans="3:19">
      <c r="C981" s="114"/>
      <c r="D981" s="114"/>
      <c r="E981" s="114"/>
      <c r="F981" s="114"/>
      <c r="G981" s="114"/>
      <c r="H981" s="114"/>
      <c r="I981" s="114"/>
      <c r="R981" s="115"/>
      <c r="S981" s="115"/>
    </row>
    <row r="982" spans="3:19">
      <c r="C982" s="114"/>
      <c r="D982" s="114"/>
      <c r="E982" s="114"/>
      <c r="F982" s="114"/>
      <c r="G982" s="114"/>
      <c r="H982" s="114"/>
      <c r="I982" s="114"/>
      <c r="R982" s="115"/>
      <c r="S982" s="115"/>
    </row>
    <row r="983" spans="3:19">
      <c r="C983" s="114"/>
      <c r="D983" s="114"/>
      <c r="E983" s="114"/>
      <c r="F983" s="114"/>
      <c r="G983" s="114"/>
      <c r="H983" s="114"/>
      <c r="I983" s="114"/>
      <c r="R983" s="115"/>
      <c r="S983" s="115"/>
    </row>
    <row r="984" spans="3:19">
      <c r="C984" s="114"/>
      <c r="D984" s="114"/>
      <c r="E984" s="114"/>
      <c r="F984" s="114"/>
      <c r="G984" s="114"/>
      <c r="H984" s="114"/>
      <c r="I984" s="114"/>
      <c r="R984" s="115"/>
      <c r="S984" s="115"/>
    </row>
    <row r="985" spans="3:19">
      <c r="C985" s="114"/>
      <c r="D985" s="114"/>
      <c r="E985" s="114"/>
      <c r="F985" s="114"/>
      <c r="G985" s="114"/>
      <c r="H985" s="114"/>
      <c r="I985" s="114"/>
      <c r="R985" s="115"/>
      <c r="S985" s="115"/>
    </row>
    <row r="986" spans="3:19">
      <c r="C986" s="114"/>
      <c r="D986" s="114"/>
      <c r="E986" s="114"/>
      <c r="F986" s="114"/>
      <c r="G986" s="114"/>
      <c r="H986" s="114"/>
      <c r="I986" s="114"/>
      <c r="R986" s="115"/>
      <c r="S986" s="115"/>
    </row>
    <row r="987" spans="3:19">
      <c r="C987" s="114"/>
      <c r="D987" s="114"/>
      <c r="E987" s="114"/>
      <c r="F987" s="114"/>
      <c r="G987" s="114"/>
      <c r="H987" s="114"/>
      <c r="I987" s="114"/>
      <c r="R987" s="115"/>
      <c r="S987" s="115"/>
    </row>
    <row r="988" spans="3:19">
      <c r="C988" s="114"/>
      <c r="D988" s="114"/>
      <c r="E988" s="114"/>
      <c r="F988" s="114"/>
      <c r="G988" s="114"/>
      <c r="H988" s="114"/>
      <c r="I988" s="114"/>
      <c r="R988" s="115"/>
      <c r="S988" s="115"/>
    </row>
    <row r="989" spans="3:19">
      <c r="C989" s="114"/>
      <c r="D989" s="114"/>
      <c r="E989" s="114"/>
      <c r="F989" s="114"/>
      <c r="G989" s="114"/>
      <c r="H989" s="114"/>
      <c r="I989" s="114"/>
      <c r="R989" s="115"/>
      <c r="S989" s="115"/>
    </row>
    <row r="990" spans="3:19">
      <c r="C990" s="114"/>
      <c r="D990" s="114"/>
      <c r="E990" s="114"/>
      <c r="F990" s="114"/>
      <c r="G990" s="114"/>
      <c r="H990" s="114"/>
      <c r="I990" s="114"/>
      <c r="R990" s="115"/>
      <c r="S990" s="115"/>
    </row>
    <row r="991" spans="3:19">
      <c r="C991" s="114"/>
      <c r="D991" s="114"/>
      <c r="E991" s="114"/>
      <c r="F991" s="114"/>
      <c r="G991" s="114"/>
      <c r="H991" s="114"/>
      <c r="I991" s="114"/>
      <c r="R991" s="115"/>
      <c r="S991" s="115"/>
    </row>
    <row r="992" spans="3:19">
      <c r="C992" s="114"/>
      <c r="D992" s="114"/>
      <c r="E992" s="114"/>
      <c r="F992" s="114"/>
      <c r="G992" s="114"/>
      <c r="H992" s="114"/>
      <c r="I992" s="114"/>
      <c r="R992" s="115"/>
      <c r="S992" s="115"/>
    </row>
    <row r="993" spans="3:19">
      <c r="C993" s="114"/>
      <c r="D993" s="114"/>
      <c r="E993" s="114"/>
      <c r="F993" s="114"/>
      <c r="G993" s="114"/>
      <c r="H993" s="114"/>
      <c r="I993" s="114"/>
      <c r="R993" s="115"/>
      <c r="S993" s="115"/>
    </row>
    <row r="994" spans="3:19">
      <c r="C994" s="114"/>
      <c r="D994" s="114"/>
      <c r="E994" s="114"/>
      <c r="F994" s="114"/>
      <c r="G994" s="114"/>
      <c r="H994" s="114"/>
      <c r="I994" s="114"/>
      <c r="R994" s="115"/>
      <c r="S994" s="115"/>
    </row>
    <row r="995" spans="3:19">
      <c r="C995" s="114"/>
      <c r="D995" s="114"/>
      <c r="E995" s="114"/>
      <c r="F995" s="114"/>
      <c r="G995" s="114"/>
      <c r="H995" s="114"/>
      <c r="I995" s="114"/>
      <c r="R995" s="115"/>
      <c r="S995" s="115"/>
    </row>
    <row r="996" spans="3:19">
      <c r="C996" s="114"/>
      <c r="D996" s="114"/>
      <c r="E996" s="114"/>
      <c r="F996" s="114"/>
      <c r="G996" s="114"/>
      <c r="H996" s="114"/>
      <c r="I996" s="114"/>
      <c r="R996" s="115"/>
      <c r="S996" s="115"/>
    </row>
    <row r="997" spans="3:19">
      <c r="C997" s="114"/>
      <c r="D997" s="114"/>
      <c r="E997" s="114"/>
      <c r="F997" s="114"/>
      <c r="G997" s="114"/>
      <c r="H997" s="114"/>
      <c r="I997" s="114"/>
      <c r="R997" s="115"/>
      <c r="S997" s="115"/>
    </row>
    <row r="998" spans="3:19">
      <c r="C998" s="114"/>
      <c r="D998" s="114"/>
      <c r="E998" s="114"/>
      <c r="F998" s="114"/>
      <c r="G998" s="114"/>
      <c r="H998" s="114"/>
      <c r="I998" s="114"/>
      <c r="R998" s="115"/>
      <c r="S998" s="115"/>
    </row>
    <row r="999" spans="3:19">
      <c r="C999" s="114"/>
      <c r="D999" s="114"/>
      <c r="E999" s="114"/>
      <c r="F999" s="114"/>
      <c r="G999" s="114"/>
      <c r="H999" s="114"/>
      <c r="I999" s="114"/>
      <c r="R999" s="115"/>
      <c r="S999" s="115"/>
    </row>
    <row r="1000" spans="3:19">
      <c r="C1000" s="114"/>
      <c r="D1000" s="114"/>
      <c r="E1000" s="114"/>
      <c r="F1000" s="114"/>
      <c r="G1000" s="114"/>
      <c r="H1000" s="114"/>
      <c r="I1000" s="114"/>
      <c r="R1000" s="115"/>
      <c r="S1000" s="115"/>
    </row>
    <row r="1001" spans="3:19">
      <c r="C1001" s="114"/>
      <c r="D1001" s="114"/>
      <c r="E1001" s="114"/>
      <c r="F1001" s="114"/>
      <c r="G1001" s="114"/>
      <c r="H1001" s="114"/>
      <c r="I1001" s="114"/>
      <c r="R1001" s="115"/>
      <c r="S1001" s="115"/>
    </row>
  </sheetData>
  <autoFilter ref="A1:Q44" xr:uid="{00000000-0009-0000-0000-000006000000}"/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26"/>
  <sheetViews>
    <sheetView workbookViewId="0"/>
  </sheetViews>
  <sheetFormatPr defaultColWidth="11.25" defaultRowHeight="15.75" customHeight="1"/>
  <cols>
    <col min="1" max="1" width="7.625" customWidth="1"/>
    <col min="2" max="2" width="105.875" customWidth="1"/>
  </cols>
  <sheetData>
    <row r="1" spans="1:28">
      <c r="A1" s="137" t="s">
        <v>58</v>
      </c>
      <c r="B1" s="137" t="s">
        <v>43</v>
      </c>
      <c r="C1" s="137" t="s">
        <v>587</v>
      </c>
      <c r="D1" s="137" t="s">
        <v>588</v>
      </c>
      <c r="E1" s="137" t="s">
        <v>589</v>
      </c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 spans="1:28">
      <c r="A2" s="138" t="s">
        <v>358</v>
      </c>
      <c r="B2" s="139" t="s">
        <v>590</v>
      </c>
      <c r="C2" s="11" t="s">
        <v>107</v>
      </c>
      <c r="D2" s="140" t="s">
        <v>107</v>
      </c>
      <c r="E2" s="141" t="s">
        <v>591</v>
      </c>
    </row>
    <row r="3" spans="1:28">
      <c r="A3" s="142" t="s">
        <v>395</v>
      </c>
      <c r="B3" s="137" t="s">
        <v>592</v>
      </c>
      <c r="C3" s="11" t="s">
        <v>107</v>
      </c>
      <c r="D3" s="140" t="s">
        <v>107</v>
      </c>
      <c r="E3" s="142" t="s">
        <v>591</v>
      </c>
    </row>
    <row r="4" spans="1:28">
      <c r="A4" s="142" t="s">
        <v>401</v>
      </c>
      <c r="B4" s="137" t="s">
        <v>593</v>
      </c>
      <c r="C4" s="11" t="s">
        <v>107</v>
      </c>
      <c r="D4" s="140" t="s">
        <v>107</v>
      </c>
      <c r="E4" s="142" t="s">
        <v>594</v>
      </c>
    </row>
    <row r="5" spans="1:28">
      <c r="A5" s="142" t="s">
        <v>409</v>
      </c>
      <c r="B5" s="137" t="s">
        <v>410</v>
      </c>
      <c r="C5" s="11" t="s">
        <v>107</v>
      </c>
      <c r="D5" s="140" t="s">
        <v>107</v>
      </c>
      <c r="E5" s="142" t="s">
        <v>594</v>
      </c>
    </row>
    <row r="6" spans="1:28">
      <c r="A6" s="142" t="s">
        <v>411</v>
      </c>
      <c r="B6" s="143" t="s">
        <v>595</v>
      </c>
      <c r="C6" s="11" t="s">
        <v>107</v>
      </c>
      <c r="D6" s="140" t="s">
        <v>107</v>
      </c>
      <c r="E6" s="142" t="s">
        <v>594</v>
      </c>
    </row>
    <row r="7" spans="1:28">
      <c r="A7" s="142" t="s">
        <v>383</v>
      </c>
      <c r="B7" s="143" t="s">
        <v>596</v>
      </c>
      <c r="C7" s="11" t="s">
        <v>107</v>
      </c>
      <c r="D7" s="140" t="s">
        <v>107</v>
      </c>
      <c r="E7" s="142" t="s">
        <v>594</v>
      </c>
    </row>
    <row r="8" spans="1:28">
      <c r="A8" s="142" t="s">
        <v>387</v>
      </c>
      <c r="B8" s="137" t="s">
        <v>388</v>
      </c>
      <c r="C8" s="11" t="s">
        <v>107</v>
      </c>
      <c r="D8" s="140" t="s">
        <v>107</v>
      </c>
      <c r="E8" s="142" t="s">
        <v>594</v>
      </c>
    </row>
    <row r="9" spans="1:28">
      <c r="A9" s="142" t="s">
        <v>389</v>
      </c>
      <c r="B9" s="137" t="s">
        <v>541</v>
      </c>
      <c r="C9" s="11" t="s">
        <v>107</v>
      </c>
      <c r="D9" s="140" t="s">
        <v>107</v>
      </c>
      <c r="E9" s="142" t="s">
        <v>594</v>
      </c>
    </row>
    <row r="10" spans="1:28">
      <c r="A10" s="142" t="s">
        <v>393</v>
      </c>
      <c r="B10" s="143" t="s">
        <v>543</v>
      </c>
      <c r="C10" s="11" t="s">
        <v>597</v>
      </c>
      <c r="D10" s="140" t="s">
        <v>107</v>
      </c>
      <c r="E10" s="142" t="s">
        <v>594</v>
      </c>
    </row>
    <row r="11" spans="1:28">
      <c r="A11" s="142" t="s">
        <v>544</v>
      </c>
      <c r="B11" s="143" t="s">
        <v>598</v>
      </c>
      <c r="C11" s="11" t="s">
        <v>597</v>
      </c>
      <c r="D11" s="140"/>
      <c r="E11" s="142" t="s">
        <v>591</v>
      </c>
    </row>
    <row r="12" spans="1:28">
      <c r="A12" s="142" t="s">
        <v>397</v>
      </c>
      <c r="B12" s="143" t="s">
        <v>599</v>
      </c>
      <c r="C12" s="11" t="s">
        <v>107</v>
      </c>
      <c r="D12" s="140"/>
      <c r="E12" s="142" t="s">
        <v>594</v>
      </c>
    </row>
    <row r="13" spans="1:28">
      <c r="A13" s="142" t="s">
        <v>413</v>
      </c>
      <c r="B13" s="137" t="s">
        <v>414</v>
      </c>
      <c r="C13" s="11" t="s">
        <v>597</v>
      </c>
      <c r="D13" s="140" t="s">
        <v>107</v>
      </c>
      <c r="E13" s="142" t="s">
        <v>591</v>
      </c>
    </row>
    <row r="14" spans="1:28">
      <c r="A14" s="142" t="s">
        <v>415</v>
      </c>
      <c r="B14" s="143" t="s">
        <v>600</v>
      </c>
      <c r="C14" s="11" t="s">
        <v>107</v>
      </c>
      <c r="D14" s="140" t="s">
        <v>107</v>
      </c>
      <c r="E14" s="142" t="s">
        <v>591</v>
      </c>
    </row>
    <row r="15" spans="1:28">
      <c r="A15" s="142" t="s">
        <v>417</v>
      </c>
      <c r="B15" s="143" t="s">
        <v>418</v>
      </c>
      <c r="C15" s="11" t="s">
        <v>597</v>
      </c>
      <c r="D15" s="140"/>
      <c r="E15" s="142" t="s">
        <v>591</v>
      </c>
    </row>
    <row r="16" spans="1:28">
      <c r="A16" s="142" t="s">
        <v>419</v>
      </c>
      <c r="B16" s="143" t="s">
        <v>549</v>
      </c>
      <c r="C16" s="11" t="s">
        <v>597</v>
      </c>
      <c r="D16" s="140" t="s">
        <v>107</v>
      </c>
      <c r="E16" s="142" t="s">
        <v>591</v>
      </c>
    </row>
    <row r="17" spans="1:5">
      <c r="A17" s="142" t="s">
        <v>464</v>
      </c>
      <c r="B17" s="143" t="s">
        <v>601</v>
      </c>
      <c r="C17" s="11" t="s">
        <v>597</v>
      </c>
      <c r="D17" s="140" t="s">
        <v>107</v>
      </c>
      <c r="E17" s="142" t="s">
        <v>591</v>
      </c>
    </row>
    <row r="18" spans="1:5">
      <c r="A18" s="142" t="s">
        <v>554</v>
      </c>
      <c r="B18" s="143" t="s">
        <v>555</v>
      </c>
      <c r="C18" s="11" t="s">
        <v>597</v>
      </c>
      <c r="D18" s="140"/>
      <c r="E18" s="142" t="s">
        <v>591</v>
      </c>
    </row>
    <row r="19" spans="1:5">
      <c r="A19" s="142" t="s">
        <v>556</v>
      </c>
      <c r="B19" s="143" t="s">
        <v>557</v>
      </c>
      <c r="C19" s="11" t="s">
        <v>597</v>
      </c>
      <c r="D19" s="140" t="s">
        <v>107</v>
      </c>
      <c r="E19" s="142" t="s">
        <v>594</v>
      </c>
    </row>
    <row r="20" spans="1:5">
      <c r="A20" s="142" t="s">
        <v>363</v>
      </c>
      <c r="B20" s="143" t="s">
        <v>558</v>
      </c>
      <c r="C20" s="11" t="s">
        <v>597</v>
      </c>
      <c r="D20" s="140" t="s">
        <v>107</v>
      </c>
      <c r="E20" s="142" t="s">
        <v>594</v>
      </c>
    </row>
    <row r="21" spans="1:5">
      <c r="A21" s="142" t="s">
        <v>568</v>
      </c>
      <c r="B21" s="143" t="s">
        <v>355</v>
      </c>
      <c r="C21" s="11" t="s">
        <v>107</v>
      </c>
      <c r="D21" s="140"/>
      <c r="E21" s="142" t="s">
        <v>602</v>
      </c>
    </row>
    <row r="22" spans="1:5">
      <c r="A22" s="142" t="s">
        <v>571</v>
      </c>
      <c r="B22" s="143" t="s">
        <v>357</v>
      </c>
      <c r="C22" s="11" t="s">
        <v>107</v>
      </c>
      <c r="D22" s="140"/>
      <c r="E22" s="142" t="s">
        <v>602</v>
      </c>
    </row>
    <row r="23" spans="1:5">
      <c r="A23" s="142" t="s">
        <v>574</v>
      </c>
      <c r="B23" s="143" t="s">
        <v>575</v>
      </c>
      <c r="C23" s="11" t="s">
        <v>107</v>
      </c>
      <c r="D23" s="140" t="s">
        <v>107</v>
      </c>
      <c r="E23" s="142" t="s">
        <v>594</v>
      </c>
    </row>
    <row r="24" spans="1:5">
      <c r="A24" s="142" t="s">
        <v>577</v>
      </c>
      <c r="B24" s="143" t="s">
        <v>578</v>
      </c>
      <c r="C24" s="11" t="s">
        <v>107</v>
      </c>
      <c r="D24" s="140" t="s">
        <v>107</v>
      </c>
      <c r="E24" s="142" t="s">
        <v>594</v>
      </c>
    </row>
    <row r="25" spans="1:5">
      <c r="A25" s="142" t="s">
        <v>580</v>
      </c>
      <c r="B25" s="143" t="s">
        <v>581</v>
      </c>
      <c r="C25" s="11" t="s">
        <v>107</v>
      </c>
      <c r="D25" s="140" t="s">
        <v>107</v>
      </c>
      <c r="E25" s="142" t="s">
        <v>594</v>
      </c>
    </row>
    <row r="26" spans="1:5">
      <c r="A26" s="142" t="s">
        <v>583</v>
      </c>
      <c r="B26" s="143" t="s">
        <v>584</v>
      </c>
      <c r="C26" s="11" t="s">
        <v>107</v>
      </c>
      <c r="D26" s="140" t="s">
        <v>107</v>
      </c>
      <c r="E26" s="142" t="s">
        <v>594</v>
      </c>
    </row>
  </sheetData>
  <autoFilter ref="A1:E26" xr:uid="{00000000-0009-0000-0000-000007000000}"/>
  <customSheetViews>
    <customSheetView guid="{8DFCF9F4-226C-4943-87CB-E49A587DAFFE}" filter="1" showAutoFilter="1">
      <autoFilter ref="A1:E26" xr:uid="{4BAEA110-A5CB-4F53-9348-BDC807C4D037}"/>
    </customSheetView>
  </customSheetView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1001"/>
  <sheetViews>
    <sheetView workbookViewId="0"/>
  </sheetViews>
  <sheetFormatPr defaultColWidth="11.25" defaultRowHeight="15.75" customHeight="1"/>
  <cols>
    <col min="1" max="1" width="105.875" customWidth="1"/>
    <col min="2" max="3" width="6.5" customWidth="1"/>
    <col min="4" max="4" width="14.5" customWidth="1"/>
    <col min="5" max="5" width="18.5" style="114" customWidth="1"/>
    <col min="6" max="6" width="17.5" style="114" customWidth="1"/>
    <col min="7" max="7" width="5.375" style="114" customWidth="1"/>
    <col min="8" max="8" width="11.25" style="115"/>
    <col min="9" max="9" width="13.875" style="115" customWidth="1"/>
    <col min="10" max="11" width="11.25" style="115"/>
    <col min="12" max="12" width="11.25" style="116"/>
    <col min="13" max="13" width="10.875" style="117" customWidth="1"/>
    <col min="14" max="14" width="11.375" style="117" customWidth="1"/>
    <col min="15" max="15" width="11" style="117" customWidth="1"/>
    <col min="16" max="16" width="13.375" style="117" customWidth="1"/>
  </cols>
  <sheetData>
    <row r="1" spans="1:16">
      <c r="A1" s="105" t="s">
        <v>43</v>
      </c>
      <c r="B1" s="144" t="s">
        <v>517</v>
      </c>
      <c r="C1" s="144" t="s">
        <v>519</v>
      </c>
      <c r="D1" s="144" t="s">
        <v>603</v>
      </c>
      <c r="E1" s="144" t="s">
        <v>521</v>
      </c>
      <c r="F1" s="144" t="s">
        <v>523</v>
      </c>
      <c r="G1" s="144" t="s">
        <v>58</v>
      </c>
      <c r="H1" s="145" t="s">
        <v>604</v>
      </c>
      <c r="I1" s="108" t="s">
        <v>605</v>
      </c>
      <c r="J1" s="108" t="s">
        <v>524</v>
      </c>
      <c r="K1" s="108" t="s">
        <v>58</v>
      </c>
      <c r="L1" s="109" t="s">
        <v>525</v>
      </c>
      <c r="M1" s="110" t="s">
        <v>77</v>
      </c>
      <c r="N1" s="110" t="s">
        <v>80</v>
      </c>
      <c r="O1" s="110" t="s">
        <v>526</v>
      </c>
      <c r="P1" s="110" t="s">
        <v>527</v>
      </c>
    </row>
    <row r="2" spans="1:16">
      <c r="A2" s="112" t="s">
        <v>590</v>
      </c>
      <c r="B2" s="113"/>
      <c r="C2" s="113"/>
      <c r="D2" s="113"/>
      <c r="L2" s="116" t="s">
        <v>530</v>
      </c>
      <c r="M2" s="117" t="s">
        <v>107</v>
      </c>
    </row>
    <row r="3" spans="1:16">
      <c r="A3" s="146" t="s">
        <v>592</v>
      </c>
      <c r="B3" s="113"/>
      <c r="C3" s="113"/>
      <c r="D3" s="113"/>
      <c r="G3" s="114" t="s">
        <v>80</v>
      </c>
    </row>
    <row r="4" spans="1:16">
      <c r="A4" s="146" t="s">
        <v>593</v>
      </c>
      <c r="B4" s="113"/>
      <c r="C4" s="113"/>
      <c r="D4" s="113"/>
      <c r="G4" s="114" t="s">
        <v>80</v>
      </c>
    </row>
    <row r="5" spans="1:16">
      <c r="A5" s="146" t="s">
        <v>410</v>
      </c>
      <c r="B5" s="113"/>
      <c r="C5" s="113"/>
      <c r="D5" s="113"/>
      <c r="G5" s="114" t="s">
        <v>80</v>
      </c>
    </row>
    <row r="6" spans="1:16">
      <c r="A6" s="146" t="s">
        <v>595</v>
      </c>
      <c r="B6" s="113"/>
      <c r="C6" s="113"/>
      <c r="D6" s="113"/>
      <c r="G6" s="114" t="s">
        <v>80</v>
      </c>
    </row>
    <row r="7" spans="1:16">
      <c r="A7" s="146" t="s">
        <v>596</v>
      </c>
      <c r="B7" s="113"/>
      <c r="C7" s="113"/>
      <c r="D7" s="113"/>
      <c r="G7" s="114" t="s">
        <v>80</v>
      </c>
    </row>
    <row r="8" spans="1:16">
      <c r="A8" s="146" t="s">
        <v>388</v>
      </c>
      <c r="B8" s="113"/>
      <c r="C8" s="113"/>
      <c r="D8" s="113"/>
      <c r="G8" s="114" t="s">
        <v>80</v>
      </c>
    </row>
    <row r="9" spans="1:16">
      <c r="A9" s="146" t="s">
        <v>541</v>
      </c>
      <c r="B9" s="113"/>
      <c r="C9" s="113"/>
      <c r="D9" s="113"/>
      <c r="G9" s="114" t="s">
        <v>80</v>
      </c>
    </row>
    <row r="10" spans="1:16">
      <c r="A10" s="146" t="s">
        <v>543</v>
      </c>
      <c r="B10" s="113"/>
      <c r="C10" s="113"/>
      <c r="D10" s="113"/>
      <c r="G10" s="114" t="s">
        <v>80</v>
      </c>
    </row>
    <row r="11" spans="1:16">
      <c r="A11" s="112" t="s">
        <v>598</v>
      </c>
      <c r="B11" s="113"/>
      <c r="C11" s="113"/>
      <c r="D11" s="113"/>
    </row>
    <row r="12" spans="1:16">
      <c r="A12" s="112" t="s">
        <v>599</v>
      </c>
      <c r="B12" s="113"/>
      <c r="C12" s="113"/>
      <c r="D12" s="113"/>
    </row>
    <row r="13" spans="1:16">
      <c r="A13" s="112" t="s">
        <v>414</v>
      </c>
      <c r="B13" s="113"/>
      <c r="C13" s="113"/>
      <c r="D13" s="113"/>
    </row>
    <row r="14" spans="1:16">
      <c r="A14" s="112" t="s">
        <v>600</v>
      </c>
      <c r="B14" s="113"/>
      <c r="C14" s="113"/>
      <c r="D14" s="113"/>
    </row>
    <row r="15" spans="1:16">
      <c r="A15" s="112" t="s">
        <v>418</v>
      </c>
      <c r="B15" s="113"/>
      <c r="C15" s="113"/>
      <c r="D15" s="113"/>
    </row>
    <row r="16" spans="1:16">
      <c r="A16" s="112" t="s">
        <v>549</v>
      </c>
      <c r="B16" s="113"/>
      <c r="C16" s="113"/>
      <c r="D16" s="113"/>
    </row>
    <row r="17" spans="1:4">
      <c r="A17" s="112" t="s">
        <v>601</v>
      </c>
      <c r="B17" s="113"/>
      <c r="C17" s="113"/>
      <c r="D17" s="113"/>
    </row>
    <row r="18" spans="1:4">
      <c r="A18" s="112" t="s">
        <v>555</v>
      </c>
      <c r="B18" s="113"/>
      <c r="C18" s="113"/>
      <c r="D18" s="113"/>
    </row>
    <row r="19" spans="1:4">
      <c r="A19" s="112" t="s">
        <v>557</v>
      </c>
      <c r="B19" s="113"/>
      <c r="C19" s="113"/>
      <c r="D19" s="113"/>
    </row>
    <row r="20" spans="1:4">
      <c r="A20" s="112" t="s">
        <v>558</v>
      </c>
      <c r="B20" s="113"/>
      <c r="C20" s="113"/>
      <c r="D20" s="113"/>
    </row>
    <row r="21" spans="1:4">
      <c r="A21" s="112" t="s">
        <v>355</v>
      </c>
      <c r="B21" s="113"/>
      <c r="C21" s="113"/>
      <c r="D21" s="113"/>
    </row>
    <row r="22" spans="1:4">
      <c r="A22" s="112" t="s">
        <v>357</v>
      </c>
      <c r="B22" s="113"/>
      <c r="C22" s="113"/>
      <c r="D22" s="113"/>
    </row>
    <row r="23" spans="1:4">
      <c r="A23" s="112" t="s">
        <v>575</v>
      </c>
      <c r="B23" s="113"/>
      <c r="C23" s="113"/>
      <c r="D23" s="113"/>
    </row>
    <row r="24" spans="1:4">
      <c r="A24" s="112" t="s">
        <v>578</v>
      </c>
      <c r="B24" s="113"/>
      <c r="C24" s="113"/>
      <c r="D24" s="113"/>
    </row>
    <row r="25" spans="1:4">
      <c r="A25" s="112" t="s">
        <v>581</v>
      </c>
      <c r="B25" s="113"/>
      <c r="C25" s="113"/>
      <c r="D25" s="113"/>
    </row>
    <row r="26" spans="1:4">
      <c r="A26" s="112" t="s">
        <v>584</v>
      </c>
      <c r="B26" s="113"/>
      <c r="C26" s="113"/>
      <c r="D26" s="113"/>
    </row>
    <row r="27" spans="1:4">
      <c r="A27" s="112"/>
      <c r="B27" s="113"/>
      <c r="C27" s="113"/>
      <c r="D27" s="113"/>
    </row>
    <row r="28" spans="1:4">
      <c r="A28" s="112"/>
      <c r="B28" s="113"/>
      <c r="C28" s="113"/>
      <c r="D28" s="113"/>
    </row>
    <row r="29" spans="1:4">
      <c r="A29" s="112"/>
      <c r="B29" s="113"/>
      <c r="C29" s="113"/>
      <c r="D29" s="113"/>
    </row>
    <row r="30" spans="1:4">
      <c r="A30" s="112"/>
      <c r="B30" s="113"/>
      <c r="C30" s="113"/>
      <c r="D30" s="113"/>
    </row>
    <row r="31" spans="1:4">
      <c r="A31" s="112"/>
      <c r="B31" s="113"/>
      <c r="C31" s="113"/>
      <c r="D31" s="113"/>
    </row>
    <row r="32" spans="1:4">
      <c r="A32" s="112"/>
      <c r="B32" s="113"/>
      <c r="C32" s="113"/>
      <c r="D32" s="113"/>
    </row>
    <row r="33" spans="1:4">
      <c r="A33" s="112"/>
      <c r="B33" s="113"/>
      <c r="C33" s="113"/>
      <c r="D33" s="113"/>
    </row>
    <row r="34" spans="1:4">
      <c r="A34" s="112"/>
      <c r="B34" s="113"/>
      <c r="C34" s="113"/>
      <c r="D34" s="113"/>
    </row>
    <row r="35" spans="1:4">
      <c r="A35" s="112"/>
      <c r="B35" s="113"/>
      <c r="C35" s="113"/>
      <c r="D35" s="113"/>
    </row>
    <row r="36" spans="1:4">
      <c r="A36" s="112"/>
      <c r="B36" s="113"/>
      <c r="C36" s="113"/>
      <c r="D36" s="113"/>
    </row>
    <row r="37" spans="1:4">
      <c r="A37" s="112"/>
      <c r="B37" s="113"/>
      <c r="C37" s="113"/>
      <c r="D37" s="113"/>
    </row>
    <row r="38" spans="1:4">
      <c r="A38" s="112"/>
      <c r="B38" s="113"/>
      <c r="C38" s="113"/>
      <c r="D38" s="113"/>
    </row>
    <row r="39" spans="1:4">
      <c r="A39" s="112"/>
      <c r="B39" s="113"/>
      <c r="C39" s="113"/>
      <c r="D39" s="113"/>
    </row>
    <row r="40" spans="1:4">
      <c r="A40" s="112"/>
      <c r="B40" s="113"/>
      <c r="C40" s="113"/>
      <c r="D40" s="113"/>
    </row>
    <row r="41" spans="1:4">
      <c r="A41" s="112"/>
      <c r="B41" s="113"/>
      <c r="C41" s="113"/>
      <c r="D41" s="113"/>
    </row>
    <row r="42" spans="1:4">
      <c r="A42" s="112"/>
      <c r="B42" s="113"/>
      <c r="C42" s="113"/>
      <c r="D42" s="113"/>
    </row>
    <row r="43" spans="1:4">
      <c r="A43" s="112"/>
      <c r="B43" s="113"/>
      <c r="C43" s="113"/>
      <c r="D43" s="113"/>
    </row>
    <row r="44" spans="1:4">
      <c r="A44" s="112"/>
      <c r="B44" s="113"/>
      <c r="C44" s="113"/>
      <c r="D44" s="113"/>
    </row>
    <row r="45" spans="1:4">
      <c r="B45" s="114"/>
      <c r="C45" s="114"/>
      <c r="D45" s="114"/>
    </row>
    <row r="46" spans="1:4">
      <c r="B46" s="114"/>
      <c r="C46" s="114"/>
      <c r="D46" s="114"/>
    </row>
    <row r="47" spans="1:4">
      <c r="B47" s="114"/>
      <c r="C47" s="114"/>
      <c r="D47" s="114"/>
    </row>
    <row r="48" spans="1:4">
      <c r="B48" s="114"/>
      <c r="C48" s="114"/>
      <c r="D48" s="114"/>
    </row>
    <row r="49" spans="2:4">
      <c r="B49" s="114"/>
      <c r="C49" s="114"/>
      <c r="D49" s="114"/>
    </row>
    <row r="50" spans="2:4">
      <c r="B50" s="114"/>
      <c r="C50" s="114"/>
      <c r="D50" s="114"/>
    </row>
    <row r="51" spans="2:4">
      <c r="B51" s="114"/>
      <c r="C51" s="114"/>
      <c r="D51" s="114"/>
    </row>
    <row r="52" spans="2:4">
      <c r="B52" s="114"/>
      <c r="C52" s="114"/>
      <c r="D52" s="114"/>
    </row>
    <row r="53" spans="2:4">
      <c r="B53" s="114"/>
      <c r="C53" s="114"/>
      <c r="D53" s="114"/>
    </row>
    <row r="54" spans="2:4">
      <c r="B54" s="114"/>
      <c r="C54" s="114"/>
      <c r="D54" s="114"/>
    </row>
    <row r="55" spans="2:4">
      <c r="B55" s="114"/>
      <c r="C55" s="114"/>
      <c r="D55" s="114"/>
    </row>
    <row r="56" spans="2:4">
      <c r="B56" s="114"/>
      <c r="C56" s="114"/>
      <c r="D56" s="114"/>
    </row>
    <row r="57" spans="2:4">
      <c r="B57" s="114"/>
      <c r="C57" s="114"/>
      <c r="D57" s="114"/>
    </row>
    <row r="58" spans="2:4">
      <c r="B58" s="114"/>
      <c r="C58" s="114"/>
      <c r="D58" s="114"/>
    </row>
    <row r="59" spans="2:4">
      <c r="B59" s="114"/>
      <c r="C59" s="114"/>
      <c r="D59" s="114"/>
    </row>
    <row r="60" spans="2:4">
      <c r="B60" s="114"/>
      <c r="C60" s="114"/>
      <c r="D60" s="114"/>
    </row>
    <row r="61" spans="2:4">
      <c r="B61" s="114"/>
      <c r="C61" s="114"/>
      <c r="D61" s="114"/>
    </row>
    <row r="62" spans="2:4">
      <c r="B62" s="114"/>
      <c r="C62" s="114"/>
      <c r="D62" s="114"/>
    </row>
    <row r="63" spans="2:4">
      <c r="B63" s="114"/>
      <c r="C63" s="114"/>
      <c r="D63" s="114"/>
    </row>
    <row r="64" spans="2:4">
      <c r="B64" s="114"/>
      <c r="C64" s="114"/>
      <c r="D64" s="114"/>
    </row>
    <row r="65" spans="2:4">
      <c r="B65" s="114"/>
      <c r="C65" s="114"/>
      <c r="D65" s="114"/>
    </row>
    <row r="66" spans="2:4">
      <c r="B66" s="114"/>
      <c r="C66" s="114"/>
      <c r="D66" s="114"/>
    </row>
    <row r="67" spans="2:4">
      <c r="B67" s="114"/>
      <c r="C67" s="114"/>
      <c r="D67" s="114"/>
    </row>
    <row r="68" spans="2:4">
      <c r="B68" s="114"/>
      <c r="C68" s="114"/>
      <c r="D68" s="114"/>
    </row>
    <row r="69" spans="2:4">
      <c r="B69" s="114"/>
      <c r="C69" s="114"/>
      <c r="D69" s="114"/>
    </row>
    <row r="70" spans="2:4">
      <c r="B70" s="114"/>
      <c r="C70" s="114"/>
      <c r="D70" s="114"/>
    </row>
    <row r="71" spans="2:4">
      <c r="B71" s="114"/>
      <c r="C71" s="114"/>
      <c r="D71" s="114"/>
    </row>
    <row r="72" spans="2:4">
      <c r="B72" s="114"/>
      <c r="C72" s="114"/>
      <c r="D72" s="114"/>
    </row>
    <row r="73" spans="2:4">
      <c r="B73" s="114"/>
      <c r="C73" s="114"/>
      <c r="D73" s="114"/>
    </row>
    <row r="74" spans="2:4">
      <c r="B74" s="114"/>
      <c r="C74" s="114"/>
      <c r="D74" s="114"/>
    </row>
    <row r="75" spans="2:4">
      <c r="B75" s="114"/>
      <c r="C75" s="114"/>
      <c r="D75" s="114"/>
    </row>
    <row r="76" spans="2:4">
      <c r="B76" s="114"/>
      <c r="C76" s="114"/>
      <c r="D76" s="114"/>
    </row>
    <row r="77" spans="2:4">
      <c r="B77" s="114"/>
      <c r="C77" s="114"/>
      <c r="D77" s="114"/>
    </row>
    <row r="78" spans="2:4">
      <c r="B78" s="114"/>
      <c r="C78" s="114"/>
      <c r="D78" s="114"/>
    </row>
    <row r="79" spans="2:4">
      <c r="B79" s="114"/>
      <c r="C79" s="114"/>
      <c r="D79" s="114"/>
    </row>
    <row r="80" spans="2:4">
      <c r="B80" s="114"/>
      <c r="C80" s="114"/>
      <c r="D80" s="114"/>
    </row>
    <row r="81" spans="2:4">
      <c r="B81" s="114"/>
      <c r="C81" s="114"/>
      <c r="D81" s="114"/>
    </row>
    <row r="82" spans="2:4">
      <c r="B82" s="114"/>
      <c r="C82" s="114"/>
      <c r="D82" s="114"/>
    </row>
    <row r="83" spans="2:4">
      <c r="B83" s="114"/>
      <c r="C83" s="114"/>
      <c r="D83" s="114"/>
    </row>
    <row r="84" spans="2:4">
      <c r="B84" s="114"/>
      <c r="C84" s="114"/>
      <c r="D84" s="114"/>
    </row>
    <row r="85" spans="2:4">
      <c r="B85" s="114"/>
      <c r="C85" s="114"/>
      <c r="D85" s="114"/>
    </row>
    <row r="86" spans="2:4">
      <c r="B86" s="114"/>
      <c r="C86" s="114"/>
      <c r="D86" s="114"/>
    </row>
    <row r="87" spans="2:4">
      <c r="B87" s="114"/>
      <c r="C87" s="114"/>
      <c r="D87" s="114"/>
    </row>
    <row r="88" spans="2:4">
      <c r="B88" s="114"/>
      <c r="C88" s="114"/>
      <c r="D88" s="114"/>
    </row>
    <row r="89" spans="2:4">
      <c r="B89" s="114"/>
      <c r="C89" s="114"/>
      <c r="D89" s="114"/>
    </row>
    <row r="90" spans="2:4">
      <c r="B90" s="114"/>
      <c r="C90" s="114"/>
      <c r="D90" s="114"/>
    </row>
    <row r="91" spans="2:4">
      <c r="B91" s="114"/>
      <c r="C91" s="114"/>
      <c r="D91" s="114"/>
    </row>
    <row r="92" spans="2:4">
      <c r="B92" s="114"/>
      <c r="C92" s="114"/>
      <c r="D92" s="114"/>
    </row>
    <row r="93" spans="2:4">
      <c r="B93" s="114"/>
      <c r="C93" s="114"/>
      <c r="D93" s="114"/>
    </row>
    <row r="94" spans="2:4">
      <c r="B94" s="114"/>
      <c r="C94" s="114"/>
      <c r="D94" s="114"/>
    </row>
    <row r="95" spans="2:4">
      <c r="B95" s="114"/>
      <c r="C95" s="114"/>
      <c r="D95" s="114"/>
    </row>
    <row r="96" spans="2:4">
      <c r="B96" s="114"/>
      <c r="C96" s="114"/>
      <c r="D96" s="114"/>
    </row>
    <row r="97" spans="2:4">
      <c r="B97" s="114"/>
      <c r="C97" s="114"/>
      <c r="D97" s="114"/>
    </row>
    <row r="98" spans="2:4">
      <c r="B98" s="114"/>
      <c r="C98" s="114"/>
      <c r="D98" s="114"/>
    </row>
    <row r="99" spans="2:4">
      <c r="B99" s="114"/>
      <c r="C99" s="114"/>
      <c r="D99" s="114"/>
    </row>
    <row r="100" spans="2:4">
      <c r="B100" s="114"/>
      <c r="C100" s="114"/>
      <c r="D100" s="114"/>
    </row>
    <row r="101" spans="2:4">
      <c r="B101" s="114"/>
      <c r="C101" s="114"/>
      <c r="D101" s="114"/>
    </row>
    <row r="102" spans="2:4">
      <c r="B102" s="114"/>
      <c r="C102" s="114"/>
      <c r="D102" s="114"/>
    </row>
    <row r="103" spans="2:4">
      <c r="B103" s="114"/>
      <c r="C103" s="114"/>
      <c r="D103" s="114"/>
    </row>
    <row r="104" spans="2:4">
      <c r="B104" s="114"/>
      <c r="C104" s="114"/>
      <c r="D104" s="114"/>
    </row>
    <row r="105" spans="2:4">
      <c r="B105" s="114"/>
      <c r="C105" s="114"/>
      <c r="D105" s="114"/>
    </row>
    <row r="106" spans="2:4">
      <c r="B106" s="114"/>
      <c r="C106" s="114"/>
      <c r="D106" s="114"/>
    </row>
    <row r="107" spans="2:4">
      <c r="B107" s="114"/>
      <c r="C107" s="114"/>
      <c r="D107" s="114"/>
    </row>
    <row r="108" spans="2:4">
      <c r="B108" s="114"/>
      <c r="C108" s="114"/>
      <c r="D108" s="114"/>
    </row>
    <row r="109" spans="2:4">
      <c r="B109" s="114"/>
      <c r="C109" s="114"/>
      <c r="D109" s="114"/>
    </row>
    <row r="110" spans="2:4">
      <c r="B110" s="114"/>
      <c r="C110" s="114"/>
      <c r="D110" s="114"/>
    </row>
    <row r="111" spans="2:4">
      <c r="B111" s="114"/>
      <c r="C111" s="114"/>
      <c r="D111" s="114"/>
    </row>
    <row r="112" spans="2:4">
      <c r="B112" s="114"/>
      <c r="C112" s="114"/>
      <c r="D112" s="114"/>
    </row>
    <row r="113" spans="2:4">
      <c r="B113" s="114"/>
      <c r="C113" s="114"/>
      <c r="D113" s="114"/>
    </row>
    <row r="114" spans="2:4">
      <c r="B114" s="114"/>
      <c r="C114" s="114"/>
      <c r="D114" s="114"/>
    </row>
    <row r="115" spans="2:4">
      <c r="B115" s="114"/>
      <c r="C115" s="114"/>
      <c r="D115" s="114"/>
    </row>
    <row r="116" spans="2:4">
      <c r="B116" s="114"/>
      <c r="C116" s="114"/>
      <c r="D116" s="114"/>
    </row>
    <row r="117" spans="2:4">
      <c r="B117" s="114"/>
      <c r="C117" s="114"/>
      <c r="D117" s="114"/>
    </row>
    <row r="118" spans="2:4">
      <c r="B118" s="114"/>
      <c r="C118" s="114"/>
      <c r="D118" s="114"/>
    </row>
    <row r="119" spans="2:4">
      <c r="B119" s="114"/>
      <c r="C119" s="114"/>
      <c r="D119" s="114"/>
    </row>
    <row r="120" spans="2:4">
      <c r="B120" s="114"/>
      <c r="C120" s="114"/>
      <c r="D120" s="114"/>
    </row>
    <row r="121" spans="2:4">
      <c r="B121" s="114"/>
      <c r="C121" s="114"/>
      <c r="D121" s="114"/>
    </row>
    <row r="122" spans="2:4">
      <c r="B122" s="114"/>
      <c r="C122" s="114"/>
      <c r="D122" s="114"/>
    </row>
    <row r="123" spans="2:4">
      <c r="B123" s="114"/>
      <c r="C123" s="114"/>
      <c r="D123" s="114"/>
    </row>
    <row r="124" spans="2:4">
      <c r="B124" s="114"/>
      <c r="C124" s="114"/>
      <c r="D124" s="114"/>
    </row>
    <row r="125" spans="2:4">
      <c r="B125" s="114"/>
      <c r="C125" s="114"/>
      <c r="D125" s="114"/>
    </row>
    <row r="126" spans="2:4">
      <c r="B126" s="114"/>
      <c r="C126" s="114"/>
      <c r="D126" s="114"/>
    </row>
    <row r="127" spans="2:4">
      <c r="B127" s="114"/>
      <c r="C127" s="114"/>
      <c r="D127" s="114"/>
    </row>
    <row r="128" spans="2:4">
      <c r="B128" s="114"/>
      <c r="C128" s="114"/>
      <c r="D128" s="114"/>
    </row>
    <row r="129" spans="2:4">
      <c r="B129" s="114"/>
      <c r="C129" s="114"/>
      <c r="D129" s="114"/>
    </row>
    <row r="130" spans="2:4">
      <c r="B130" s="114"/>
      <c r="C130" s="114"/>
      <c r="D130" s="114"/>
    </row>
    <row r="131" spans="2:4">
      <c r="B131" s="114"/>
      <c r="C131" s="114"/>
      <c r="D131" s="114"/>
    </row>
    <row r="132" spans="2:4">
      <c r="B132" s="114"/>
      <c r="C132" s="114"/>
      <c r="D132" s="114"/>
    </row>
    <row r="133" spans="2:4">
      <c r="B133" s="114"/>
      <c r="C133" s="114"/>
      <c r="D133" s="114"/>
    </row>
    <row r="134" spans="2:4">
      <c r="B134" s="114"/>
      <c r="C134" s="114"/>
      <c r="D134" s="114"/>
    </row>
    <row r="135" spans="2:4">
      <c r="B135" s="114"/>
      <c r="C135" s="114"/>
      <c r="D135" s="114"/>
    </row>
    <row r="136" spans="2:4">
      <c r="B136" s="114"/>
      <c r="C136" s="114"/>
      <c r="D136" s="114"/>
    </row>
    <row r="137" spans="2:4">
      <c r="B137" s="114"/>
      <c r="C137" s="114"/>
      <c r="D137" s="114"/>
    </row>
    <row r="138" spans="2:4">
      <c r="B138" s="114"/>
      <c r="C138" s="114"/>
      <c r="D138" s="114"/>
    </row>
    <row r="139" spans="2:4">
      <c r="B139" s="114"/>
      <c r="C139" s="114"/>
      <c r="D139" s="114"/>
    </row>
    <row r="140" spans="2:4">
      <c r="B140" s="114"/>
      <c r="C140" s="114"/>
      <c r="D140" s="114"/>
    </row>
    <row r="141" spans="2:4">
      <c r="B141" s="114"/>
      <c r="C141" s="114"/>
      <c r="D141" s="114"/>
    </row>
    <row r="142" spans="2:4">
      <c r="B142" s="114"/>
      <c r="C142" s="114"/>
      <c r="D142" s="114"/>
    </row>
    <row r="143" spans="2:4">
      <c r="B143" s="114"/>
      <c r="C143" s="114"/>
      <c r="D143" s="114"/>
    </row>
    <row r="144" spans="2:4">
      <c r="B144" s="114"/>
      <c r="C144" s="114"/>
      <c r="D144" s="114"/>
    </row>
    <row r="145" spans="2:4">
      <c r="B145" s="114"/>
      <c r="C145" s="114"/>
      <c r="D145" s="114"/>
    </row>
    <row r="146" spans="2:4">
      <c r="B146" s="114"/>
      <c r="C146" s="114"/>
      <c r="D146" s="114"/>
    </row>
    <row r="147" spans="2:4">
      <c r="B147" s="114"/>
      <c r="C147" s="114"/>
      <c r="D147" s="114"/>
    </row>
    <row r="148" spans="2:4">
      <c r="B148" s="114"/>
      <c r="C148" s="114"/>
      <c r="D148" s="114"/>
    </row>
    <row r="149" spans="2:4">
      <c r="B149" s="114"/>
      <c r="C149" s="114"/>
      <c r="D149" s="114"/>
    </row>
    <row r="150" spans="2:4">
      <c r="B150" s="114"/>
      <c r="C150" s="114"/>
      <c r="D150" s="114"/>
    </row>
    <row r="151" spans="2:4">
      <c r="B151" s="114"/>
      <c r="C151" s="114"/>
      <c r="D151" s="114"/>
    </row>
    <row r="152" spans="2:4">
      <c r="B152" s="114"/>
      <c r="C152" s="114"/>
      <c r="D152" s="114"/>
    </row>
    <row r="153" spans="2:4">
      <c r="B153" s="114"/>
      <c r="C153" s="114"/>
      <c r="D153" s="114"/>
    </row>
    <row r="154" spans="2:4">
      <c r="B154" s="114"/>
      <c r="C154" s="114"/>
      <c r="D154" s="114"/>
    </row>
    <row r="155" spans="2:4">
      <c r="B155" s="114"/>
      <c r="C155" s="114"/>
      <c r="D155" s="114"/>
    </row>
    <row r="156" spans="2:4">
      <c r="B156" s="114"/>
      <c r="C156" s="114"/>
      <c r="D156" s="114"/>
    </row>
    <row r="157" spans="2:4">
      <c r="B157" s="114"/>
      <c r="C157" s="114"/>
      <c r="D157" s="114"/>
    </row>
    <row r="158" spans="2:4">
      <c r="B158" s="114"/>
      <c r="C158" s="114"/>
      <c r="D158" s="114"/>
    </row>
    <row r="159" spans="2:4">
      <c r="B159" s="114"/>
      <c r="C159" s="114"/>
      <c r="D159" s="114"/>
    </row>
    <row r="160" spans="2:4">
      <c r="B160" s="114"/>
      <c r="C160" s="114"/>
      <c r="D160" s="114"/>
    </row>
    <row r="161" spans="2:4">
      <c r="B161" s="114"/>
      <c r="C161" s="114"/>
      <c r="D161" s="114"/>
    </row>
    <row r="162" spans="2:4">
      <c r="B162" s="114"/>
      <c r="C162" s="114"/>
      <c r="D162" s="114"/>
    </row>
    <row r="163" spans="2:4">
      <c r="B163" s="114"/>
      <c r="C163" s="114"/>
      <c r="D163" s="114"/>
    </row>
    <row r="164" spans="2:4">
      <c r="B164" s="114"/>
      <c r="C164" s="114"/>
      <c r="D164" s="114"/>
    </row>
    <row r="165" spans="2:4">
      <c r="B165" s="114"/>
      <c r="C165" s="114"/>
      <c r="D165" s="114"/>
    </row>
    <row r="166" spans="2:4">
      <c r="B166" s="114"/>
      <c r="C166" s="114"/>
      <c r="D166" s="114"/>
    </row>
    <row r="167" spans="2:4">
      <c r="B167" s="114"/>
      <c r="C167" s="114"/>
      <c r="D167" s="114"/>
    </row>
    <row r="168" spans="2:4">
      <c r="B168" s="114"/>
      <c r="C168" s="114"/>
      <c r="D168" s="114"/>
    </row>
    <row r="169" spans="2:4">
      <c r="B169" s="114"/>
      <c r="C169" s="114"/>
      <c r="D169" s="114"/>
    </row>
    <row r="170" spans="2:4">
      <c r="B170" s="114"/>
      <c r="C170" s="114"/>
      <c r="D170" s="114"/>
    </row>
    <row r="171" spans="2:4">
      <c r="B171" s="114"/>
      <c r="C171" s="114"/>
      <c r="D171" s="114"/>
    </row>
    <row r="172" spans="2:4">
      <c r="B172" s="114"/>
      <c r="C172" s="114"/>
      <c r="D172" s="114"/>
    </row>
    <row r="173" spans="2:4">
      <c r="B173" s="114"/>
      <c r="C173" s="114"/>
      <c r="D173" s="114"/>
    </row>
    <row r="174" spans="2:4">
      <c r="B174" s="114"/>
      <c r="C174" s="114"/>
      <c r="D174" s="114"/>
    </row>
    <row r="175" spans="2:4">
      <c r="B175" s="114"/>
      <c r="C175" s="114"/>
      <c r="D175" s="114"/>
    </row>
    <row r="176" spans="2:4">
      <c r="B176" s="114"/>
      <c r="C176" s="114"/>
      <c r="D176" s="114"/>
    </row>
    <row r="177" spans="2:4">
      <c r="B177" s="114"/>
      <c r="C177" s="114"/>
      <c r="D177" s="114"/>
    </row>
    <row r="178" spans="2:4">
      <c r="B178" s="114"/>
      <c r="C178" s="114"/>
      <c r="D178" s="114"/>
    </row>
    <row r="179" spans="2:4">
      <c r="B179" s="114"/>
      <c r="C179" s="114"/>
      <c r="D179" s="114"/>
    </row>
    <row r="180" spans="2:4">
      <c r="B180" s="114"/>
      <c r="C180" s="114"/>
      <c r="D180" s="114"/>
    </row>
    <row r="181" spans="2:4">
      <c r="B181" s="114"/>
      <c r="C181" s="114"/>
      <c r="D181" s="114"/>
    </row>
    <row r="182" spans="2:4">
      <c r="B182" s="114"/>
      <c r="C182" s="114"/>
      <c r="D182" s="114"/>
    </row>
    <row r="183" spans="2:4">
      <c r="B183" s="114"/>
      <c r="C183" s="114"/>
      <c r="D183" s="114"/>
    </row>
    <row r="184" spans="2:4">
      <c r="B184" s="114"/>
      <c r="C184" s="114"/>
      <c r="D184" s="114"/>
    </row>
    <row r="185" spans="2:4">
      <c r="B185" s="114"/>
      <c r="C185" s="114"/>
      <c r="D185" s="114"/>
    </row>
    <row r="186" spans="2:4">
      <c r="B186" s="114"/>
      <c r="C186" s="114"/>
      <c r="D186" s="114"/>
    </row>
    <row r="187" spans="2:4">
      <c r="B187" s="114"/>
      <c r="C187" s="114"/>
      <c r="D187" s="114"/>
    </row>
    <row r="188" spans="2:4">
      <c r="B188" s="114"/>
      <c r="C188" s="114"/>
      <c r="D188" s="114"/>
    </row>
    <row r="189" spans="2:4">
      <c r="B189" s="114"/>
      <c r="C189" s="114"/>
      <c r="D189" s="114"/>
    </row>
    <row r="190" spans="2:4">
      <c r="B190" s="114"/>
      <c r="C190" s="114"/>
      <c r="D190" s="114"/>
    </row>
    <row r="191" spans="2:4">
      <c r="B191" s="114"/>
      <c r="C191" s="114"/>
      <c r="D191" s="114"/>
    </row>
    <row r="192" spans="2:4">
      <c r="B192" s="114"/>
      <c r="C192" s="114"/>
      <c r="D192" s="114"/>
    </row>
    <row r="193" spans="2:4">
      <c r="B193" s="114"/>
      <c r="C193" s="114"/>
      <c r="D193" s="114"/>
    </row>
    <row r="194" spans="2:4">
      <c r="B194" s="114"/>
      <c r="C194" s="114"/>
      <c r="D194" s="114"/>
    </row>
    <row r="195" spans="2:4">
      <c r="B195" s="114"/>
      <c r="C195" s="114"/>
      <c r="D195" s="114"/>
    </row>
    <row r="196" spans="2:4">
      <c r="B196" s="114"/>
      <c r="C196" s="114"/>
      <c r="D196" s="114"/>
    </row>
    <row r="197" spans="2:4">
      <c r="B197" s="114"/>
      <c r="C197" s="114"/>
      <c r="D197" s="114"/>
    </row>
    <row r="198" spans="2:4">
      <c r="B198" s="114"/>
      <c r="C198" s="114"/>
      <c r="D198" s="114"/>
    </row>
    <row r="199" spans="2:4">
      <c r="B199" s="114"/>
      <c r="C199" s="114"/>
      <c r="D199" s="114"/>
    </row>
    <row r="200" spans="2:4">
      <c r="B200" s="114"/>
      <c r="C200" s="114"/>
      <c r="D200" s="114"/>
    </row>
    <row r="201" spans="2:4">
      <c r="B201" s="114"/>
      <c r="C201" s="114"/>
      <c r="D201" s="114"/>
    </row>
    <row r="202" spans="2:4">
      <c r="B202" s="114"/>
      <c r="C202" s="114"/>
      <c r="D202" s="114"/>
    </row>
    <row r="203" spans="2:4">
      <c r="B203" s="114"/>
      <c r="C203" s="114"/>
      <c r="D203" s="114"/>
    </row>
    <row r="204" spans="2:4">
      <c r="B204" s="114"/>
      <c r="C204" s="114"/>
      <c r="D204" s="114"/>
    </row>
    <row r="205" spans="2:4">
      <c r="B205" s="114"/>
      <c r="C205" s="114"/>
      <c r="D205" s="114"/>
    </row>
    <row r="206" spans="2:4">
      <c r="B206" s="114"/>
      <c r="C206" s="114"/>
      <c r="D206" s="114"/>
    </row>
    <row r="207" spans="2:4">
      <c r="B207" s="114"/>
      <c r="C207" s="114"/>
      <c r="D207" s="114"/>
    </row>
    <row r="208" spans="2:4">
      <c r="B208" s="114"/>
      <c r="C208" s="114"/>
      <c r="D208" s="114"/>
    </row>
    <row r="209" spans="2:4">
      <c r="B209" s="114"/>
      <c r="C209" s="114"/>
      <c r="D209" s="114"/>
    </row>
    <row r="210" spans="2:4">
      <c r="B210" s="114"/>
      <c r="C210" s="114"/>
      <c r="D210" s="114"/>
    </row>
    <row r="211" spans="2:4">
      <c r="B211" s="114"/>
      <c r="C211" s="114"/>
      <c r="D211" s="114"/>
    </row>
    <row r="212" spans="2:4">
      <c r="B212" s="114"/>
      <c r="C212" s="114"/>
      <c r="D212" s="114"/>
    </row>
    <row r="213" spans="2:4">
      <c r="B213" s="114"/>
      <c r="C213" s="114"/>
      <c r="D213" s="114"/>
    </row>
    <row r="214" spans="2:4">
      <c r="B214" s="114"/>
      <c r="C214" s="114"/>
      <c r="D214" s="114"/>
    </row>
    <row r="215" spans="2:4">
      <c r="B215" s="114"/>
      <c r="C215" s="114"/>
      <c r="D215" s="114"/>
    </row>
    <row r="216" spans="2:4">
      <c r="B216" s="114"/>
      <c r="C216" s="114"/>
      <c r="D216" s="114"/>
    </row>
    <row r="217" spans="2:4">
      <c r="B217" s="114"/>
      <c r="C217" s="114"/>
      <c r="D217" s="114"/>
    </row>
    <row r="218" spans="2:4">
      <c r="B218" s="114"/>
      <c r="C218" s="114"/>
      <c r="D218" s="114"/>
    </row>
    <row r="219" spans="2:4">
      <c r="B219" s="114"/>
      <c r="C219" s="114"/>
      <c r="D219" s="114"/>
    </row>
    <row r="220" spans="2:4">
      <c r="B220" s="114"/>
      <c r="C220" s="114"/>
      <c r="D220" s="114"/>
    </row>
    <row r="221" spans="2:4">
      <c r="B221" s="114"/>
      <c r="C221" s="114"/>
      <c r="D221" s="114"/>
    </row>
    <row r="222" spans="2:4">
      <c r="B222" s="114"/>
      <c r="C222" s="114"/>
      <c r="D222" s="114"/>
    </row>
    <row r="223" spans="2:4">
      <c r="B223" s="114"/>
      <c r="C223" s="114"/>
      <c r="D223" s="114"/>
    </row>
    <row r="224" spans="2:4">
      <c r="B224" s="114"/>
      <c r="C224" s="114"/>
      <c r="D224" s="114"/>
    </row>
    <row r="225" spans="2:4">
      <c r="B225" s="114"/>
      <c r="C225" s="114"/>
      <c r="D225" s="114"/>
    </row>
    <row r="226" spans="2:4">
      <c r="B226" s="114"/>
      <c r="C226" s="114"/>
      <c r="D226" s="114"/>
    </row>
    <row r="227" spans="2:4">
      <c r="B227" s="114"/>
      <c r="C227" s="114"/>
      <c r="D227" s="114"/>
    </row>
    <row r="228" spans="2:4">
      <c r="B228" s="114"/>
      <c r="C228" s="114"/>
      <c r="D228" s="114"/>
    </row>
    <row r="229" spans="2:4">
      <c r="B229" s="114"/>
      <c r="C229" s="114"/>
      <c r="D229" s="114"/>
    </row>
    <row r="230" spans="2:4">
      <c r="B230" s="114"/>
      <c r="C230" s="114"/>
      <c r="D230" s="114"/>
    </row>
    <row r="231" spans="2:4">
      <c r="B231" s="114"/>
      <c r="C231" s="114"/>
      <c r="D231" s="114"/>
    </row>
    <row r="232" spans="2:4">
      <c r="B232" s="114"/>
      <c r="C232" s="114"/>
      <c r="D232" s="114"/>
    </row>
    <row r="233" spans="2:4">
      <c r="B233" s="114"/>
      <c r="C233" s="114"/>
      <c r="D233" s="114"/>
    </row>
    <row r="234" spans="2:4">
      <c r="B234" s="114"/>
      <c r="C234" s="114"/>
      <c r="D234" s="114"/>
    </row>
    <row r="235" spans="2:4">
      <c r="B235" s="114"/>
      <c r="C235" s="114"/>
      <c r="D235" s="114"/>
    </row>
    <row r="236" spans="2:4">
      <c r="B236" s="114"/>
      <c r="C236" s="114"/>
      <c r="D236" s="114"/>
    </row>
    <row r="237" spans="2:4">
      <c r="B237" s="114"/>
      <c r="C237" s="114"/>
      <c r="D237" s="114"/>
    </row>
    <row r="238" spans="2:4">
      <c r="B238" s="114"/>
      <c r="C238" s="114"/>
      <c r="D238" s="114"/>
    </row>
    <row r="239" spans="2:4">
      <c r="B239" s="114"/>
      <c r="C239" s="114"/>
      <c r="D239" s="114"/>
    </row>
    <row r="240" spans="2:4">
      <c r="B240" s="114"/>
      <c r="C240" s="114"/>
      <c r="D240" s="114"/>
    </row>
    <row r="241" spans="2:4">
      <c r="B241" s="114"/>
      <c r="C241" s="114"/>
      <c r="D241" s="114"/>
    </row>
    <row r="242" spans="2:4">
      <c r="B242" s="114"/>
      <c r="C242" s="114"/>
      <c r="D242" s="114"/>
    </row>
    <row r="243" spans="2:4">
      <c r="B243" s="114"/>
      <c r="C243" s="114"/>
      <c r="D243" s="114"/>
    </row>
    <row r="244" spans="2:4">
      <c r="B244" s="114"/>
      <c r="C244" s="114"/>
      <c r="D244" s="114"/>
    </row>
    <row r="245" spans="2:4">
      <c r="B245" s="114"/>
      <c r="C245" s="114"/>
      <c r="D245" s="114"/>
    </row>
    <row r="246" spans="2:4">
      <c r="B246" s="114"/>
      <c r="C246" s="114"/>
      <c r="D246" s="114"/>
    </row>
    <row r="247" spans="2:4">
      <c r="B247" s="114"/>
      <c r="C247" s="114"/>
      <c r="D247" s="114"/>
    </row>
    <row r="248" spans="2:4">
      <c r="B248" s="114"/>
      <c r="C248" s="114"/>
      <c r="D248" s="114"/>
    </row>
    <row r="249" spans="2:4">
      <c r="B249" s="114"/>
      <c r="C249" s="114"/>
      <c r="D249" s="114"/>
    </row>
    <row r="250" spans="2:4">
      <c r="B250" s="114"/>
      <c r="C250" s="114"/>
      <c r="D250" s="114"/>
    </row>
    <row r="251" spans="2:4">
      <c r="B251" s="114"/>
      <c r="C251" s="114"/>
      <c r="D251" s="114"/>
    </row>
    <row r="252" spans="2:4">
      <c r="B252" s="114"/>
      <c r="C252" s="114"/>
      <c r="D252" s="114"/>
    </row>
    <row r="253" spans="2:4">
      <c r="B253" s="114"/>
      <c r="C253" s="114"/>
      <c r="D253" s="114"/>
    </row>
    <row r="254" spans="2:4">
      <c r="B254" s="114"/>
      <c r="C254" s="114"/>
      <c r="D254" s="114"/>
    </row>
    <row r="255" spans="2:4">
      <c r="B255" s="114"/>
      <c r="C255" s="114"/>
      <c r="D255" s="114"/>
    </row>
    <row r="256" spans="2:4">
      <c r="B256" s="114"/>
      <c r="C256" s="114"/>
      <c r="D256" s="114"/>
    </row>
    <row r="257" spans="2:4">
      <c r="B257" s="114"/>
      <c r="C257" s="114"/>
      <c r="D257" s="114"/>
    </row>
    <row r="258" spans="2:4">
      <c r="B258" s="114"/>
      <c r="C258" s="114"/>
      <c r="D258" s="114"/>
    </row>
    <row r="259" spans="2:4">
      <c r="B259" s="114"/>
      <c r="C259" s="114"/>
      <c r="D259" s="114"/>
    </row>
    <row r="260" spans="2:4">
      <c r="B260" s="114"/>
      <c r="C260" s="114"/>
      <c r="D260" s="114"/>
    </row>
    <row r="261" spans="2:4">
      <c r="B261" s="114"/>
      <c r="C261" s="114"/>
      <c r="D261" s="114"/>
    </row>
    <row r="262" spans="2:4">
      <c r="B262" s="114"/>
      <c r="C262" s="114"/>
      <c r="D262" s="114"/>
    </row>
    <row r="263" spans="2:4">
      <c r="B263" s="114"/>
      <c r="C263" s="114"/>
      <c r="D263" s="114"/>
    </row>
    <row r="264" spans="2:4">
      <c r="B264" s="114"/>
      <c r="C264" s="114"/>
      <c r="D264" s="114"/>
    </row>
    <row r="265" spans="2:4">
      <c r="B265" s="114"/>
      <c r="C265" s="114"/>
      <c r="D265" s="114"/>
    </row>
    <row r="266" spans="2:4">
      <c r="B266" s="114"/>
      <c r="C266" s="114"/>
      <c r="D266" s="114"/>
    </row>
    <row r="267" spans="2:4">
      <c r="B267" s="114"/>
      <c r="C267" s="114"/>
      <c r="D267" s="114"/>
    </row>
    <row r="268" spans="2:4">
      <c r="B268" s="114"/>
      <c r="C268" s="114"/>
      <c r="D268" s="114"/>
    </row>
    <row r="269" spans="2:4">
      <c r="B269" s="114"/>
      <c r="C269" s="114"/>
      <c r="D269" s="114"/>
    </row>
    <row r="270" spans="2:4">
      <c r="B270" s="114"/>
      <c r="C270" s="114"/>
      <c r="D270" s="114"/>
    </row>
    <row r="271" spans="2:4">
      <c r="B271" s="114"/>
      <c r="C271" s="114"/>
      <c r="D271" s="114"/>
    </row>
    <row r="272" spans="2:4">
      <c r="B272" s="114"/>
      <c r="C272" s="114"/>
      <c r="D272" s="114"/>
    </row>
    <row r="273" spans="2:4">
      <c r="B273" s="114"/>
      <c r="C273" s="114"/>
      <c r="D273" s="114"/>
    </row>
    <row r="274" spans="2:4">
      <c r="B274" s="114"/>
      <c r="C274" s="114"/>
      <c r="D274" s="114"/>
    </row>
    <row r="275" spans="2:4">
      <c r="B275" s="114"/>
      <c r="C275" s="114"/>
      <c r="D275" s="114"/>
    </row>
    <row r="276" spans="2:4">
      <c r="B276" s="114"/>
      <c r="C276" s="114"/>
      <c r="D276" s="114"/>
    </row>
    <row r="277" spans="2:4">
      <c r="B277" s="114"/>
      <c r="C277" s="114"/>
      <c r="D277" s="114"/>
    </row>
    <row r="278" spans="2:4">
      <c r="B278" s="114"/>
      <c r="C278" s="114"/>
      <c r="D278" s="114"/>
    </row>
    <row r="279" spans="2:4">
      <c r="B279" s="114"/>
      <c r="C279" s="114"/>
      <c r="D279" s="114"/>
    </row>
    <row r="280" spans="2:4">
      <c r="B280" s="114"/>
      <c r="C280" s="114"/>
      <c r="D280" s="114"/>
    </row>
    <row r="281" spans="2:4">
      <c r="B281" s="114"/>
      <c r="C281" s="114"/>
      <c r="D281" s="114"/>
    </row>
    <row r="282" spans="2:4">
      <c r="B282" s="114"/>
      <c r="C282" s="114"/>
      <c r="D282" s="114"/>
    </row>
    <row r="283" spans="2:4">
      <c r="B283" s="114"/>
      <c r="C283" s="114"/>
      <c r="D283" s="114"/>
    </row>
    <row r="284" spans="2:4">
      <c r="B284" s="114"/>
      <c r="C284" s="114"/>
      <c r="D284" s="114"/>
    </row>
    <row r="285" spans="2:4">
      <c r="B285" s="114"/>
      <c r="C285" s="114"/>
      <c r="D285" s="114"/>
    </row>
    <row r="286" spans="2:4">
      <c r="B286" s="114"/>
      <c r="C286" s="114"/>
      <c r="D286" s="114"/>
    </row>
    <row r="287" spans="2:4">
      <c r="B287" s="114"/>
      <c r="C287" s="114"/>
      <c r="D287" s="114"/>
    </row>
    <row r="288" spans="2:4">
      <c r="B288" s="114"/>
      <c r="C288" s="114"/>
      <c r="D288" s="114"/>
    </row>
    <row r="289" spans="2:4">
      <c r="B289" s="114"/>
      <c r="C289" s="114"/>
      <c r="D289" s="114"/>
    </row>
    <row r="290" spans="2:4">
      <c r="B290" s="114"/>
      <c r="C290" s="114"/>
      <c r="D290" s="114"/>
    </row>
    <row r="291" spans="2:4">
      <c r="B291" s="114"/>
      <c r="C291" s="114"/>
      <c r="D291" s="114"/>
    </row>
    <row r="292" spans="2:4">
      <c r="B292" s="114"/>
      <c r="C292" s="114"/>
      <c r="D292" s="114"/>
    </row>
    <row r="293" spans="2:4">
      <c r="B293" s="114"/>
      <c r="C293" s="114"/>
      <c r="D293" s="114"/>
    </row>
    <row r="294" spans="2:4">
      <c r="B294" s="114"/>
      <c r="C294" s="114"/>
      <c r="D294" s="114"/>
    </row>
    <row r="295" spans="2:4">
      <c r="B295" s="114"/>
      <c r="C295" s="114"/>
      <c r="D295" s="114"/>
    </row>
    <row r="296" spans="2:4">
      <c r="B296" s="114"/>
      <c r="C296" s="114"/>
      <c r="D296" s="114"/>
    </row>
    <row r="297" spans="2:4">
      <c r="B297" s="114"/>
      <c r="C297" s="114"/>
      <c r="D297" s="114"/>
    </row>
    <row r="298" spans="2:4">
      <c r="B298" s="114"/>
      <c r="C298" s="114"/>
      <c r="D298" s="114"/>
    </row>
    <row r="299" spans="2:4">
      <c r="B299" s="114"/>
      <c r="C299" s="114"/>
      <c r="D299" s="114"/>
    </row>
    <row r="300" spans="2:4">
      <c r="B300" s="114"/>
      <c r="C300" s="114"/>
      <c r="D300" s="114"/>
    </row>
    <row r="301" spans="2:4">
      <c r="B301" s="114"/>
      <c r="C301" s="114"/>
      <c r="D301" s="114"/>
    </row>
    <row r="302" spans="2:4">
      <c r="B302" s="114"/>
      <c r="C302" s="114"/>
      <c r="D302" s="114"/>
    </row>
    <row r="303" spans="2:4">
      <c r="B303" s="114"/>
      <c r="C303" s="114"/>
      <c r="D303" s="114"/>
    </row>
    <row r="304" spans="2:4">
      <c r="B304" s="114"/>
      <c r="C304" s="114"/>
      <c r="D304" s="114"/>
    </row>
    <row r="305" spans="2:4">
      <c r="B305" s="114"/>
      <c r="C305" s="114"/>
      <c r="D305" s="114"/>
    </row>
    <row r="306" spans="2:4">
      <c r="B306" s="114"/>
      <c r="C306" s="114"/>
      <c r="D306" s="114"/>
    </row>
    <row r="307" spans="2:4">
      <c r="B307" s="114"/>
      <c r="C307" s="114"/>
      <c r="D307" s="114"/>
    </row>
    <row r="308" spans="2:4">
      <c r="B308" s="114"/>
      <c r="C308" s="114"/>
      <c r="D308" s="114"/>
    </row>
    <row r="309" spans="2:4">
      <c r="B309" s="114"/>
      <c r="C309" s="114"/>
      <c r="D309" s="114"/>
    </row>
    <row r="310" spans="2:4">
      <c r="B310" s="114"/>
      <c r="C310" s="114"/>
      <c r="D310" s="114"/>
    </row>
    <row r="311" spans="2:4">
      <c r="B311" s="114"/>
      <c r="C311" s="114"/>
      <c r="D311" s="114"/>
    </row>
    <row r="312" spans="2:4">
      <c r="B312" s="114"/>
      <c r="C312" s="114"/>
      <c r="D312" s="114"/>
    </row>
    <row r="313" spans="2:4">
      <c r="B313" s="114"/>
      <c r="C313" s="114"/>
      <c r="D313" s="114"/>
    </row>
    <row r="314" spans="2:4">
      <c r="B314" s="114"/>
      <c r="C314" s="114"/>
      <c r="D314" s="114"/>
    </row>
    <row r="315" spans="2:4">
      <c r="B315" s="114"/>
      <c r="C315" s="114"/>
      <c r="D315" s="114"/>
    </row>
    <row r="316" spans="2:4">
      <c r="B316" s="114"/>
      <c r="C316" s="114"/>
      <c r="D316" s="114"/>
    </row>
    <row r="317" spans="2:4">
      <c r="B317" s="114"/>
      <c r="C317" s="114"/>
      <c r="D317" s="114"/>
    </row>
    <row r="318" spans="2:4">
      <c r="B318" s="114"/>
      <c r="C318" s="114"/>
      <c r="D318" s="114"/>
    </row>
    <row r="319" spans="2:4">
      <c r="B319" s="114"/>
      <c r="C319" s="114"/>
      <c r="D319" s="114"/>
    </row>
    <row r="320" spans="2:4">
      <c r="B320" s="114"/>
      <c r="C320" s="114"/>
      <c r="D320" s="114"/>
    </row>
    <row r="321" spans="2:4">
      <c r="B321" s="114"/>
      <c r="C321" s="114"/>
      <c r="D321" s="114"/>
    </row>
    <row r="322" spans="2:4">
      <c r="B322" s="114"/>
      <c r="C322" s="114"/>
      <c r="D322" s="114"/>
    </row>
    <row r="323" spans="2:4">
      <c r="B323" s="114"/>
      <c r="C323" s="114"/>
      <c r="D323" s="114"/>
    </row>
    <row r="324" spans="2:4">
      <c r="B324" s="114"/>
      <c r="C324" s="114"/>
      <c r="D324" s="114"/>
    </row>
    <row r="325" spans="2:4">
      <c r="B325" s="114"/>
      <c r="C325" s="114"/>
      <c r="D325" s="114"/>
    </row>
    <row r="326" spans="2:4">
      <c r="B326" s="114"/>
      <c r="C326" s="114"/>
      <c r="D326" s="114"/>
    </row>
    <row r="327" spans="2:4">
      <c r="B327" s="114"/>
      <c r="C327" s="114"/>
      <c r="D327" s="114"/>
    </row>
    <row r="328" spans="2:4">
      <c r="B328" s="114"/>
      <c r="C328" s="114"/>
      <c r="D328" s="114"/>
    </row>
    <row r="329" spans="2:4">
      <c r="B329" s="114"/>
      <c r="C329" s="114"/>
      <c r="D329" s="114"/>
    </row>
    <row r="330" spans="2:4">
      <c r="B330" s="114"/>
      <c r="C330" s="114"/>
      <c r="D330" s="114"/>
    </row>
    <row r="331" spans="2:4">
      <c r="B331" s="114"/>
      <c r="C331" s="114"/>
      <c r="D331" s="114"/>
    </row>
    <row r="332" spans="2:4">
      <c r="B332" s="114"/>
      <c r="C332" s="114"/>
      <c r="D332" s="114"/>
    </row>
    <row r="333" spans="2:4">
      <c r="B333" s="114"/>
      <c r="C333" s="114"/>
      <c r="D333" s="114"/>
    </row>
    <row r="334" spans="2:4">
      <c r="B334" s="114"/>
      <c r="C334" s="114"/>
      <c r="D334" s="114"/>
    </row>
    <row r="335" spans="2:4">
      <c r="B335" s="114"/>
      <c r="C335" s="114"/>
      <c r="D335" s="114"/>
    </row>
    <row r="336" spans="2:4">
      <c r="B336" s="114"/>
      <c r="C336" s="114"/>
      <c r="D336" s="114"/>
    </row>
    <row r="337" spans="2:4">
      <c r="B337" s="114"/>
      <c r="C337" s="114"/>
      <c r="D337" s="114"/>
    </row>
    <row r="338" spans="2:4">
      <c r="B338" s="114"/>
      <c r="C338" s="114"/>
      <c r="D338" s="114"/>
    </row>
    <row r="339" spans="2:4">
      <c r="B339" s="114"/>
      <c r="C339" s="114"/>
      <c r="D339" s="114"/>
    </row>
    <row r="340" spans="2:4">
      <c r="B340" s="114"/>
      <c r="C340" s="114"/>
      <c r="D340" s="114"/>
    </row>
    <row r="341" spans="2:4">
      <c r="B341" s="114"/>
      <c r="C341" s="114"/>
      <c r="D341" s="114"/>
    </row>
    <row r="342" spans="2:4">
      <c r="B342" s="114"/>
      <c r="C342" s="114"/>
      <c r="D342" s="114"/>
    </row>
    <row r="343" spans="2:4">
      <c r="B343" s="114"/>
      <c r="C343" s="114"/>
      <c r="D343" s="114"/>
    </row>
    <row r="344" spans="2:4">
      <c r="B344" s="114"/>
      <c r="C344" s="114"/>
      <c r="D344" s="114"/>
    </row>
    <row r="345" spans="2:4">
      <c r="B345" s="114"/>
      <c r="C345" s="114"/>
      <c r="D345" s="114"/>
    </row>
    <row r="346" spans="2:4">
      <c r="B346" s="114"/>
      <c r="C346" s="114"/>
      <c r="D346" s="114"/>
    </row>
    <row r="347" spans="2:4">
      <c r="B347" s="114"/>
      <c r="C347" s="114"/>
      <c r="D347" s="114"/>
    </row>
    <row r="348" spans="2:4">
      <c r="B348" s="114"/>
      <c r="C348" s="114"/>
      <c r="D348" s="114"/>
    </row>
    <row r="349" spans="2:4">
      <c r="B349" s="114"/>
      <c r="C349" s="114"/>
      <c r="D349" s="114"/>
    </row>
    <row r="350" spans="2:4">
      <c r="B350" s="114"/>
      <c r="C350" s="114"/>
      <c r="D350" s="114"/>
    </row>
    <row r="351" spans="2:4">
      <c r="B351" s="114"/>
      <c r="C351" s="114"/>
      <c r="D351" s="114"/>
    </row>
    <row r="352" spans="2:4">
      <c r="B352" s="114"/>
      <c r="C352" s="114"/>
      <c r="D352" s="114"/>
    </row>
    <row r="353" spans="2:4">
      <c r="B353" s="114"/>
      <c r="C353" s="114"/>
      <c r="D353" s="114"/>
    </row>
    <row r="354" spans="2:4">
      <c r="B354" s="114"/>
      <c r="C354" s="114"/>
      <c r="D354" s="114"/>
    </row>
    <row r="355" spans="2:4">
      <c r="B355" s="114"/>
      <c r="C355" s="114"/>
      <c r="D355" s="114"/>
    </row>
    <row r="356" spans="2:4">
      <c r="B356" s="114"/>
      <c r="C356" s="114"/>
      <c r="D356" s="114"/>
    </row>
    <row r="357" spans="2:4">
      <c r="B357" s="114"/>
      <c r="C357" s="114"/>
      <c r="D357" s="114"/>
    </row>
    <row r="358" spans="2:4">
      <c r="B358" s="114"/>
      <c r="C358" s="114"/>
      <c r="D358" s="114"/>
    </row>
    <row r="359" spans="2:4">
      <c r="B359" s="114"/>
      <c r="C359" s="114"/>
      <c r="D359" s="114"/>
    </row>
    <row r="360" spans="2:4">
      <c r="B360" s="114"/>
      <c r="C360" s="114"/>
      <c r="D360" s="114"/>
    </row>
    <row r="361" spans="2:4">
      <c r="B361" s="114"/>
      <c r="C361" s="114"/>
      <c r="D361" s="114"/>
    </row>
    <row r="362" spans="2:4">
      <c r="B362" s="114"/>
      <c r="C362" s="114"/>
      <c r="D362" s="114"/>
    </row>
    <row r="363" spans="2:4">
      <c r="B363" s="114"/>
      <c r="C363" s="114"/>
      <c r="D363" s="114"/>
    </row>
    <row r="364" spans="2:4">
      <c r="B364" s="114"/>
      <c r="C364" s="114"/>
      <c r="D364" s="114"/>
    </row>
    <row r="365" spans="2:4">
      <c r="B365" s="114"/>
      <c r="C365" s="114"/>
      <c r="D365" s="114"/>
    </row>
    <row r="366" spans="2:4">
      <c r="B366" s="114"/>
      <c r="C366" s="114"/>
      <c r="D366" s="114"/>
    </row>
    <row r="367" spans="2:4">
      <c r="B367" s="114"/>
      <c r="C367" s="114"/>
      <c r="D367" s="114"/>
    </row>
    <row r="368" spans="2:4">
      <c r="B368" s="114"/>
      <c r="C368" s="114"/>
      <c r="D368" s="114"/>
    </row>
    <row r="369" spans="2:4">
      <c r="B369" s="114"/>
      <c r="C369" s="114"/>
      <c r="D369" s="114"/>
    </row>
    <row r="370" spans="2:4">
      <c r="B370" s="114"/>
      <c r="C370" s="114"/>
      <c r="D370" s="114"/>
    </row>
    <row r="371" spans="2:4">
      <c r="B371" s="114"/>
      <c r="C371" s="114"/>
      <c r="D371" s="114"/>
    </row>
    <row r="372" spans="2:4">
      <c r="B372" s="114"/>
      <c r="C372" s="114"/>
      <c r="D372" s="114"/>
    </row>
    <row r="373" spans="2:4">
      <c r="B373" s="114"/>
      <c r="C373" s="114"/>
      <c r="D373" s="114"/>
    </row>
    <row r="374" spans="2:4">
      <c r="B374" s="114"/>
      <c r="C374" s="114"/>
      <c r="D374" s="114"/>
    </row>
    <row r="375" spans="2:4">
      <c r="B375" s="114"/>
      <c r="C375" s="114"/>
      <c r="D375" s="114"/>
    </row>
    <row r="376" spans="2:4">
      <c r="B376" s="114"/>
      <c r="C376" s="114"/>
      <c r="D376" s="114"/>
    </row>
    <row r="377" spans="2:4">
      <c r="B377" s="114"/>
      <c r="C377" s="114"/>
      <c r="D377" s="114"/>
    </row>
    <row r="378" spans="2:4">
      <c r="B378" s="114"/>
      <c r="C378" s="114"/>
      <c r="D378" s="114"/>
    </row>
    <row r="379" spans="2:4">
      <c r="B379" s="114"/>
      <c r="C379" s="114"/>
      <c r="D379" s="114"/>
    </row>
    <row r="380" spans="2:4">
      <c r="B380" s="114"/>
      <c r="C380" s="114"/>
      <c r="D380" s="114"/>
    </row>
    <row r="381" spans="2:4">
      <c r="B381" s="114"/>
      <c r="C381" s="114"/>
      <c r="D381" s="114"/>
    </row>
    <row r="382" spans="2:4">
      <c r="B382" s="114"/>
      <c r="C382" s="114"/>
      <c r="D382" s="114"/>
    </row>
    <row r="383" spans="2:4">
      <c r="B383" s="114"/>
      <c r="C383" s="114"/>
      <c r="D383" s="114"/>
    </row>
    <row r="384" spans="2:4">
      <c r="B384" s="114"/>
      <c r="C384" s="114"/>
      <c r="D384" s="114"/>
    </row>
    <row r="385" spans="2:4">
      <c r="B385" s="114"/>
      <c r="C385" s="114"/>
      <c r="D385" s="114"/>
    </row>
    <row r="386" spans="2:4">
      <c r="B386" s="114"/>
      <c r="C386" s="114"/>
      <c r="D386" s="114"/>
    </row>
    <row r="387" spans="2:4">
      <c r="B387" s="114"/>
      <c r="C387" s="114"/>
      <c r="D387" s="114"/>
    </row>
    <row r="388" spans="2:4">
      <c r="B388" s="114"/>
      <c r="C388" s="114"/>
      <c r="D388" s="114"/>
    </row>
    <row r="389" spans="2:4">
      <c r="B389" s="114"/>
      <c r="C389" s="114"/>
      <c r="D389" s="114"/>
    </row>
    <row r="390" spans="2:4">
      <c r="B390" s="114"/>
      <c r="C390" s="114"/>
      <c r="D390" s="114"/>
    </row>
    <row r="391" spans="2:4">
      <c r="B391" s="114"/>
      <c r="C391" s="114"/>
      <c r="D391" s="114"/>
    </row>
    <row r="392" spans="2:4">
      <c r="B392" s="114"/>
      <c r="C392" s="114"/>
      <c r="D392" s="114"/>
    </row>
    <row r="393" spans="2:4">
      <c r="B393" s="114"/>
      <c r="C393" s="114"/>
      <c r="D393" s="114"/>
    </row>
    <row r="394" spans="2:4">
      <c r="B394" s="114"/>
      <c r="C394" s="114"/>
      <c r="D394" s="114"/>
    </row>
    <row r="395" spans="2:4">
      <c r="B395" s="114"/>
      <c r="C395" s="114"/>
      <c r="D395" s="114"/>
    </row>
    <row r="396" spans="2:4">
      <c r="B396" s="114"/>
      <c r="C396" s="114"/>
      <c r="D396" s="114"/>
    </row>
    <row r="397" spans="2:4">
      <c r="B397" s="114"/>
      <c r="C397" s="114"/>
      <c r="D397" s="114"/>
    </row>
    <row r="398" spans="2:4">
      <c r="B398" s="114"/>
      <c r="C398" s="114"/>
      <c r="D398" s="114"/>
    </row>
    <row r="399" spans="2:4">
      <c r="B399" s="114"/>
      <c r="C399" s="114"/>
      <c r="D399" s="114"/>
    </row>
    <row r="400" spans="2:4">
      <c r="B400" s="114"/>
      <c r="C400" s="114"/>
      <c r="D400" s="114"/>
    </row>
    <row r="401" spans="2:4">
      <c r="B401" s="114"/>
      <c r="C401" s="114"/>
      <c r="D401" s="114"/>
    </row>
    <row r="402" spans="2:4">
      <c r="B402" s="114"/>
      <c r="C402" s="114"/>
      <c r="D402" s="114"/>
    </row>
    <row r="403" spans="2:4">
      <c r="B403" s="114"/>
      <c r="C403" s="114"/>
      <c r="D403" s="114"/>
    </row>
    <row r="404" spans="2:4">
      <c r="B404" s="114"/>
      <c r="C404" s="114"/>
      <c r="D404" s="114"/>
    </row>
    <row r="405" spans="2:4">
      <c r="B405" s="114"/>
      <c r="C405" s="114"/>
      <c r="D405" s="114"/>
    </row>
    <row r="406" spans="2:4">
      <c r="B406" s="114"/>
      <c r="C406" s="114"/>
      <c r="D406" s="114"/>
    </row>
    <row r="407" spans="2:4">
      <c r="B407" s="114"/>
      <c r="C407" s="114"/>
      <c r="D407" s="114"/>
    </row>
    <row r="408" spans="2:4">
      <c r="B408" s="114"/>
      <c r="C408" s="114"/>
      <c r="D408" s="114"/>
    </row>
    <row r="409" spans="2:4">
      <c r="B409" s="114"/>
      <c r="C409" s="114"/>
      <c r="D409" s="114"/>
    </row>
    <row r="410" spans="2:4">
      <c r="B410" s="114"/>
      <c r="C410" s="114"/>
      <c r="D410" s="114"/>
    </row>
    <row r="411" spans="2:4">
      <c r="B411" s="114"/>
      <c r="C411" s="114"/>
      <c r="D411" s="114"/>
    </row>
    <row r="412" spans="2:4">
      <c r="B412" s="114"/>
      <c r="C412" s="114"/>
      <c r="D412" s="114"/>
    </row>
    <row r="413" spans="2:4">
      <c r="B413" s="114"/>
      <c r="C413" s="114"/>
      <c r="D413" s="114"/>
    </row>
    <row r="414" spans="2:4">
      <c r="B414" s="114"/>
      <c r="C414" s="114"/>
      <c r="D414" s="114"/>
    </row>
    <row r="415" spans="2:4">
      <c r="B415" s="114"/>
      <c r="C415" s="114"/>
      <c r="D415" s="114"/>
    </row>
    <row r="416" spans="2:4">
      <c r="B416" s="114"/>
      <c r="C416" s="114"/>
      <c r="D416" s="114"/>
    </row>
    <row r="417" spans="2:4">
      <c r="B417" s="114"/>
      <c r="C417" s="114"/>
      <c r="D417" s="114"/>
    </row>
    <row r="418" spans="2:4">
      <c r="B418" s="114"/>
      <c r="C418" s="114"/>
      <c r="D418" s="114"/>
    </row>
    <row r="419" spans="2:4">
      <c r="B419" s="114"/>
      <c r="C419" s="114"/>
      <c r="D419" s="114"/>
    </row>
    <row r="420" spans="2:4">
      <c r="B420" s="114"/>
      <c r="C420" s="114"/>
      <c r="D420" s="114"/>
    </row>
    <row r="421" spans="2:4">
      <c r="B421" s="114"/>
      <c r="C421" s="114"/>
      <c r="D421" s="114"/>
    </row>
    <row r="422" spans="2:4">
      <c r="B422" s="114"/>
      <c r="C422" s="114"/>
      <c r="D422" s="114"/>
    </row>
    <row r="423" spans="2:4">
      <c r="B423" s="114"/>
      <c r="C423" s="114"/>
      <c r="D423" s="114"/>
    </row>
    <row r="424" spans="2:4">
      <c r="B424" s="114"/>
      <c r="C424" s="114"/>
      <c r="D424" s="114"/>
    </row>
    <row r="425" spans="2:4">
      <c r="B425" s="114"/>
      <c r="C425" s="114"/>
      <c r="D425" s="114"/>
    </row>
    <row r="426" spans="2:4">
      <c r="B426" s="114"/>
      <c r="C426" s="114"/>
      <c r="D426" s="114"/>
    </row>
    <row r="427" spans="2:4">
      <c r="B427" s="114"/>
      <c r="C427" s="114"/>
      <c r="D427" s="114"/>
    </row>
    <row r="428" spans="2:4">
      <c r="B428" s="114"/>
      <c r="C428" s="114"/>
      <c r="D428" s="114"/>
    </row>
    <row r="429" spans="2:4">
      <c r="B429" s="114"/>
      <c r="C429" s="114"/>
      <c r="D429" s="114"/>
    </row>
    <row r="430" spans="2:4">
      <c r="B430" s="114"/>
      <c r="C430" s="114"/>
      <c r="D430" s="114"/>
    </row>
    <row r="431" spans="2:4">
      <c r="B431" s="114"/>
      <c r="C431" s="114"/>
      <c r="D431" s="114"/>
    </row>
    <row r="432" spans="2:4">
      <c r="B432" s="114"/>
      <c r="C432" s="114"/>
      <c r="D432" s="114"/>
    </row>
    <row r="433" spans="2:4">
      <c r="B433" s="114"/>
      <c r="C433" s="114"/>
      <c r="D433" s="114"/>
    </row>
    <row r="434" spans="2:4">
      <c r="B434" s="114"/>
      <c r="C434" s="114"/>
      <c r="D434" s="114"/>
    </row>
    <row r="435" spans="2:4">
      <c r="B435" s="114"/>
      <c r="C435" s="114"/>
      <c r="D435" s="114"/>
    </row>
    <row r="436" spans="2:4">
      <c r="B436" s="114"/>
      <c r="C436" s="114"/>
      <c r="D436" s="114"/>
    </row>
    <row r="437" spans="2:4">
      <c r="B437" s="114"/>
      <c r="C437" s="114"/>
      <c r="D437" s="114"/>
    </row>
    <row r="438" spans="2:4">
      <c r="B438" s="114"/>
      <c r="C438" s="114"/>
      <c r="D438" s="114"/>
    </row>
    <row r="439" spans="2:4">
      <c r="B439" s="114"/>
      <c r="C439" s="114"/>
      <c r="D439" s="114"/>
    </row>
    <row r="440" spans="2:4">
      <c r="B440" s="114"/>
      <c r="C440" s="114"/>
      <c r="D440" s="114"/>
    </row>
    <row r="441" spans="2:4">
      <c r="B441" s="114"/>
      <c r="C441" s="114"/>
      <c r="D441" s="114"/>
    </row>
    <row r="442" spans="2:4">
      <c r="B442" s="114"/>
      <c r="C442" s="114"/>
      <c r="D442" s="114"/>
    </row>
    <row r="443" spans="2:4">
      <c r="B443" s="114"/>
      <c r="C443" s="114"/>
      <c r="D443" s="114"/>
    </row>
    <row r="444" spans="2:4">
      <c r="B444" s="114"/>
      <c r="C444" s="114"/>
      <c r="D444" s="114"/>
    </row>
    <row r="445" spans="2:4">
      <c r="B445" s="114"/>
      <c r="C445" s="114"/>
      <c r="D445" s="114"/>
    </row>
    <row r="446" spans="2:4">
      <c r="B446" s="114"/>
      <c r="C446" s="114"/>
      <c r="D446" s="114"/>
    </row>
    <row r="447" spans="2:4">
      <c r="B447" s="114"/>
      <c r="C447" s="114"/>
      <c r="D447" s="114"/>
    </row>
    <row r="448" spans="2:4">
      <c r="B448" s="114"/>
      <c r="C448" s="114"/>
      <c r="D448" s="114"/>
    </row>
    <row r="449" spans="2:4">
      <c r="B449" s="114"/>
      <c r="C449" s="114"/>
      <c r="D449" s="114"/>
    </row>
    <row r="450" spans="2:4">
      <c r="B450" s="114"/>
      <c r="C450" s="114"/>
      <c r="D450" s="114"/>
    </row>
    <row r="451" spans="2:4">
      <c r="B451" s="114"/>
      <c r="C451" s="114"/>
      <c r="D451" s="114"/>
    </row>
    <row r="452" spans="2:4">
      <c r="B452" s="114"/>
      <c r="C452" s="114"/>
      <c r="D452" s="114"/>
    </row>
    <row r="453" spans="2:4">
      <c r="B453" s="114"/>
      <c r="C453" s="114"/>
      <c r="D453" s="114"/>
    </row>
    <row r="454" spans="2:4">
      <c r="B454" s="114"/>
      <c r="C454" s="114"/>
      <c r="D454" s="114"/>
    </row>
    <row r="455" spans="2:4">
      <c r="B455" s="114"/>
      <c r="C455" s="114"/>
      <c r="D455" s="114"/>
    </row>
    <row r="456" spans="2:4">
      <c r="B456" s="114"/>
      <c r="C456" s="114"/>
      <c r="D456" s="114"/>
    </row>
    <row r="457" spans="2:4">
      <c r="B457" s="114"/>
      <c r="C457" s="114"/>
      <c r="D457" s="114"/>
    </row>
    <row r="458" spans="2:4">
      <c r="B458" s="114"/>
      <c r="C458" s="114"/>
      <c r="D458" s="114"/>
    </row>
    <row r="459" spans="2:4">
      <c r="B459" s="114"/>
      <c r="C459" s="114"/>
      <c r="D459" s="114"/>
    </row>
    <row r="460" spans="2:4">
      <c r="B460" s="114"/>
      <c r="C460" s="114"/>
      <c r="D460" s="114"/>
    </row>
    <row r="461" spans="2:4">
      <c r="B461" s="114"/>
      <c r="C461" s="114"/>
      <c r="D461" s="114"/>
    </row>
    <row r="462" spans="2:4">
      <c r="B462" s="114"/>
      <c r="C462" s="114"/>
      <c r="D462" s="114"/>
    </row>
    <row r="463" spans="2:4">
      <c r="B463" s="114"/>
      <c r="C463" s="114"/>
      <c r="D463" s="114"/>
    </row>
    <row r="464" spans="2:4">
      <c r="B464" s="114"/>
      <c r="C464" s="114"/>
      <c r="D464" s="114"/>
    </row>
    <row r="465" spans="2:4">
      <c r="B465" s="114"/>
      <c r="C465" s="114"/>
      <c r="D465" s="114"/>
    </row>
    <row r="466" spans="2:4">
      <c r="B466" s="114"/>
      <c r="C466" s="114"/>
      <c r="D466" s="114"/>
    </row>
    <row r="467" spans="2:4">
      <c r="B467" s="114"/>
      <c r="C467" s="114"/>
      <c r="D467" s="114"/>
    </row>
    <row r="468" spans="2:4">
      <c r="B468" s="114"/>
      <c r="C468" s="114"/>
      <c r="D468" s="114"/>
    </row>
    <row r="469" spans="2:4">
      <c r="B469" s="114"/>
      <c r="C469" s="114"/>
      <c r="D469" s="114"/>
    </row>
    <row r="470" spans="2:4">
      <c r="B470" s="114"/>
      <c r="C470" s="114"/>
      <c r="D470" s="114"/>
    </row>
    <row r="471" spans="2:4">
      <c r="B471" s="114"/>
      <c r="C471" s="114"/>
      <c r="D471" s="114"/>
    </row>
    <row r="472" spans="2:4">
      <c r="B472" s="114"/>
      <c r="C472" s="114"/>
      <c r="D472" s="114"/>
    </row>
    <row r="473" spans="2:4">
      <c r="B473" s="114"/>
      <c r="C473" s="114"/>
      <c r="D473" s="114"/>
    </row>
    <row r="474" spans="2:4">
      <c r="B474" s="114"/>
      <c r="C474" s="114"/>
      <c r="D474" s="114"/>
    </row>
    <row r="475" spans="2:4">
      <c r="B475" s="114"/>
      <c r="C475" s="114"/>
      <c r="D475" s="114"/>
    </row>
    <row r="476" spans="2:4">
      <c r="B476" s="114"/>
      <c r="C476" s="114"/>
      <c r="D476" s="114"/>
    </row>
    <row r="477" spans="2:4">
      <c r="B477" s="114"/>
      <c r="C477" s="114"/>
      <c r="D477" s="114"/>
    </row>
    <row r="478" spans="2:4">
      <c r="B478" s="114"/>
      <c r="C478" s="114"/>
      <c r="D478" s="114"/>
    </row>
    <row r="479" spans="2:4">
      <c r="B479" s="114"/>
      <c r="C479" s="114"/>
      <c r="D479" s="114"/>
    </row>
    <row r="480" spans="2:4">
      <c r="B480" s="114"/>
      <c r="C480" s="114"/>
      <c r="D480" s="114"/>
    </row>
    <row r="481" spans="2:4">
      <c r="B481" s="114"/>
      <c r="C481" s="114"/>
      <c r="D481" s="114"/>
    </row>
    <row r="482" spans="2:4">
      <c r="B482" s="114"/>
      <c r="C482" s="114"/>
      <c r="D482" s="114"/>
    </row>
    <row r="483" spans="2:4">
      <c r="B483" s="114"/>
      <c r="C483" s="114"/>
      <c r="D483" s="114"/>
    </row>
    <row r="484" spans="2:4">
      <c r="B484" s="114"/>
      <c r="C484" s="114"/>
      <c r="D484" s="114"/>
    </row>
    <row r="485" spans="2:4">
      <c r="B485" s="114"/>
      <c r="C485" s="114"/>
      <c r="D485" s="114"/>
    </row>
    <row r="486" spans="2:4">
      <c r="B486" s="114"/>
      <c r="C486" s="114"/>
      <c r="D486" s="114"/>
    </row>
    <row r="487" spans="2:4">
      <c r="B487" s="114"/>
      <c r="C487" s="114"/>
      <c r="D487" s="114"/>
    </row>
    <row r="488" spans="2:4">
      <c r="B488" s="114"/>
      <c r="C488" s="114"/>
      <c r="D488" s="114"/>
    </row>
    <row r="489" spans="2:4">
      <c r="B489" s="114"/>
      <c r="C489" s="114"/>
      <c r="D489" s="114"/>
    </row>
    <row r="490" spans="2:4">
      <c r="B490" s="114"/>
      <c r="C490" s="114"/>
      <c r="D490" s="114"/>
    </row>
    <row r="491" spans="2:4">
      <c r="B491" s="114"/>
      <c r="C491" s="114"/>
      <c r="D491" s="114"/>
    </row>
    <row r="492" spans="2:4">
      <c r="B492" s="114"/>
      <c r="C492" s="114"/>
      <c r="D492" s="114"/>
    </row>
    <row r="493" spans="2:4">
      <c r="B493" s="114"/>
      <c r="C493" s="114"/>
      <c r="D493" s="114"/>
    </row>
    <row r="494" spans="2:4">
      <c r="B494" s="114"/>
      <c r="C494" s="114"/>
      <c r="D494" s="114"/>
    </row>
    <row r="495" spans="2:4">
      <c r="B495" s="114"/>
      <c r="C495" s="114"/>
      <c r="D495" s="114"/>
    </row>
    <row r="496" spans="2:4">
      <c r="B496" s="114"/>
      <c r="C496" s="114"/>
      <c r="D496" s="114"/>
    </row>
    <row r="497" spans="2:4">
      <c r="B497" s="114"/>
      <c r="C497" s="114"/>
      <c r="D497" s="114"/>
    </row>
    <row r="498" spans="2:4">
      <c r="B498" s="114"/>
      <c r="C498" s="114"/>
      <c r="D498" s="114"/>
    </row>
    <row r="499" spans="2:4">
      <c r="B499" s="114"/>
      <c r="C499" s="114"/>
      <c r="D499" s="114"/>
    </row>
    <row r="500" spans="2:4">
      <c r="B500" s="114"/>
      <c r="C500" s="114"/>
      <c r="D500" s="114"/>
    </row>
    <row r="501" spans="2:4">
      <c r="B501" s="114"/>
      <c r="C501" s="114"/>
      <c r="D501" s="114"/>
    </row>
    <row r="502" spans="2:4">
      <c r="B502" s="114"/>
      <c r="C502" s="114"/>
      <c r="D502" s="114"/>
    </row>
    <row r="503" spans="2:4">
      <c r="B503" s="114"/>
      <c r="C503" s="114"/>
      <c r="D503" s="114"/>
    </row>
    <row r="504" spans="2:4">
      <c r="B504" s="114"/>
      <c r="C504" s="114"/>
      <c r="D504" s="114"/>
    </row>
    <row r="505" spans="2:4">
      <c r="B505" s="114"/>
      <c r="C505" s="114"/>
      <c r="D505" s="114"/>
    </row>
    <row r="506" spans="2:4">
      <c r="B506" s="114"/>
      <c r="C506" s="114"/>
      <c r="D506" s="114"/>
    </row>
    <row r="507" spans="2:4">
      <c r="B507" s="114"/>
      <c r="C507" s="114"/>
      <c r="D507" s="114"/>
    </row>
    <row r="508" spans="2:4">
      <c r="B508" s="114"/>
      <c r="C508" s="114"/>
      <c r="D508" s="114"/>
    </row>
    <row r="509" spans="2:4">
      <c r="B509" s="114"/>
      <c r="C509" s="114"/>
      <c r="D509" s="114"/>
    </row>
    <row r="510" spans="2:4">
      <c r="B510" s="114"/>
      <c r="C510" s="114"/>
      <c r="D510" s="114"/>
    </row>
    <row r="511" spans="2:4">
      <c r="B511" s="114"/>
      <c r="C511" s="114"/>
      <c r="D511" s="114"/>
    </row>
    <row r="512" spans="2:4">
      <c r="B512" s="114"/>
      <c r="C512" s="114"/>
      <c r="D512" s="114"/>
    </row>
    <row r="513" spans="2:4">
      <c r="B513" s="114"/>
      <c r="C513" s="114"/>
      <c r="D513" s="114"/>
    </row>
    <row r="514" spans="2:4">
      <c r="B514" s="114"/>
      <c r="C514" s="114"/>
      <c r="D514" s="114"/>
    </row>
    <row r="515" spans="2:4">
      <c r="B515" s="114"/>
      <c r="C515" s="114"/>
      <c r="D515" s="114"/>
    </row>
    <row r="516" spans="2:4">
      <c r="B516" s="114"/>
      <c r="C516" s="114"/>
      <c r="D516" s="114"/>
    </row>
    <row r="517" spans="2:4">
      <c r="B517" s="114"/>
      <c r="C517" s="114"/>
      <c r="D517" s="114"/>
    </row>
    <row r="518" spans="2:4">
      <c r="B518" s="114"/>
      <c r="C518" s="114"/>
      <c r="D518" s="114"/>
    </row>
    <row r="519" spans="2:4">
      <c r="B519" s="114"/>
      <c r="C519" s="114"/>
      <c r="D519" s="114"/>
    </row>
    <row r="520" spans="2:4">
      <c r="B520" s="114"/>
      <c r="C520" s="114"/>
      <c r="D520" s="114"/>
    </row>
    <row r="521" spans="2:4">
      <c r="B521" s="114"/>
      <c r="C521" s="114"/>
      <c r="D521" s="114"/>
    </row>
    <row r="522" spans="2:4">
      <c r="B522" s="114"/>
      <c r="C522" s="114"/>
      <c r="D522" s="114"/>
    </row>
    <row r="523" spans="2:4">
      <c r="B523" s="114"/>
      <c r="C523" s="114"/>
      <c r="D523" s="114"/>
    </row>
    <row r="524" spans="2:4">
      <c r="B524" s="114"/>
      <c r="C524" s="114"/>
      <c r="D524" s="114"/>
    </row>
    <row r="525" spans="2:4">
      <c r="B525" s="114"/>
      <c r="C525" s="114"/>
      <c r="D525" s="114"/>
    </row>
    <row r="526" spans="2:4">
      <c r="B526" s="114"/>
      <c r="C526" s="114"/>
      <c r="D526" s="114"/>
    </row>
    <row r="527" spans="2:4">
      <c r="B527" s="114"/>
      <c r="C527" s="114"/>
      <c r="D527" s="114"/>
    </row>
    <row r="528" spans="2:4">
      <c r="B528" s="114"/>
      <c r="C528" s="114"/>
      <c r="D528" s="114"/>
    </row>
    <row r="529" spans="2:4">
      <c r="B529" s="114"/>
      <c r="C529" s="114"/>
      <c r="D529" s="114"/>
    </row>
    <row r="530" spans="2:4">
      <c r="B530" s="114"/>
      <c r="C530" s="114"/>
      <c r="D530" s="114"/>
    </row>
    <row r="531" spans="2:4">
      <c r="B531" s="114"/>
      <c r="C531" s="114"/>
      <c r="D531" s="114"/>
    </row>
    <row r="532" spans="2:4">
      <c r="B532" s="114"/>
      <c r="C532" s="114"/>
      <c r="D532" s="114"/>
    </row>
    <row r="533" spans="2:4">
      <c r="B533" s="114"/>
      <c r="C533" s="114"/>
      <c r="D533" s="114"/>
    </row>
    <row r="534" spans="2:4">
      <c r="B534" s="114"/>
      <c r="C534" s="114"/>
      <c r="D534" s="114"/>
    </row>
    <row r="535" spans="2:4">
      <c r="B535" s="114"/>
      <c r="C535" s="114"/>
      <c r="D535" s="114"/>
    </row>
    <row r="536" spans="2:4">
      <c r="B536" s="114"/>
      <c r="C536" s="114"/>
      <c r="D536" s="114"/>
    </row>
    <row r="537" spans="2:4">
      <c r="B537" s="114"/>
      <c r="C537" s="114"/>
      <c r="D537" s="114"/>
    </row>
    <row r="538" spans="2:4">
      <c r="B538" s="114"/>
      <c r="C538" s="114"/>
      <c r="D538" s="114"/>
    </row>
    <row r="539" spans="2:4">
      <c r="B539" s="114"/>
      <c r="C539" s="114"/>
      <c r="D539" s="114"/>
    </row>
    <row r="540" spans="2:4">
      <c r="B540" s="114"/>
      <c r="C540" s="114"/>
      <c r="D540" s="114"/>
    </row>
    <row r="541" spans="2:4">
      <c r="B541" s="114"/>
      <c r="C541" s="114"/>
      <c r="D541" s="114"/>
    </row>
    <row r="542" spans="2:4">
      <c r="B542" s="114"/>
      <c r="C542" s="114"/>
      <c r="D542" s="114"/>
    </row>
    <row r="543" spans="2:4">
      <c r="B543" s="114"/>
      <c r="C543" s="114"/>
      <c r="D543" s="114"/>
    </row>
    <row r="544" spans="2:4">
      <c r="B544" s="114"/>
      <c r="C544" s="114"/>
      <c r="D544" s="114"/>
    </row>
    <row r="545" spans="2:4">
      <c r="B545" s="114"/>
      <c r="C545" s="114"/>
      <c r="D545" s="114"/>
    </row>
    <row r="546" spans="2:4">
      <c r="B546" s="114"/>
      <c r="C546" s="114"/>
      <c r="D546" s="114"/>
    </row>
    <row r="547" spans="2:4">
      <c r="B547" s="114"/>
      <c r="C547" s="114"/>
      <c r="D547" s="114"/>
    </row>
    <row r="548" spans="2:4">
      <c r="B548" s="114"/>
      <c r="C548" s="114"/>
      <c r="D548" s="114"/>
    </row>
    <row r="549" spans="2:4">
      <c r="B549" s="114"/>
      <c r="C549" s="114"/>
      <c r="D549" s="114"/>
    </row>
    <row r="550" spans="2:4">
      <c r="B550" s="114"/>
      <c r="C550" s="114"/>
      <c r="D550" s="114"/>
    </row>
    <row r="551" spans="2:4">
      <c r="B551" s="114"/>
      <c r="C551" s="114"/>
      <c r="D551" s="114"/>
    </row>
    <row r="552" spans="2:4">
      <c r="B552" s="114"/>
      <c r="C552" s="114"/>
      <c r="D552" s="114"/>
    </row>
    <row r="553" spans="2:4">
      <c r="B553" s="114"/>
      <c r="C553" s="114"/>
      <c r="D553" s="114"/>
    </row>
    <row r="554" spans="2:4">
      <c r="B554" s="114"/>
      <c r="C554" s="114"/>
      <c r="D554" s="114"/>
    </row>
    <row r="555" spans="2:4">
      <c r="B555" s="114"/>
      <c r="C555" s="114"/>
      <c r="D555" s="114"/>
    </row>
    <row r="556" spans="2:4">
      <c r="B556" s="114"/>
      <c r="C556" s="114"/>
      <c r="D556" s="114"/>
    </row>
    <row r="557" spans="2:4">
      <c r="B557" s="114"/>
      <c r="C557" s="114"/>
      <c r="D557" s="114"/>
    </row>
    <row r="558" spans="2:4">
      <c r="B558" s="114"/>
      <c r="C558" s="114"/>
      <c r="D558" s="114"/>
    </row>
    <row r="559" spans="2:4">
      <c r="B559" s="114"/>
      <c r="C559" s="114"/>
      <c r="D559" s="114"/>
    </row>
    <row r="560" spans="2:4">
      <c r="B560" s="114"/>
      <c r="C560" s="114"/>
      <c r="D560" s="114"/>
    </row>
    <row r="561" spans="2:4">
      <c r="B561" s="114"/>
      <c r="C561" s="114"/>
      <c r="D561" s="114"/>
    </row>
    <row r="562" spans="2:4">
      <c r="B562" s="114"/>
      <c r="C562" s="114"/>
      <c r="D562" s="114"/>
    </row>
    <row r="563" spans="2:4">
      <c r="B563" s="114"/>
      <c r="C563" s="114"/>
      <c r="D563" s="114"/>
    </row>
    <row r="564" spans="2:4">
      <c r="B564" s="114"/>
      <c r="C564" s="114"/>
      <c r="D564" s="114"/>
    </row>
    <row r="565" spans="2:4">
      <c r="B565" s="114"/>
      <c r="C565" s="114"/>
      <c r="D565" s="114"/>
    </row>
    <row r="566" spans="2:4">
      <c r="B566" s="114"/>
      <c r="C566" s="114"/>
      <c r="D566" s="114"/>
    </row>
    <row r="567" spans="2:4">
      <c r="B567" s="114"/>
      <c r="C567" s="114"/>
      <c r="D567" s="114"/>
    </row>
    <row r="568" spans="2:4">
      <c r="B568" s="114"/>
      <c r="C568" s="114"/>
      <c r="D568" s="114"/>
    </row>
    <row r="569" spans="2:4">
      <c r="B569" s="114"/>
      <c r="C569" s="114"/>
      <c r="D569" s="114"/>
    </row>
    <row r="570" spans="2:4">
      <c r="B570" s="114"/>
      <c r="C570" s="114"/>
      <c r="D570" s="114"/>
    </row>
    <row r="571" spans="2:4">
      <c r="B571" s="114"/>
      <c r="C571" s="114"/>
      <c r="D571" s="114"/>
    </row>
    <row r="572" spans="2:4">
      <c r="B572" s="114"/>
      <c r="C572" s="114"/>
      <c r="D572" s="114"/>
    </row>
    <row r="573" spans="2:4">
      <c r="B573" s="114"/>
      <c r="C573" s="114"/>
      <c r="D573" s="114"/>
    </row>
    <row r="574" spans="2:4">
      <c r="B574" s="114"/>
      <c r="C574" s="114"/>
      <c r="D574" s="114"/>
    </row>
    <row r="575" spans="2:4">
      <c r="B575" s="114"/>
      <c r="C575" s="114"/>
      <c r="D575" s="114"/>
    </row>
    <row r="576" spans="2:4">
      <c r="B576" s="114"/>
      <c r="C576" s="114"/>
      <c r="D576" s="114"/>
    </row>
    <row r="577" spans="2:4">
      <c r="B577" s="114"/>
      <c r="C577" s="114"/>
      <c r="D577" s="114"/>
    </row>
    <row r="578" spans="2:4">
      <c r="B578" s="114"/>
      <c r="C578" s="114"/>
      <c r="D578" s="114"/>
    </row>
    <row r="579" spans="2:4">
      <c r="B579" s="114"/>
      <c r="C579" s="114"/>
      <c r="D579" s="114"/>
    </row>
    <row r="580" spans="2:4">
      <c r="B580" s="114"/>
      <c r="C580" s="114"/>
      <c r="D580" s="114"/>
    </row>
    <row r="581" spans="2:4">
      <c r="B581" s="114"/>
      <c r="C581" s="114"/>
      <c r="D581" s="114"/>
    </row>
    <row r="582" spans="2:4">
      <c r="B582" s="114"/>
      <c r="C582" s="114"/>
      <c r="D582" s="114"/>
    </row>
    <row r="583" spans="2:4">
      <c r="B583" s="114"/>
      <c r="C583" s="114"/>
      <c r="D583" s="114"/>
    </row>
    <row r="584" spans="2:4">
      <c r="B584" s="114"/>
      <c r="C584" s="114"/>
      <c r="D584" s="114"/>
    </row>
    <row r="585" spans="2:4">
      <c r="B585" s="114"/>
      <c r="C585" s="114"/>
      <c r="D585" s="114"/>
    </row>
    <row r="586" spans="2:4">
      <c r="B586" s="114"/>
      <c r="C586" s="114"/>
      <c r="D586" s="114"/>
    </row>
    <row r="587" spans="2:4">
      <c r="B587" s="114"/>
      <c r="C587" s="114"/>
      <c r="D587" s="114"/>
    </row>
    <row r="588" spans="2:4">
      <c r="B588" s="114"/>
      <c r="C588" s="114"/>
      <c r="D588" s="114"/>
    </row>
    <row r="589" spans="2:4">
      <c r="B589" s="114"/>
      <c r="C589" s="114"/>
      <c r="D589" s="114"/>
    </row>
    <row r="590" spans="2:4">
      <c r="B590" s="114"/>
      <c r="C590" s="114"/>
      <c r="D590" s="114"/>
    </row>
    <row r="591" spans="2:4">
      <c r="B591" s="114"/>
      <c r="C591" s="114"/>
      <c r="D591" s="114"/>
    </row>
    <row r="592" spans="2:4">
      <c r="B592" s="114"/>
      <c r="C592" s="114"/>
      <c r="D592" s="114"/>
    </row>
    <row r="593" spans="2:4">
      <c r="B593" s="114"/>
      <c r="C593" s="114"/>
      <c r="D593" s="114"/>
    </row>
    <row r="594" spans="2:4">
      <c r="B594" s="114"/>
      <c r="C594" s="114"/>
      <c r="D594" s="114"/>
    </row>
    <row r="595" spans="2:4">
      <c r="B595" s="114"/>
      <c r="C595" s="114"/>
      <c r="D595" s="114"/>
    </row>
    <row r="596" spans="2:4">
      <c r="B596" s="114"/>
      <c r="C596" s="114"/>
      <c r="D596" s="114"/>
    </row>
    <row r="597" spans="2:4">
      <c r="B597" s="114"/>
      <c r="C597" s="114"/>
      <c r="D597" s="114"/>
    </row>
    <row r="598" spans="2:4">
      <c r="B598" s="114"/>
      <c r="C598" s="114"/>
      <c r="D598" s="114"/>
    </row>
    <row r="599" spans="2:4">
      <c r="B599" s="114"/>
      <c r="C599" s="114"/>
      <c r="D599" s="114"/>
    </row>
    <row r="600" spans="2:4">
      <c r="B600" s="114"/>
      <c r="C600" s="114"/>
      <c r="D600" s="114"/>
    </row>
    <row r="601" spans="2:4">
      <c r="B601" s="114"/>
      <c r="C601" s="114"/>
      <c r="D601" s="114"/>
    </row>
    <row r="602" spans="2:4">
      <c r="B602" s="114"/>
      <c r="C602" s="114"/>
      <c r="D602" s="114"/>
    </row>
    <row r="603" spans="2:4">
      <c r="B603" s="114"/>
      <c r="C603" s="114"/>
      <c r="D603" s="114"/>
    </row>
    <row r="604" spans="2:4">
      <c r="B604" s="114"/>
      <c r="C604" s="114"/>
      <c r="D604" s="114"/>
    </row>
    <row r="605" spans="2:4">
      <c r="B605" s="114"/>
      <c r="C605" s="114"/>
      <c r="D605" s="114"/>
    </row>
    <row r="606" spans="2:4">
      <c r="B606" s="114"/>
      <c r="C606" s="114"/>
      <c r="D606" s="114"/>
    </row>
    <row r="607" spans="2:4">
      <c r="B607" s="114"/>
      <c r="C607" s="114"/>
      <c r="D607" s="114"/>
    </row>
    <row r="608" spans="2:4">
      <c r="B608" s="114"/>
      <c r="C608" s="114"/>
      <c r="D608" s="114"/>
    </row>
    <row r="609" spans="2:4">
      <c r="B609" s="114"/>
      <c r="C609" s="114"/>
      <c r="D609" s="114"/>
    </row>
    <row r="610" spans="2:4">
      <c r="B610" s="114"/>
      <c r="C610" s="114"/>
      <c r="D610" s="114"/>
    </row>
    <row r="611" spans="2:4">
      <c r="B611" s="114"/>
      <c r="C611" s="114"/>
      <c r="D611" s="114"/>
    </row>
    <row r="612" spans="2:4">
      <c r="B612" s="114"/>
      <c r="C612" s="114"/>
      <c r="D612" s="114"/>
    </row>
    <row r="613" spans="2:4">
      <c r="B613" s="114"/>
      <c r="C613" s="114"/>
      <c r="D613" s="114"/>
    </row>
    <row r="614" spans="2:4">
      <c r="B614" s="114"/>
      <c r="C614" s="114"/>
      <c r="D614" s="114"/>
    </row>
    <row r="615" spans="2:4">
      <c r="B615" s="114"/>
      <c r="C615" s="114"/>
      <c r="D615" s="114"/>
    </row>
    <row r="616" spans="2:4">
      <c r="B616" s="114"/>
      <c r="C616" s="114"/>
      <c r="D616" s="114"/>
    </row>
    <row r="617" spans="2:4">
      <c r="B617" s="114"/>
      <c r="C617" s="114"/>
      <c r="D617" s="114"/>
    </row>
    <row r="618" spans="2:4">
      <c r="B618" s="114"/>
      <c r="C618" s="114"/>
      <c r="D618" s="114"/>
    </row>
    <row r="619" spans="2:4">
      <c r="B619" s="114"/>
      <c r="C619" s="114"/>
      <c r="D619" s="114"/>
    </row>
    <row r="620" spans="2:4">
      <c r="B620" s="114"/>
      <c r="C620" s="114"/>
      <c r="D620" s="114"/>
    </row>
    <row r="621" spans="2:4">
      <c r="B621" s="114"/>
      <c r="C621" s="114"/>
      <c r="D621" s="114"/>
    </row>
    <row r="622" spans="2:4">
      <c r="B622" s="114"/>
      <c r="C622" s="114"/>
      <c r="D622" s="114"/>
    </row>
    <row r="623" spans="2:4">
      <c r="B623" s="114"/>
      <c r="C623" s="114"/>
      <c r="D623" s="114"/>
    </row>
    <row r="624" spans="2:4">
      <c r="B624" s="114"/>
      <c r="C624" s="114"/>
      <c r="D624" s="114"/>
    </row>
    <row r="625" spans="2:4">
      <c r="B625" s="114"/>
      <c r="C625" s="114"/>
      <c r="D625" s="114"/>
    </row>
    <row r="626" spans="2:4">
      <c r="B626" s="114"/>
      <c r="C626" s="114"/>
      <c r="D626" s="114"/>
    </row>
    <row r="627" spans="2:4">
      <c r="B627" s="114"/>
      <c r="C627" s="114"/>
      <c r="D627" s="114"/>
    </row>
    <row r="628" spans="2:4">
      <c r="B628" s="114"/>
      <c r="C628" s="114"/>
      <c r="D628" s="114"/>
    </row>
    <row r="629" spans="2:4">
      <c r="B629" s="114"/>
      <c r="C629" s="114"/>
      <c r="D629" s="114"/>
    </row>
    <row r="630" spans="2:4">
      <c r="B630" s="114"/>
      <c r="C630" s="114"/>
      <c r="D630" s="114"/>
    </row>
    <row r="631" spans="2:4">
      <c r="B631" s="114"/>
      <c r="C631" s="114"/>
      <c r="D631" s="114"/>
    </row>
    <row r="632" spans="2:4">
      <c r="B632" s="114"/>
      <c r="C632" s="114"/>
      <c r="D632" s="114"/>
    </row>
    <row r="633" spans="2:4">
      <c r="B633" s="114"/>
      <c r="C633" s="114"/>
      <c r="D633" s="114"/>
    </row>
    <row r="634" spans="2:4">
      <c r="B634" s="114"/>
      <c r="C634" s="114"/>
      <c r="D634" s="114"/>
    </row>
    <row r="635" spans="2:4">
      <c r="B635" s="114"/>
      <c r="C635" s="114"/>
      <c r="D635" s="114"/>
    </row>
    <row r="636" spans="2:4">
      <c r="B636" s="114"/>
      <c r="C636" s="114"/>
      <c r="D636" s="114"/>
    </row>
    <row r="637" spans="2:4">
      <c r="B637" s="114"/>
      <c r="C637" s="114"/>
      <c r="D637" s="114"/>
    </row>
    <row r="638" spans="2:4">
      <c r="B638" s="114"/>
      <c r="C638" s="114"/>
      <c r="D638" s="114"/>
    </row>
    <row r="639" spans="2:4">
      <c r="B639" s="114"/>
      <c r="C639" s="114"/>
      <c r="D639" s="114"/>
    </row>
    <row r="640" spans="2:4">
      <c r="B640" s="114"/>
      <c r="C640" s="114"/>
      <c r="D640" s="114"/>
    </row>
    <row r="641" spans="2:4">
      <c r="B641" s="114"/>
      <c r="C641" s="114"/>
      <c r="D641" s="114"/>
    </row>
    <row r="642" spans="2:4">
      <c r="B642" s="114"/>
      <c r="C642" s="114"/>
      <c r="D642" s="114"/>
    </row>
    <row r="643" spans="2:4">
      <c r="B643" s="114"/>
      <c r="C643" s="114"/>
      <c r="D643" s="114"/>
    </row>
    <row r="644" spans="2:4">
      <c r="B644" s="114"/>
      <c r="C644" s="114"/>
      <c r="D644" s="114"/>
    </row>
    <row r="645" spans="2:4">
      <c r="B645" s="114"/>
      <c r="C645" s="114"/>
      <c r="D645" s="114"/>
    </row>
    <row r="646" spans="2:4">
      <c r="B646" s="114"/>
      <c r="C646" s="114"/>
      <c r="D646" s="114"/>
    </row>
    <row r="647" spans="2:4">
      <c r="B647" s="114"/>
      <c r="C647" s="114"/>
      <c r="D647" s="114"/>
    </row>
    <row r="648" spans="2:4">
      <c r="B648" s="114"/>
      <c r="C648" s="114"/>
      <c r="D648" s="114"/>
    </row>
    <row r="649" spans="2:4">
      <c r="B649" s="114"/>
      <c r="C649" s="114"/>
      <c r="D649" s="114"/>
    </row>
    <row r="650" spans="2:4">
      <c r="B650" s="114"/>
      <c r="C650" s="114"/>
      <c r="D650" s="114"/>
    </row>
    <row r="651" spans="2:4">
      <c r="B651" s="114"/>
      <c r="C651" s="114"/>
      <c r="D651" s="114"/>
    </row>
    <row r="652" spans="2:4">
      <c r="B652" s="114"/>
      <c r="C652" s="114"/>
      <c r="D652" s="114"/>
    </row>
    <row r="653" spans="2:4">
      <c r="B653" s="114"/>
      <c r="C653" s="114"/>
      <c r="D653" s="114"/>
    </row>
    <row r="654" spans="2:4">
      <c r="B654" s="114"/>
      <c r="C654" s="114"/>
      <c r="D654" s="114"/>
    </row>
    <row r="655" spans="2:4">
      <c r="B655" s="114"/>
      <c r="C655" s="114"/>
      <c r="D655" s="114"/>
    </row>
    <row r="656" spans="2:4">
      <c r="B656" s="114"/>
      <c r="C656" s="114"/>
      <c r="D656" s="114"/>
    </row>
    <row r="657" spans="2:4">
      <c r="B657" s="114"/>
      <c r="C657" s="114"/>
      <c r="D657" s="114"/>
    </row>
    <row r="658" spans="2:4">
      <c r="B658" s="114"/>
      <c r="C658" s="114"/>
      <c r="D658" s="114"/>
    </row>
    <row r="659" spans="2:4">
      <c r="B659" s="114"/>
      <c r="C659" s="114"/>
      <c r="D659" s="114"/>
    </row>
    <row r="660" spans="2:4">
      <c r="B660" s="114"/>
      <c r="C660" s="114"/>
      <c r="D660" s="114"/>
    </row>
    <row r="661" spans="2:4">
      <c r="B661" s="114"/>
      <c r="C661" s="114"/>
      <c r="D661" s="114"/>
    </row>
    <row r="662" spans="2:4">
      <c r="B662" s="114"/>
      <c r="C662" s="114"/>
      <c r="D662" s="114"/>
    </row>
    <row r="663" spans="2:4">
      <c r="B663" s="114"/>
      <c r="C663" s="114"/>
      <c r="D663" s="114"/>
    </row>
    <row r="664" spans="2:4">
      <c r="B664" s="114"/>
      <c r="C664" s="114"/>
      <c r="D664" s="114"/>
    </row>
    <row r="665" spans="2:4">
      <c r="B665" s="114"/>
      <c r="C665" s="114"/>
      <c r="D665" s="114"/>
    </row>
    <row r="666" spans="2:4">
      <c r="B666" s="114"/>
      <c r="C666" s="114"/>
      <c r="D666" s="114"/>
    </row>
    <row r="667" spans="2:4">
      <c r="B667" s="114"/>
      <c r="C667" s="114"/>
      <c r="D667" s="114"/>
    </row>
    <row r="668" spans="2:4">
      <c r="B668" s="114"/>
      <c r="C668" s="114"/>
      <c r="D668" s="114"/>
    </row>
    <row r="669" spans="2:4">
      <c r="B669" s="114"/>
      <c r="C669" s="114"/>
      <c r="D669" s="114"/>
    </row>
    <row r="670" spans="2:4">
      <c r="B670" s="114"/>
      <c r="C670" s="114"/>
      <c r="D670" s="114"/>
    </row>
    <row r="671" spans="2:4">
      <c r="B671" s="114"/>
      <c r="C671" s="114"/>
      <c r="D671" s="114"/>
    </row>
    <row r="672" spans="2:4">
      <c r="B672" s="114"/>
      <c r="C672" s="114"/>
      <c r="D672" s="114"/>
    </row>
    <row r="673" spans="2:4">
      <c r="B673" s="114"/>
      <c r="C673" s="114"/>
      <c r="D673" s="114"/>
    </row>
    <row r="674" spans="2:4">
      <c r="B674" s="114"/>
      <c r="C674" s="114"/>
      <c r="D674" s="114"/>
    </row>
    <row r="675" spans="2:4">
      <c r="B675" s="114"/>
      <c r="C675" s="114"/>
      <c r="D675" s="114"/>
    </row>
    <row r="676" spans="2:4">
      <c r="B676" s="114"/>
      <c r="C676" s="114"/>
      <c r="D676" s="114"/>
    </row>
    <row r="677" spans="2:4">
      <c r="B677" s="114"/>
      <c r="C677" s="114"/>
      <c r="D677" s="114"/>
    </row>
    <row r="678" spans="2:4">
      <c r="B678" s="114"/>
      <c r="C678" s="114"/>
      <c r="D678" s="114"/>
    </row>
    <row r="679" spans="2:4">
      <c r="B679" s="114"/>
      <c r="C679" s="114"/>
      <c r="D679" s="114"/>
    </row>
    <row r="680" spans="2:4">
      <c r="B680" s="114"/>
      <c r="C680" s="114"/>
      <c r="D680" s="114"/>
    </row>
    <row r="681" spans="2:4">
      <c r="B681" s="114"/>
      <c r="C681" s="114"/>
      <c r="D681" s="114"/>
    </row>
    <row r="682" spans="2:4">
      <c r="B682" s="114"/>
      <c r="C682" s="114"/>
      <c r="D682" s="114"/>
    </row>
    <row r="683" spans="2:4">
      <c r="B683" s="114"/>
      <c r="C683" s="114"/>
      <c r="D683" s="114"/>
    </row>
    <row r="684" spans="2:4">
      <c r="B684" s="114"/>
      <c r="C684" s="114"/>
      <c r="D684" s="114"/>
    </row>
    <row r="685" spans="2:4">
      <c r="B685" s="114"/>
      <c r="C685" s="114"/>
      <c r="D685" s="114"/>
    </row>
    <row r="686" spans="2:4">
      <c r="B686" s="114"/>
      <c r="C686" s="114"/>
      <c r="D686" s="114"/>
    </row>
    <row r="687" spans="2:4">
      <c r="B687" s="114"/>
      <c r="C687" s="114"/>
      <c r="D687" s="114"/>
    </row>
    <row r="688" spans="2:4">
      <c r="B688" s="114"/>
      <c r="C688" s="114"/>
      <c r="D688" s="114"/>
    </row>
    <row r="689" spans="2:4">
      <c r="B689" s="114"/>
      <c r="C689" s="114"/>
      <c r="D689" s="114"/>
    </row>
    <row r="690" spans="2:4">
      <c r="B690" s="114"/>
      <c r="C690" s="114"/>
      <c r="D690" s="114"/>
    </row>
    <row r="691" spans="2:4">
      <c r="B691" s="114"/>
      <c r="C691" s="114"/>
      <c r="D691" s="114"/>
    </row>
    <row r="692" spans="2:4">
      <c r="B692" s="114"/>
      <c r="C692" s="114"/>
      <c r="D692" s="114"/>
    </row>
    <row r="693" spans="2:4">
      <c r="B693" s="114"/>
      <c r="C693" s="114"/>
      <c r="D693" s="114"/>
    </row>
    <row r="694" spans="2:4">
      <c r="B694" s="114"/>
      <c r="C694" s="114"/>
      <c r="D694" s="114"/>
    </row>
    <row r="695" spans="2:4">
      <c r="B695" s="114"/>
      <c r="C695" s="114"/>
      <c r="D695" s="114"/>
    </row>
    <row r="696" spans="2:4">
      <c r="B696" s="114"/>
      <c r="C696" s="114"/>
      <c r="D696" s="114"/>
    </row>
    <row r="697" spans="2:4">
      <c r="B697" s="114"/>
      <c r="C697" s="114"/>
      <c r="D697" s="114"/>
    </row>
    <row r="698" spans="2:4">
      <c r="B698" s="114"/>
      <c r="C698" s="114"/>
      <c r="D698" s="114"/>
    </row>
    <row r="699" spans="2:4">
      <c r="B699" s="114"/>
      <c r="C699" s="114"/>
      <c r="D699" s="114"/>
    </row>
    <row r="700" spans="2:4">
      <c r="B700" s="114"/>
      <c r="C700" s="114"/>
      <c r="D700" s="114"/>
    </row>
    <row r="701" spans="2:4">
      <c r="B701" s="114"/>
      <c r="C701" s="114"/>
      <c r="D701" s="114"/>
    </row>
    <row r="702" spans="2:4">
      <c r="B702" s="114"/>
      <c r="C702" s="114"/>
      <c r="D702" s="114"/>
    </row>
    <row r="703" spans="2:4">
      <c r="B703" s="114"/>
      <c r="C703" s="114"/>
      <c r="D703" s="114"/>
    </row>
    <row r="704" spans="2:4">
      <c r="B704" s="114"/>
      <c r="C704" s="114"/>
      <c r="D704" s="114"/>
    </row>
    <row r="705" spans="2:4">
      <c r="B705" s="114"/>
      <c r="C705" s="114"/>
      <c r="D705" s="114"/>
    </row>
    <row r="706" spans="2:4">
      <c r="B706" s="114"/>
      <c r="C706" s="114"/>
      <c r="D706" s="114"/>
    </row>
    <row r="707" spans="2:4">
      <c r="B707" s="114"/>
      <c r="C707" s="114"/>
      <c r="D707" s="114"/>
    </row>
    <row r="708" spans="2:4">
      <c r="B708" s="114"/>
      <c r="C708" s="114"/>
      <c r="D708" s="114"/>
    </row>
    <row r="709" spans="2:4">
      <c r="B709" s="114"/>
      <c r="C709" s="114"/>
      <c r="D709" s="114"/>
    </row>
    <row r="710" spans="2:4">
      <c r="B710" s="114"/>
      <c r="C710" s="114"/>
      <c r="D710" s="114"/>
    </row>
    <row r="711" spans="2:4">
      <c r="B711" s="114"/>
      <c r="C711" s="114"/>
      <c r="D711" s="114"/>
    </row>
    <row r="712" spans="2:4">
      <c r="B712" s="114"/>
      <c r="C712" s="114"/>
      <c r="D712" s="114"/>
    </row>
    <row r="713" spans="2:4">
      <c r="B713" s="114"/>
      <c r="C713" s="114"/>
      <c r="D713" s="114"/>
    </row>
    <row r="714" spans="2:4">
      <c r="B714" s="114"/>
      <c r="C714" s="114"/>
      <c r="D714" s="114"/>
    </row>
    <row r="715" spans="2:4">
      <c r="B715" s="114"/>
      <c r="C715" s="114"/>
      <c r="D715" s="114"/>
    </row>
    <row r="716" spans="2:4">
      <c r="B716" s="114"/>
      <c r="C716" s="114"/>
      <c r="D716" s="114"/>
    </row>
    <row r="717" spans="2:4">
      <c r="B717" s="114"/>
      <c r="C717" s="114"/>
      <c r="D717" s="114"/>
    </row>
    <row r="718" spans="2:4">
      <c r="B718" s="114"/>
      <c r="C718" s="114"/>
      <c r="D718" s="114"/>
    </row>
    <row r="719" spans="2:4">
      <c r="B719" s="114"/>
      <c r="C719" s="114"/>
      <c r="D719" s="114"/>
    </row>
    <row r="720" spans="2:4">
      <c r="B720" s="114"/>
      <c r="C720" s="114"/>
      <c r="D720" s="114"/>
    </row>
    <row r="721" spans="2:4">
      <c r="B721" s="114"/>
      <c r="C721" s="114"/>
      <c r="D721" s="114"/>
    </row>
    <row r="722" spans="2:4">
      <c r="B722" s="114"/>
      <c r="C722" s="114"/>
      <c r="D722" s="114"/>
    </row>
    <row r="723" spans="2:4">
      <c r="B723" s="114"/>
      <c r="C723" s="114"/>
      <c r="D723" s="114"/>
    </row>
    <row r="724" spans="2:4">
      <c r="B724" s="114"/>
      <c r="C724" s="114"/>
      <c r="D724" s="114"/>
    </row>
    <row r="725" spans="2:4">
      <c r="B725" s="114"/>
      <c r="C725" s="114"/>
      <c r="D725" s="114"/>
    </row>
    <row r="726" spans="2:4">
      <c r="B726" s="114"/>
      <c r="C726" s="114"/>
      <c r="D726" s="114"/>
    </row>
    <row r="727" spans="2:4">
      <c r="B727" s="114"/>
      <c r="C727" s="114"/>
      <c r="D727" s="114"/>
    </row>
    <row r="728" spans="2:4">
      <c r="B728" s="114"/>
      <c r="C728" s="114"/>
      <c r="D728" s="114"/>
    </row>
    <row r="729" spans="2:4">
      <c r="B729" s="114"/>
      <c r="C729" s="114"/>
      <c r="D729" s="114"/>
    </row>
    <row r="730" spans="2:4">
      <c r="B730" s="114"/>
      <c r="C730" s="114"/>
      <c r="D730" s="114"/>
    </row>
    <row r="731" spans="2:4">
      <c r="B731" s="114"/>
      <c r="C731" s="114"/>
      <c r="D731" s="114"/>
    </row>
    <row r="732" spans="2:4">
      <c r="B732" s="114"/>
      <c r="C732" s="114"/>
      <c r="D732" s="114"/>
    </row>
    <row r="733" spans="2:4">
      <c r="B733" s="114"/>
      <c r="C733" s="114"/>
      <c r="D733" s="114"/>
    </row>
    <row r="734" spans="2:4">
      <c r="B734" s="114"/>
      <c r="C734" s="114"/>
      <c r="D734" s="114"/>
    </row>
    <row r="735" spans="2:4">
      <c r="B735" s="114"/>
      <c r="C735" s="114"/>
      <c r="D735" s="114"/>
    </row>
    <row r="736" spans="2:4">
      <c r="B736" s="114"/>
      <c r="C736" s="114"/>
      <c r="D736" s="114"/>
    </row>
    <row r="737" spans="2:4">
      <c r="B737" s="114"/>
      <c r="C737" s="114"/>
      <c r="D737" s="114"/>
    </row>
    <row r="738" spans="2:4">
      <c r="B738" s="114"/>
      <c r="C738" s="114"/>
      <c r="D738" s="114"/>
    </row>
    <row r="739" spans="2:4">
      <c r="B739" s="114"/>
      <c r="C739" s="114"/>
      <c r="D739" s="114"/>
    </row>
    <row r="740" spans="2:4">
      <c r="B740" s="114"/>
      <c r="C740" s="114"/>
      <c r="D740" s="114"/>
    </row>
    <row r="741" spans="2:4">
      <c r="B741" s="114"/>
      <c r="C741" s="114"/>
      <c r="D741" s="114"/>
    </row>
    <row r="742" spans="2:4">
      <c r="B742" s="114"/>
      <c r="C742" s="114"/>
      <c r="D742" s="114"/>
    </row>
    <row r="743" spans="2:4">
      <c r="B743" s="114"/>
      <c r="C743" s="114"/>
      <c r="D743" s="114"/>
    </row>
    <row r="744" spans="2:4">
      <c r="B744" s="114"/>
      <c r="C744" s="114"/>
      <c r="D744" s="114"/>
    </row>
    <row r="745" spans="2:4">
      <c r="B745" s="114"/>
      <c r="C745" s="114"/>
      <c r="D745" s="114"/>
    </row>
    <row r="746" spans="2:4">
      <c r="B746" s="114"/>
      <c r="C746" s="114"/>
      <c r="D746" s="114"/>
    </row>
    <row r="747" spans="2:4">
      <c r="B747" s="114"/>
      <c r="C747" s="114"/>
      <c r="D747" s="114"/>
    </row>
    <row r="748" spans="2:4">
      <c r="B748" s="114"/>
      <c r="C748" s="114"/>
      <c r="D748" s="114"/>
    </row>
    <row r="749" spans="2:4">
      <c r="B749" s="114"/>
      <c r="C749" s="114"/>
      <c r="D749" s="114"/>
    </row>
    <row r="750" spans="2:4">
      <c r="B750" s="114"/>
      <c r="C750" s="114"/>
      <c r="D750" s="114"/>
    </row>
    <row r="751" spans="2:4">
      <c r="B751" s="114"/>
      <c r="C751" s="114"/>
      <c r="D751" s="114"/>
    </row>
    <row r="752" spans="2:4">
      <c r="B752" s="114"/>
      <c r="C752" s="114"/>
      <c r="D752" s="114"/>
    </row>
    <row r="753" spans="2:4">
      <c r="B753" s="114"/>
      <c r="C753" s="114"/>
      <c r="D753" s="114"/>
    </row>
    <row r="754" spans="2:4">
      <c r="B754" s="114"/>
      <c r="C754" s="114"/>
      <c r="D754" s="114"/>
    </row>
    <row r="755" spans="2:4">
      <c r="B755" s="114"/>
      <c r="C755" s="114"/>
      <c r="D755" s="114"/>
    </row>
    <row r="756" spans="2:4">
      <c r="B756" s="114"/>
      <c r="C756" s="114"/>
      <c r="D756" s="114"/>
    </row>
    <row r="757" spans="2:4">
      <c r="B757" s="114"/>
      <c r="C757" s="114"/>
      <c r="D757" s="114"/>
    </row>
    <row r="758" spans="2:4">
      <c r="B758" s="114"/>
      <c r="C758" s="114"/>
      <c r="D758" s="114"/>
    </row>
    <row r="759" spans="2:4">
      <c r="B759" s="114"/>
      <c r="C759" s="114"/>
      <c r="D759" s="114"/>
    </row>
    <row r="760" spans="2:4">
      <c r="B760" s="114"/>
      <c r="C760" s="114"/>
      <c r="D760" s="114"/>
    </row>
    <row r="761" spans="2:4">
      <c r="B761" s="114"/>
      <c r="C761" s="114"/>
      <c r="D761" s="114"/>
    </row>
    <row r="762" spans="2:4">
      <c r="B762" s="114"/>
      <c r="C762" s="114"/>
      <c r="D762" s="114"/>
    </row>
    <row r="763" spans="2:4">
      <c r="B763" s="114"/>
      <c r="C763" s="114"/>
      <c r="D763" s="114"/>
    </row>
    <row r="764" spans="2:4">
      <c r="B764" s="114"/>
      <c r="C764" s="114"/>
      <c r="D764" s="114"/>
    </row>
    <row r="765" spans="2:4">
      <c r="B765" s="114"/>
      <c r="C765" s="114"/>
      <c r="D765" s="114"/>
    </row>
    <row r="766" spans="2:4">
      <c r="B766" s="114"/>
      <c r="C766" s="114"/>
      <c r="D766" s="114"/>
    </row>
    <row r="767" spans="2:4">
      <c r="B767" s="114"/>
      <c r="C767" s="114"/>
      <c r="D767" s="114"/>
    </row>
    <row r="768" spans="2:4">
      <c r="B768" s="114"/>
      <c r="C768" s="114"/>
      <c r="D768" s="114"/>
    </row>
    <row r="769" spans="2:4">
      <c r="B769" s="114"/>
      <c r="C769" s="114"/>
      <c r="D769" s="114"/>
    </row>
    <row r="770" spans="2:4">
      <c r="B770" s="114"/>
      <c r="C770" s="114"/>
      <c r="D770" s="114"/>
    </row>
    <row r="771" spans="2:4">
      <c r="B771" s="114"/>
      <c r="C771" s="114"/>
      <c r="D771" s="114"/>
    </row>
    <row r="772" spans="2:4">
      <c r="B772" s="114"/>
      <c r="C772" s="114"/>
      <c r="D772" s="114"/>
    </row>
    <row r="773" spans="2:4">
      <c r="B773" s="114"/>
      <c r="C773" s="114"/>
      <c r="D773" s="114"/>
    </row>
    <row r="774" spans="2:4">
      <c r="B774" s="114"/>
      <c r="C774" s="114"/>
      <c r="D774" s="114"/>
    </row>
    <row r="775" spans="2:4">
      <c r="B775" s="114"/>
      <c r="C775" s="114"/>
      <c r="D775" s="114"/>
    </row>
    <row r="776" spans="2:4">
      <c r="B776" s="114"/>
      <c r="C776" s="114"/>
      <c r="D776" s="114"/>
    </row>
    <row r="777" spans="2:4">
      <c r="B777" s="114"/>
      <c r="C777" s="114"/>
      <c r="D777" s="114"/>
    </row>
    <row r="778" spans="2:4">
      <c r="B778" s="114"/>
      <c r="C778" s="114"/>
      <c r="D778" s="114"/>
    </row>
    <row r="779" spans="2:4">
      <c r="B779" s="114"/>
      <c r="C779" s="114"/>
      <c r="D779" s="114"/>
    </row>
    <row r="780" spans="2:4">
      <c r="B780" s="114"/>
      <c r="C780" s="114"/>
      <c r="D780" s="114"/>
    </row>
    <row r="781" spans="2:4">
      <c r="B781" s="114"/>
      <c r="C781" s="114"/>
      <c r="D781" s="114"/>
    </row>
    <row r="782" spans="2:4">
      <c r="B782" s="114"/>
      <c r="C782" s="114"/>
      <c r="D782" s="114"/>
    </row>
    <row r="783" spans="2:4">
      <c r="B783" s="114"/>
      <c r="C783" s="114"/>
      <c r="D783" s="114"/>
    </row>
    <row r="784" spans="2:4">
      <c r="B784" s="114"/>
      <c r="C784" s="114"/>
      <c r="D784" s="114"/>
    </row>
    <row r="785" spans="2:4">
      <c r="B785" s="114"/>
      <c r="C785" s="114"/>
      <c r="D785" s="114"/>
    </row>
    <row r="786" spans="2:4">
      <c r="B786" s="114"/>
      <c r="C786" s="114"/>
      <c r="D786" s="114"/>
    </row>
    <row r="787" spans="2:4">
      <c r="B787" s="114"/>
      <c r="C787" s="114"/>
      <c r="D787" s="114"/>
    </row>
    <row r="788" spans="2:4">
      <c r="B788" s="114"/>
      <c r="C788" s="114"/>
      <c r="D788" s="114"/>
    </row>
    <row r="789" spans="2:4">
      <c r="B789" s="114"/>
      <c r="C789" s="114"/>
      <c r="D789" s="114"/>
    </row>
    <row r="790" spans="2:4">
      <c r="B790" s="114"/>
      <c r="C790" s="114"/>
      <c r="D790" s="114"/>
    </row>
    <row r="791" spans="2:4">
      <c r="B791" s="114"/>
      <c r="C791" s="114"/>
      <c r="D791" s="114"/>
    </row>
    <row r="792" spans="2:4">
      <c r="B792" s="114"/>
      <c r="C792" s="114"/>
      <c r="D792" s="114"/>
    </row>
    <row r="793" spans="2:4">
      <c r="B793" s="114"/>
      <c r="C793" s="114"/>
      <c r="D793" s="114"/>
    </row>
    <row r="794" spans="2:4">
      <c r="B794" s="114"/>
      <c r="C794" s="114"/>
      <c r="D794" s="114"/>
    </row>
    <row r="795" spans="2:4">
      <c r="B795" s="114"/>
      <c r="C795" s="114"/>
      <c r="D795" s="114"/>
    </row>
    <row r="796" spans="2:4">
      <c r="B796" s="114"/>
      <c r="C796" s="114"/>
      <c r="D796" s="114"/>
    </row>
    <row r="797" spans="2:4">
      <c r="B797" s="114"/>
      <c r="C797" s="114"/>
      <c r="D797" s="114"/>
    </row>
    <row r="798" spans="2:4">
      <c r="B798" s="114"/>
      <c r="C798" s="114"/>
      <c r="D798" s="114"/>
    </row>
    <row r="799" spans="2:4">
      <c r="B799" s="114"/>
      <c r="C799" s="114"/>
      <c r="D799" s="114"/>
    </row>
    <row r="800" spans="2:4">
      <c r="B800" s="114"/>
      <c r="C800" s="114"/>
      <c r="D800" s="114"/>
    </row>
    <row r="801" spans="2:4">
      <c r="B801" s="114"/>
      <c r="C801" s="114"/>
      <c r="D801" s="114"/>
    </row>
    <row r="802" spans="2:4">
      <c r="B802" s="114"/>
      <c r="C802" s="114"/>
      <c r="D802" s="114"/>
    </row>
    <row r="803" spans="2:4">
      <c r="B803" s="114"/>
      <c r="C803" s="114"/>
      <c r="D803" s="114"/>
    </row>
    <row r="804" spans="2:4">
      <c r="B804" s="114"/>
      <c r="C804" s="114"/>
      <c r="D804" s="114"/>
    </row>
    <row r="805" spans="2:4">
      <c r="B805" s="114"/>
      <c r="C805" s="114"/>
      <c r="D805" s="114"/>
    </row>
    <row r="806" spans="2:4">
      <c r="B806" s="114"/>
      <c r="C806" s="114"/>
      <c r="D806" s="114"/>
    </row>
    <row r="807" spans="2:4">
      <c r="B807" s="114"/>
      <c r="C807" s="114"/>
      <c r="D807" s="114"/>
    </row>
    <row r="808" spans="2:4">
      <c r="B808" s="114"/>
      <c r="C808" s="114"/>
      <c r="D808" s="114"/>
    </row>
    <row r="809" spans="2:4">
      <c r="B809" s="114"/>
      <c r="C809" s="114"/>
      <c r="D809" s="114"/>
    </row>
    <row r="810" spans="2:4">
      <c r="B810" s="114"/>
      <c r="C810" s="114"/>
      <c r="D810" s="114"/>
    </row>
    <row r="811" spans="2:4">
      <c r="B811" s="114"/>
      <c r="C811" s="114"/>
      <c r="D811" s="114"/>
    </row>
    <row r="812" spans="2:4">
      <c r="B812" s="114"/>
      <c r="C812" s="114"/>
      <c r="D812" s="114"/>
    </row>
    <row r="813" spans="2:4">
      <c r="B813" s="114"/>
      <c r="C813" s="114"/>
      <c r="D813" s="114"/>
    </row>
    <row r="814" spans="2:4">
      <c r="B814" s="114"/>
      <c r="C814" s="114"/>
      <c r="D814" s="114"/>
    </row>
    <row r="815" spans="2:4">
      <c r="B815" s="114"/>
      <c r="C815" s="114"/>
      <c r="D815" s="114"/>
    </row>
    <row r="816" spans="2:4">
      <c r="B816" s="114"/>
      <c r="C816" s="114"/>
      <c r="D816" s="114"/>
    </row>
    <row r="817" spans="2:4">
      <c r="B817" s="114"/>
      <c r="C817" s="114"/>
      <c r="D817" s="114"/>
    </row>
    <row r="818" spans="2:4">
      <c r="B818" s="114"/>
      <c r="C818" s="114"/>
      <c r="D818" s="114"/>
    </row>
    <row r="819" spans="2:4">
      <c r="B819" s="114"/>
      <c r="C819" s="114"/>
      <c r="D819" s="114"/>
    </row>
    <row r="820" spans="2:4">
      <c r="B820" s="114"/>
      <c r="C820" s="114"/>
      <c r="D820" s="114"/>
    </row>
    <row r="821" spans="2:4">
      <c r="B821" s="114"/>
      <c r="C821" s="114"/>
      <c r="D821" s="114"/>
    </row>
    <row r="822" spans="2:4">
      <c r="B822" s="114"/>
      <c r="C822" s="114"/>
      <c r="D822" s="114"/>
    </row>
    <row r="823" spans="2:4">
      <c r="B823" s="114"/>
      <c r="C823" s="114"/>
      <c r="D823" s="114"/>
    </row>
    <row r="824" spans="2:4">
      <c r="B824" s="114"/>
      <c r="C824" s="114"/>
      <c r="D824" s="114"/>
    </row>
    <row r="825" spans="2:4">
      <c r="B825" s="114"/>
      <c r="C825" s="114"/>
      <c r="D825" s="114"/>
    </row>
    <row r="826" spans="2:4">
      <c r="B826" s="114"/>
      <c r="C826" s="114"/>
      <c r="D826" s="114"/>
    </row>
    <row r="827" spans="2:4">
      <c r="B827" s="114"/>
      <c r="C827" s="114"/>
      <c r="D827" s="114"/>
    </row>
    <row r="828" spans="2:4">
      <c r="B828" s="114"/>
      <c r="C828" s="114"/>
      <c r="D828" s="114"/>
    </row>
    <row r="829" spans="2:4">
      <c r="B829" s="114"/>
      <c r="C829" s="114"/>
      <c r="D829" s="114"/>
    </row>
    <row r="830" spans="2:4">
      <c r="B830" s="114"/>
      <c r="C830" s="114"/>
      <c r="D830" s="114"/>
    </row>
    <row r="831" spans="2:4">
      <c r="B831" s="114"/>
      <c r="C831" s="114"/>
      <c r="D831" s="114"/>
    </row>
    <row r="832" spans="2:4">
      <c r="B832" s="114"/>
      <c r="C832" s="114"/>
      <c r="D832" s="114"/>
    </row>
    <row r="833" spans="2:4">
      <c r="B833" s="114"/>
      <c r="C833" s="114"/>
      <c r="D833" s="114"/>
    </row>
    <row r="834" spans="2:4">
      <c r="B834" s="114"/>
      <c r="C834" s="114"/>
      <c r="D834" s="114"/>
    </row>
    <row r="835" spans="2:4">
      <c r="B835" s="114"/>
      <c r="C835" s="114"/>
      <c r="D835" s="114"/>
    </row>
    <row r="836" spans="2:4">
      <c r="B836" s="114"/>
      <c r="C836" s="114"/>
      <c r="D836" s="114"/>
    </row>
    <row r="837" spans="2:4">
      <c r="B837" s="114"/>
      <c r="C837" s="114"/>
      <c r="D837" s="114"/>
    </row>
    <row r="838" spans="2:4">
      <c r="B838" s="114"/>
      <c r="C838" s="114"/>
      <c r="D838" s="114"/>
    </row>
    <row r="839" spans="2:4">
      <c r="B839" s="114"/>
      <c r="C839" s="114"/>
      <c r="D839" s="114"/>
    </row>
    <row r="840" spans="2:4">
      <c r="B840" s="114"/>
      <c r="C840" s="114"/>
      <c r="D840" s="114"/>
    </row>
    <row r="841" spans="2:4">
      <c r="B841" s="114"/>
      <c r="C841" s="114"/>
      <c r="D841" s="114"/>
    </row>
    <row r="842" spans="2:4">
      <c r="B842" s="114"/>
      <c r="C842" s="114"/>
      <c r="D842" s="114"/>
    </row>
    <row r="843" spans="2:4">
      <c r="B843" s="114"/>
      <c r="C843" s="114"/>
      <c r="D843" s="114"/>
    </row>
    <row r="844" spans="2:4">
      <c r="B844" s="114"/>
      <c r="C844" s="114"/>
      <c r="D844" s="114"/>
    </row>
    <row r="845" spans="2:4">
      <c r="B845" s="114"/>
      <c r="C845" s="114"/>
      <c r="D845" s="114"/>
    </row>
    <row r="846" spans="2:4">
      <c r="B846" s="114"/>
      <c r="C846" s="114"/>
      <c r="D846" s="114"/>
    </row>
    <row r="847" spans="2:4">
      <c r="B847" s="114"/>
      <c r="C847" s="114"/>
      <c r="D847" s="114"/>
    </row>
    <row r="848" spans="2:4">
      <c r="B848" s="114"/>
      <c r="C848" s="114"/>
      <c r="D848" s="114"/>
    </row>
    <row r="849" spans="2:4">
      <c r="B849" s="114"/>
      <c r="C849" s="114"/>
      <c r="D849" s="114"/>
    </row>
    <row r="850" spans="2:4">
      <c r="B850" s="114"/>
      <c r="C850" s="114"/>
      <c r="D850" s="114"/>
    </row>
    <row r="851" spans="2:4">
      <c r="B851" s="114"/>
      <c r="C851" s="114"/>
      <c r="D851" s="114"/>
    </row>
    <row r="852" spans="2:4">
      <c r="B852" s="114"/>
      <c r="C852" s="114"/>
      <c r="D852" s="114"/>
    </row>
    <row r="853" spans="2:4">
      <c r="B853" s="114"/>
      <c r="C853" s="114"/>
      <c r="D853" s="114"/>
    </row>
    <row r="854" spans="2:4">
      <c r="B854" s="114"/>
      <c r="C854" s="114"/>
      <c r="D854" s="114"/>
    </row>
    <row r="855" spans="2:4">
      <c r="B855" s="114"/>
      <c r="C855" s="114"/>
      <c r="D855" s="114"/>
    </row>
    <row r="856" spans="2:4">
      <c r="B856" s="114"/>
      <c r="C856" s="114"/>
      <c r="D856" s="114"/>
    </row>
    <row r="857" spans="2:4">
      <c r="B857" s="114"/>
      <c r="C857" s="114"/>
      <c r="D857" s="114"/>
    </row>
    <row r="858" spans="2:4">
      <c r="B858" s="114"/>
      <c r="C858" s="114"/>
      <c r="D858" s="114"/>
    </row>
    <row r="859" spans="2:4">
      <c r="B859" s="114"/>
      <c r="C859" s="114"/>
      <c r="D859" s="114"/>
    </row>
    <row r="860" spans="2:4">
      <c r="B860" s="114"/>
      <c r="C860" s="114"/>
      <c r="D860" s="114"/>
    </row>
    <row r="861" spans="2:4">
      <c r="B861" s="114"/>
      <c r="C861" s="114"/>
      <c r="D861" s="114"/>
    </row>
    <row r="862" spans="2:4">
      <c r="B862" s="114"/>
      <c r="C862" s="114"/>
      <c r="D862" s="114"/>
    </row>
    <row r="863" spans="2:4">
      <c r="B863" s="114"/>
      <c r="C863" s="114"/>
      <c r="D863" s="114"/>
    </row>
    <row r="864" spans="2:4">
      <c r="B864" s="114"/>
      <c r="C864" s="114"/>
      <c r="D864" s="114"/>
    </row>
    <row r="865" spans="2:4">
      <c r="B865" s="114"/>
      <c r="C865" s="114"/>
      <c r="D865" s="114"/>
    </row>
    <row r="866" spans="2:4">
      <c r="B866" s="114"/>
      <c r="C866" s="114"/>
      <c r="D866" s="114"/>
    </row>
    <row r="867" spans="2:4">
      <c r="B867" s="114"/>
      <c r="C867" s="114"/>
      <c r="D867" s="114"/>
    </row>
    <row r="868" spans="2:4">
      <c r="B868" s="114"/>
      <c r="C868" s="114"/>
      <c r="D868" s="114"/>
    </row>
    <row r="869" spans="2:4">
      <c r="B869" s="114"/>
      <c r="C869" s="114"/>
      <c r="D869" s="114"/>
    </row>
    <row r="870" spans="2:4">
      <c r="B870" s="114"/>
      <c r="C870" s="114"/>
      <c r="D870" s="114"/>
    </row>
    <row r="871" spans="2:4">
      <c r="B871" s="114"/>
      <c r="C871" s="114"/>
      <c r="D871" s="114"/>
    </row>
    <row r="872" spans="2:4">
      <c r="B872" s="114"/>
      <c r="C872" s="114"/>
      <c r="D872" s="114"/>
    </row>
    <row r="873" spans="2:4">
      <c r="B873" s="114"/>
      <c r="C873" s="114"/>
      <c r="D873" s="114"/>
    </row>
    <row r="874" spans="2:4">
      <c r="B874" s="114"/>
      <c r="C874" s="114"/>
      <c r="D874" s="114"/>
    </row>
    <row r="875" spans="2:4">
      <c r="B875" s="114"/>
      <c r="C875" s="114"/>
      <c r="D875" s="114"/>
    </row>
    <row r="876" spans="2:4">
      <c r="B876" s="114"/>
      <c r="C876" s="114"/>
      <c r="D876" s="114"/>
    </row>
    <row r="877" spans="2:4">
      <c r="B877" s="114"/>
      <c r="C877" s="114"/>
      <c r="D877" s="114"/>
    </row>
    <row r="878" spans="2:4">
      <c r="B878" s="114"/>
      <c r="C878" s="114"/>
      <c r="D878" s="114"/>
    </row>
    <row r="879" spans="2:4">
      <c r="B879" s="114"/>
      <c r="C879" s="114"/>
      <c r="D879" s="114"/>
    </row>
    <row r="880" spans="2:4">
      <c r="B880" s="114"/>
      <c r="C880" s="114"/>
      <c r="D880" s="114"/>
    </row>
    <row r="881" spans="2:4">
      <c r="B881" s="114"/>
      <c r="C881" s="114"/>
      <c r="D881" s="114"/>
    </row>
    <row r="882" spans="2:4">
      <c r="B882" s="114"/>
      <c r="C882" s="114"/>
      <c r="D882" s="114"/>
    </row>
    <row r="883" spans="2:4">
      <c r="B883" s="114"/>
      <c r="C883" s="114"/>
      <c r="D883" s="114"/>
    </row>
    <row r="884" spans="2:4">
      <c r="B884" s="114"/>
      <c r="C884" s="114"/>
      <c r="D884" s="114"/>
    </row>
    <row r="885" spans="2:4">
      <c r="B885" s="114"/>
      <c r="C885" s="114"/>
      <c r="D885" s="114"/>
    </row>
    <row r="886" spans="2:4">
      <c r="B886" s="114"/>
      <c r="C886" s="114"/>
      <c r="D886" s="114"/>
    </row>
    <row r="887" spans="2:4">
      <c r="B887" s="114"/>
      <c r="C887" s="114"/>
      <c r="D887" s="114"/>
    </row>
    <row r="888" spans="2:4">
      <c r="B888" s="114"/>
      <c r="C888" s="114"/>
      <c r="D888" s="114"/>
    </row>
    <row r="889" spans="2:4">
      <c r="B889" s="114"/>
      <c r="C889" s="114"/>
      <c r="D889" s="114"/>
    </row>
    <row r="890" spans="2:4">
      <c r="B890" s="114"/>
      <c r="C890" s="114"/>
      <c r="D890" s="114"/>
    </row>
    <row r="891" spans="2:4">
      <c r="B891" s="114"/>
      <c r="C891" s="114"/>
      <c r="D891" s="114"/>
    </row>
    <row r="892" spans="2:4">
      <c r="B892" s="114"/>
      <c r="C892" s="114"/>
      <c r="D892" s="114"/>
    </row>
    <row r="893" spans="2:4">
      <c r="B893" s="114"/>
      <c r="C893" s="114"/>
      <c r="D893" s="114"/>
    </row>
    <row r="894" spans="2:4">
      <c r="B894" s="114"/>
      <c r="C894" s="114"/>
      <c r="D894" s="114"/>
    </row>
    <row r="895" spans="2:4">
      <c r="B895" s="114"/>
      <c r="C895" s="114"/>
      <c r="D895" s="114"/>
    </row>
    <row r="896" spans="2:4">
      <c r="B896" s="114"/>
      <c r="C896" s="114"/>
      <c r="D896" s="114"/>
    </row>
    <row r="897" spans="2:4">
      <c r="B897" s="114"/>
      <c r="C897" s="114"/>
      <c r="D897" s="114"/>
    </row>
    <row r="898" spans="2:4">
      <c r="B898" s="114"/>
      <c r="C898" s="114"/>
      <c r="D898" s="114"/>
    </row>
    <row r="899" spans="2:4">
      <c r="B899" s="114"/>
      <c r="C899" s="114"/>
      <c r="D899" s="114"/>
    </row>
    <row r="900" spans="2:4">
      <c r="B900" s="114"/>
      <c r="C900" s="114"/>
      <c r="D900" s="114"/>
    </row>
    <row r="901" spans="2:4">
      <c r="B901" s="114"/>
      <c r="C901" s="114"/>
      <c r="D901" s="114"/>
    </row>
    <row r="902" spans="2:4">
      <c r="B902" s="114"/>
      <c r="C902" s="114"/>
      <c r="D902" s="114"/>
    </row>
    <row r="903" spans="2:4">
      <c r="B903" s="114"/>
      <c r="C903" s="114"/>
      <c r="D903" s="114"/>
    </row>
    <row r="904" spans="2:4">
      <c r="B904" s="114"/>
      <c r="C904" s="114"/>
      <c r="D904" s="114"/>
    </row>
    <row r="905" spans="2:4">
      <c r="B905" s="114"/>
      <c r="C905" s="114"/>
      <c r="D905" s="114"/>
    </row>
    <row r="906" spans="2:4">
      <c r="B906" s="114"/>
      <c r="C906" s="114"/>
      <c r="D906" s="114"/>
    </row>
    <row r="907" spans="2:4">
      <c r="B907" s="114"/>
      <c r="C907" s="114"/>
      <c r="D907" s="114"/>
    </row>
    <row r="908" spans="2:4">
      <c r="B908" s="114"/>
      <c r="C908" s="114"/>
      <c r="D908" s="114"/>
    </row>
    <row r="909" spans="2:4">
      <c r="B909" s="114"/>
      <c r="C909" s="114"/>
      <c r="D909" s="114"/>
    </row>
    <row r="910" spans="2:4">
      <c r="B910" s="114"/>
      <c r="C910" s="114"/>
      <c r="D910" s="114"/>
    </row>
    <row r="911" spans="2:4">
      <c r="B911" s="114"/>
      <c r="C911" s="114"/>
      <c r="D911" s="114"/>
    </row>
    <row r="912" spans="2:4">
      <c r="B912" s="114"/>
      <c r="C912" s="114"/>
      <c r="D912" s="114"/>
    </row>
    <row r="913" spans="2:4">
      <c r="B913" s="114"/>
      <c r="C913" s="114"/>
      <c r="D913" s="114"/>
    </row>
    <row r="914" spans="2:4">
      <c r="B914" s="114"/>
      <c r="C914" s="114"/>
      <c r="D914" s="114"/>
    </row>
    <row r="915" spans="2:4">
      <c r="B915" s="114"/>
      <c r="C915" s="114"/>
      <c r="D915" s="114"/>
    </row>
    <row r="916" spans="2:4">
      <c r="B916" s="114"/>
      <c r="C916" s="114"/>
      <c r="D916" s="114"/>
    </row>
    <row r="917" spans="2:4">
      <c r="B917" s="114"/>
      <c r="C917" s="114"/>
      <c r="D917" s="114"/>
    </row>
    <row r="918" spans="2:4">
      <c r="B918" s="114"/>
      <c r="C918" s="114"/>
      <c r="D918" s="114"/>
    </row>
    <row r="919" spans="2:4">
      <c r="B919" s="114"/>
      <c r="C919" s="114"/>
      <c r="D919" s="114"/>
    </row>
    <row r="920" spans="2:4">
      <c r="B920" s="114"/>
      <c r="C920" s="114"/>
      <c r="D920" s="114"/>
    </row>
    <row r="921" spans="2:4">
      <c r="B921" s="114"/>
      <c r="C921" s="114"/>
      <c r="D921" s="114"/>
    </row>
    <row r="922" spans="2:4">
      <c r="B922" s="114"/>
      <c r="C922" s="114"/>
      <c r="D922" s="114"/>
    </row>
    <row r="923" spans="2:4">
      <c r="B923" s="114"/>
      <c r="C923" s="114"/>
      <c r="D923" s="114"/>
    </row>
    <row r="924" spans="2:4">
      <c r="B924" s="114"/>
      <c r="C924" s="114"/>
      <c r="D924" s="114"/>
    </row>
    <row r="925" spans="2:4">
      <c r="B925" s="114"/>
      <c r="C925" s="114"/>
      <c r="D925" s="114"/>
    </row>
    <row r="926" spans="2:4">
      <c r="B926" s="114"/>
      <c r="C926" s="114"/>
      <c r="D926" s="114"/>
    </row>
    <row r="927" spans="2:4">
      <c r="B927" s="114"/>
      <c r="C927" s="114"/>
      <c r="D927" s="114"/>
    </row>
    <row r="928" spans="2:4">
      <c r="B928" s="114"/>
      <c r="C928" s="114"/>
      <c r="D928" s="114"/>
    </row>
    <row r="929" spans="2:4">
      <c r="B929" s="114"/>
      <c r="C929" s="114"/>
      <c r="D929" s="114"/>
    </row>
    <row r="930" spans="2:4">
      <c r="B930" s="114"/>
      <c r="C930" s="114"/>
      <c r="D930" s="114"/>
    </row>
    <row r="931" spans="2:4">
      <c r="B931" s="114"/>
      <c r="C931" s="114"/>
      <c r="D931" s="114"/>
    </row>
    <row r="932" spans="2:4">
      <c r="B932" s="114"/>
      <c r="C932" s="114"/>
      <c r="D932" s="114"/>
    </row>
    <row r="933" spans="2:4">
      <c r="B933" s="114"/>
      <c r="C933" s="114"/>
      <c r="D933" s="114"/>
    </row>
    <row r="934" spans="2:4">
      <c r="B934" s="114"/>
      <c r="C934" s="114"/>
      <c r="D934" s="114"/>
    </row>
    <row r="935" spans="2:4">
      <c r="B935" s="114"/>
      <c r="C935" s="114"/>
      <c r="D935" s="114"/>
    </row>
    <row r="936" spans="2:4">
      <c r="B936" s="114"/>
      <c r="C936" s="114"/>
      <c r="D936" s="114"/>
    </row>
    <row r="937" spans="2:4">
      <c r="B937" s="114"/>
      <c r="C937" s="114"/>
      <c r="D937" s="114"/>
    </row>
    <row r="938" spans="2:4">
      <c r="B938" s="114"/>
      <c r="C938" s="114"/>
      <c r="D938" s="114"/>
    </row>
    <row r="939" spans="2:4">
      <c r="B939" s="114"/>
      <c r="C939" s="114"/>
      <c r="D939" s="114"/>
    </row>
    <row r="940" spans="2:4">
      <c r="B940" s="114"/>
      <c r="C940" s="114"/>
      <c r="D940" s="114"/>
    </row>
    <row r="941" spans="2:4">
      <c r="B941" s="114"/>
      <c r="C941" s="114"/>
      <c r="D941" s="114"/>
    </row>
    <row r="942" spans="2:4">
      <c r="B942" s="114"/>
      <c r="C942" s="114"/>
      <c r="D942" s="114"/>
    </row>
    <row r="943" spans="2:4">
      <c r="B943" s="114"/>
      <c r="C943" s="114"/>
      <c r="D943" s="114"/>
    </row>
    <row r="944" spans="2:4">
      <c r="B944" s="114"/>
      <c r="C944" s="114"/>
      <c r="D944" s="114"/>
    </row>
    <row r="945" spans="2:4">
      <c r="B945" s="114"/>
      <c r="C945" s="114"/>
      <c r="D945" s="114"/>
    </row>
    <row r="946" spans="2:4">
      <c r="B946" s="114"/>
      <c r="C946" s="114"/>
      <c r="D946" s="114"/>
    </row>
    <row r="947" spans="2:4">
      <c r="B947" s="114"/>
      <c r="C947" s="114"/>
      <c r="D947" s="114"/>
    </row>
    <row r="948" spans="2:4">
      <c r="B948" s="114"/>
      <c r="C948" s="114"/>
      <c r="D948" s="114"/>
    </row>
    <row r="949" spans="2:4">
      <c r="B949" s="114"/>
      <c r="C949" s="114"/>
      <c r="D949" s="114"/>
    </row>
    <row r="950" spans="2:4">
      <c r="B950" s="114"/>
      <c r="C950" s="114"/>
      <c r="D950" s="114"/>
    </row>
    <row r="951" spans="2:4">
      <c r="B951" s="114"/>
      <c r="C951" s="114"/>
      <c r="D951" s="114"/>
    </row>
    <row r="952" spans="2:4">
      <c r="B952" s="114"/>
      <c r="C952" s="114"/>
      <c r="D952" s="114"/>
    </row>
    <row r="953" spans="2:4">
      <c r="B953" s="114"/>
      <c r="C953" s="114"/>
      <c r="D953" s="114"/>
    </row>
    <row r="954" spans="2:4">
      <c r="B954" s="114"/>
      <c r="C954" s="114"/>
      <c r="D954" s="114"/>
    </row>
    <row r="955" spans="2:4">
      <c r="B955" s="114"/>
      <c r="C955" s="114"/>
      <c r="D955" s="114"/>
    </row>
    <row r="956" spans="2:4">
      <c r="B956" s="114"/>
      <c r="C956" s="114"/>
      <c r="D956" s="114"/>
    </row>
    <row r="957" spans="2:4">
      <c r="B957" s="114"/>
      <c r="C957" s="114"/>
      <c r="D957" s="114"/>
    </row>
    <row r="958" spans="2:4">
      <c r="B958" s="114"/>
      <c r="C958" s="114"/>
      <c r="D958" s="114"/>
    </row>
    <row r="959" spans="2:4">
      <c r="B959" s="114"/>
      <c r="C959" s="114"/>
      <c r="D959" s="114"/>
    </row>
    <row r="960" spans="2:4">
      <c r="B960" s="114"/>
      <c r="C960" s="114"/>
      <c r="D960" s="114"/>
    </row>
    <row r="961" spans="2:4">
      <c r="B961" s="114"/>
      <c r="C961" s="114"/>
      <c r="D961" s="114"/>
    </row>
    <row r="962" spans="2:4">
      <c r="B962" s="114"/>
      <c r="C962" s="114"/>
      <c r="D962" s="114"/>
    </row>
    <row r="963" spans="2:4">
      <c r="B963" s="114"/>
      <c r="C963" s="114"/>
      <c r="D963" s="114"/>
    </row>
    <row r="964" spans="2:4">
      <c r="B964" s="114"/>
      <c r="C964" s="114"/>
      <c r="D964" s="114"/>
    </row>
    <row r="965" spans="2:4">
      <c r="B965" s="114"/>
      <c r="C965" s="114"/>
      <c r="D965" s="114"/>
    </row>
    <row r="966" spans="2:4">
      <c r="B966" s="114"/>
      <c r="C966" s="114"/>
      <c r="D966" s="114"/>
    </row>
    <row r="967" spans="2:4">
      <c r="B967" s="114"/>
      <c r="C967" s="114"/>
      <c r="D967" s="114"/>
    </row>
    <row r="968" spans="2:4">
      <c r="B968" s="114"/>
      <c r="C968" s="114"/>
      <c r="D968" s="114"/>
    </row>
    <row r="969" spans="2:4">
      <c r="B969" s="114"/>
      <c r="C969" s="114"/>
      <c r="D969" s="114"/>
    </row>
    <row r="970" spans="2:4">
      <c r="B970" s="114"/>
      <c r="C970" s="114"/>
      <c r="D970" s="114"/>
    </row>
    <row r="971" spans="2:4">
      <c r="B971" s="114"/>
      <c r="C971" s="114"/>
      <c r="D971" s="114"/>
    </row>
    <row r="972" spans="2:4">
      <c r="B972" s="114"/>
      <c r="C972" s="114"/>
      <c r="D972" s="114"/>
    </row>
    <row r="973" spans="2:4">
      <c r="B973" s="114"/>
      <c r="C973" s="114"/>
      <c r="D973" s="114"/>
    </row>
    <row r="974" spans="2:4">
      <c r="B974" s="114"/>
      <c r="C974" s="114"/>
      <c r="D974" s="114"/>
    </row>
    <row r="975" spans="2:4">
      <c r="B975" s="114"/>
      <c r="C975" s="114"/>
      <c r="D975" s="114"/>
    </row>
    <row r="976" spans="2:4">
      <c r="B976" s="114"/>
      <c r="C976" s="114"/>
      <c r="D976" s="114"/>
    </row>
    <row r="977" spans="2:4">
      <c r="B977" s="114"/>
      <c r="C977" s="114"/>
      <c r="D977" s="114"/>
    </row>
    <row r="978" spans="2:4">
      <c r="B978" s="114"/>
      <c r="C978" s="114"/>
      <c r="D978" s="114"/>
    </row>
    <row r="979" spans="2:4">
      <c r="B979" s="114"/>
      <c r="C979" s="114"/>
      <c r="D979" s="114"/>
    </row>
    <row r="980" spans="2:4">
      <c r="B980" s="114"/>
      <c r="C980" s="114"/>
      <c r="D980" s="114"/>
    </row>
    <row r="981" spans="2:4">
      <c r="B981" s="114"/>
      <c r="C981" s="114"/>
      <c r="D981" s="114"/>
    </row>
    <row r="982" spans="2:4">
      <c r="B982" s="114"/>
      <c r="C982" s="114"/>
      <c r="D982" s="114"/>
    </row>
    <row r="983" spans="2:4">
      <c r="B983" s="114"/>
      <c r="C983" s="114"/>
      <c r="D983" s="114"/>
    </row>
    <row r="984" spans="2:4">
      <c r="B984" s="114"/>
      <c r="C984" s="114"/>
      <c r="D984" s="114"/>
    </row>
    <row r="985" spans="2:4">
      <c r="B985" s="114"/>
      <c r="C985" s="114"/>
      <c r="D985" s="114"/>
    </row>
    <row r="986" spans="2:4">
      <c r="B986" s="114"/>
      <c r="C986" s="114"/>
      <c r="D986" s="114"/>
    </row>
    <row r="987" spans="2:4">
      <c r="B987" s="114"/>
      <c r="C987" s="114"/>
      <c r="D987" s="114"/>
    </row>
    <row r="988" spans="2:4">
      <c r="B988" s="114"/>
      <c r="C988" s="114"/>
      <c r="D988" s="114"/>
    </row>
    <row r="989" spans="2:4">
      <c r="B989" s="114"/>
      <c r="C989" s="114"/>
      <c r="D989" s="114"/>
    </row>
    <row r="990" spans="2:4">
      <c r="B990" s="114"/>
      <c r="C990" s="114"/>
      <c r="D990" s="114"/>
    </row>
    <row r="991" spans="2:4">
      <c r="B991" s="114"/>
      <c r="C991" s="114"/>
      <c r="D991" s="114"/>
    </row>
    <row r="992" spans="2:4">
      <c r="B992" s="114"/>
      <c r="C992" s="114"/>
      <c r="D992" s="114"/>
    </row>
    <row r="993" spans="2:4">
      <c r="B993" s="114"/>
      <c r="C993" s="114"/>
      <c r="D993" s="114"/>
    </row>
    <row r="994" spans="2:4">
      <c r="B994" s="114"/>
      <c r="C994" s="114"/>
      <c r="D994" s="114"/>
    </row>
    <row r="995" spans="2:4">
      <c r="B995" s="114"/>
      <c r="C995" s="114"/>
      <c r="D995" s="114"/>
    </row>
    <row r="996" spans="2:4">
      <c r="B996" s="114"/>
      <c r="C996" s="114"/>
      <c r="D996" s="114"/>
    </row>
    <row r="997" spans="2:4">
      <c r="B997" s="114"/>
      <c r="C997" s="114"/>
      <c r="D997" s="114"/>
    </row>
    <row r="998" spans="2:4">
      <c r="B998" s="114"/>
      <c r="C998" s="114"/>
      <c r="D998" s="114"/>
    </row>
    <row r="999" spans="2:4">
      <c r="B999" s="114"/>
      <c r="C999" s="114"/>
      <c r="D999" s="114"/>
    </row>
    <row r="1000" spans="2:4">
      <c r="B1000" s="114"/>
      <c r="C1000" s="114"/>
      <c r="D1000" s="114"/>
    </row>
    <row r="1001" spans="2:4">
      <c r="B1001" s="114"/>
      <c r="C1001" s="114"/>
      <c r="D1001" s="114"/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C979"/>
  <sheetViews>
    <sheetView workbookViewId="0">
      <pane ySplit="2" topLeftCell="A3" activePane="bottomLeft" state="frozen"/>
      <selection pane="bottomLeft" activeCell="B4" sqref="B4"/>
    </sheetView>
  </sheetViews>
  <sheetFormatPr defaultColWidth="11.25" defaultRowHeight="15.75" customHeight="1"/>
  <cols>
    <col min="2" max="2" width="63.75" customWidth="1"/>
    <col min="3" max="3" width="8.75" customWidth="1"/>
    <col min="4" max="4" width="13.625" customWidth="1"/>
    <col min="5" max="7" width="12.75" customWidth="1"/>
    <col min="8" max="8" width="16.375" customWidth="1"/>
    <col min="9" max="9" width="12.75" customWidth="1"/>
    <col min="10" max="10" width="12.125" customWidth="1"/>
    <col min="11" max="11" width="12.75" customWidth="1"/>
    <col min="12" max="12" width="12" customWidth="1"/>
    <col min="13" max="13" width="13.75" customWidth="1"/>
    <col min="14" max="14" width="10.875" customWidth="1"/>
    <col min="15" max="15" width="9.5" customWidth="1"/>
    <col min="16" max="16" width="8.375" customWidth="1"/>
    <col min="17" max="17" width="14.625" customWidth="1"/>
    <col min="18" max="18" width="13.625" customWidth="1"/>
    <col min="19" max="19" width="5.25" customWidth="1"/>
    <col min="20" max="20" width="6.25" customWidth="1"/>
    <col min="23" max="23" width="12" customWidth="1"/>
  </cols>
  <sheetData>
    <row r="1" spans="1:55">
      <c r="A1" s="147"/>
      <c r="B1" s="148" t="s">
        <v>606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50"/>
      <c r="U1" s="245"/>
      <c r="V1" s="253"/>
      <c r="W1" s="254"/>
      <c r="AC1" s="10"/>
      <c r="AH1" s="10"/>
      <c r="AP1" s="13"/>
      <c r="AQ1" s="13"/>
      <c r="AV1" s="13"/>
      <c r="AW1" s="13"/>
      <c r="AX1" s="22"/>
      <c r="AY1" s="22"/>
      <c r="AZ1" s="22"/>
      <c r="BA1" s="22"/>
      <c r="BB1" s="22"/>
      <c r="BC1" s="22"/>
    </row>
    <row r="2" spans="1:55">
      <c r="A2" s="151" t="s">
        <v>607</v>
      </c>
      <c r="B2" s="152" t="s">
        <v>22</v>
      </c>
      <c r="C2" s="153" t="s">
        <v>608</v>
      </c>
      <c r="D2" s="153" t="s">
        <v>609</v>
      </c>
      <c r="E2" s="153" t="s">
        <v>610</v>
      </c>
      <c r="F2" s="153" t="s">
        <v>611</v>
      </c>
      <c r="G2" s="153" t="s">
        <v>612</v>
      </c>
      <c r="H2" s="153" t="s">
        <v>613</v>
      </c>
      <c r="I2" s="153" t="s">
        <v>614</v>
      </c>
      <c r="J2" s="264" t="s">
        <v>615</v>
      </c>
      <c r="K2" s="153" t="s">
        <v>616</v>
      </c>
      <c r="L2" s="153" t="s">
        <v>617</v>
      </c>
      <c r="M2" s="153" t="s">
        <v>618</v>
      </c>
      <c r="N2" s="153" t="s">
        <v>619</v>
      </c>
      <c r="O2" s="153" t="s">
        <v>620</v>
      </c>
      <c r="P2" s="153" t="s">
        <v>621</v>
      </c>
      <c r="Q2" s="152" t="s">
        <v>622</v>
      </c>
      <c r="R2" s="152" t="s">
        <v>623</v>
      </c>
      <c r="S2" s="152" t="s">
        <v>624</v>
      </c>
      <c r="T2" s="14"/>
      <c r="U2" s="14"/>
      <c r="V2" s="14"/>
      <c r="W2" s="14"/>
      <c r="AM2" s="21"/>
      <c r="AN2" s="13"/>
      <c r="AO2" s="13"/>
      <c r="AP2" s="13"/>
      <c r="AQ2" s="13"/>
      <c r="AS2" s="21"/>
      <c r="AT2" s="13"/>
      <c r="AU2" s="13"/>
      <c r="AV2" s="13"/>
      <c r="AW2" s="13"/>
      <c r="AX2" s="22"/>
      <c r="AY2" s="22"/>
      <c r="AZ2" s="22"/>
      <c r="BA2" s="22"/>
      <c r="BB2" s="22"/>
      <c r="BC2" s="22"/>
    </row>
    <row r="3" spans="1:55">
      <c r="A3" s="154">
        <v>1</v>
      </c>
      <c r="B3" s="155" t="s">
        <v>625</v>
      </c>
      <c r="C3" s="155"/>
      <c r="D3" s="156" t="s">
        <v>626</v>
      </c>
      <c r="E3" s="156" t="s">
        <v>627</v>
      </c>
      <c r="F3" s="156" t="s">
        <v>627</v>
      </c>
      <c r="G3" s="156" t="s">
        <v>627</v>
      </c>
      <c r="H3" s="156" t="s">
        <v>627</v>
      </c>
      <c r="I3" s="156" t="s">
        <v>627</v>
      </c>
      <c r="J3" s="156" t="s">
        <v>627</v>
      </c>
      <c r="K3" s="156" t="s">
        <v>271</v>
      </c>
      <c r="L3" s="156" t="s">
        <v>627</v>
      </c>
      <c r="M3" s="156" t="s">
        <v>628</v>
      </c>
      <c r="N3" s="156" t="s">
        <v>629</v>
      </c>
      <c r="O3" s="157">
        <v>45324</v>
      </c>
      <c r="P3" s="158">
        <v>45359</v>
      </c>
      <c r="Q3" s="159" t="s">
        <v>630</v>
      </c>
      <c r="R3" s="159" t="s">
        <v>631</v>
      </c>
      <c r="S3" s="160" t="s">
        <v>632</v>
      </c>
      <c r="T3" s="31"/>
      <c r="U3" s="31"/>
      <c r="V3" s="31"/>
      <c r="W3" s="31"/>
      <c r="AF3" s="22"/>
      <c r="AG3" s="22"/>
      <c r="AH3" s="22"/>
      <c r="AI3" s="22"/>
      <c r="AJ3" s="82"/>
      <c r="AK3" s="22"/>
      <c r="AL3" s="22"/>
      <c r="AM3" s="22"/>
      <c r="AN3" s="22"/>
      <c r="AO3" s="22"/>
      <c r="AP3" s="22"/>
      <c r="AQ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</row>
    <row r="4" spans="1:55">
      <c r="A4" s="154">
        <v>1</v>
      </c>
      <c r="B4" s="161" t="s">
        <v>633</v>
      </c>
      <c r="C4" s="155"/>
      <c r="D4" s="156" t="s">
        <v>626</v>
      </c>
      <c r="E4" s="156" t="s">
        <v>627</v>
      </c>
      <c r="F4" s="156" t="s">
        <v>627</v>
      </c>
      <c r="G4" s="156" t="s">
        <v>627</v>
      </c>
      <c r="H4" s="156" t="s">
        <v>627</v>
      </c>
      <c r="I4" s="156" t="s">
        <v>627</v>
      </c>
      <c r="J4" s="156" t="s">
        <v>627</v>
      </c>
      <c r="K4" s="156" t="s">
        <v>271</v>
      </c>
      <c r="L4" s="156" t="s">
        <v>627</v>
      </c>
      <c r="M4" s="156" t="s">
        <v>628</v>
      </c>
      <c r="N4" s="156" t="s">
        <v>629</v>
      </c>
      <c r="O4" s="157">
        <v>45324</v>
      </c>
      <c r="P4" s="158">
        <v>45373</v>
      </c>
      <c r="Q4" s="159" t="s">
        <v>634</v>
      </c>
      <c r="R4" s="155"/>
      <c r="S4" s="162"/>
      <c r="T4" s="31"/>
      <c r="U4" s="31"/>
      <c r="V4" s="31"/>
      <c r="W4" s="31"/>
      <c r="AF4" s="22"/>
      <c r="AG4" s="22"/>
      <c r="AH4" s="22"/>
      <c r="AI4" s="22"/>
      <c r="AJ4" s="82"/>
      <c r="AK4" s="22"/>
      <c r="AL4" s="22"/>
      <c r="AM4" s="22"/>
      <c r="AN4" s="22"/>
      <c r="AO4" s="22"/>
      <c r="AP4" s="22"/>
      <c r="AQ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</row>
    <row r="5" spans="1:55">
      <c r="A5" s="154">
        <v>1</v>
      </c>
      <c r="B5" s="155" t="s">
        <v>635</v>
      </c>
      <c r="C5" s="155"/>
      <c r="D5" s="156" t="s">
        <v>626</v>
      </c>
      <c r="E5" s="156" t="s">
        <v>627</v>
      </c>
      <c r="F5" s="156" t="s">
        <v>627</v>
      </c>
      <c r="G5" s="156" t="s">
        <v>627</v>
      </c>
      <c r="H5" s="156" t="s">
        <v>627</v>
      </c>
      <c r="I5" s="156" t="s">
        <v>627</v>
      </c>
      <c r="J5" s="156" t="s">
        <v>627</v>
      </c>
      <c r="K5" s="156" t="s">
        <v>271</v>
      </c>
      <c r="L5" s="156" t="s">
        <v>627</v>
      </c>
      <c r="M5" s="156" t="s">
        <v>628</v>
      </c>
      <c r="N5" s="156" t="s">
        <v>629</v>
      </c>
      <c r="O5" s="158">
        <v>45341</v>
      </c>
      <c r="P5" s="158">
        <v>45366</v>
      </c>
      <c r="Q5" s="159" t="s">
        <v>636</v>
      </c>
      <c r="R5" s="159" t="s">
        <v>637</v>
      </c>
      <c r="S5" s="162"/>
      <c r="T5" s="31"/>
      <c r="U5" s="31"/>
      <c r="V5" s="31"/>
      <c r="W5" s="31"/>
      <c r="AF5" s="22"/>
      <c r="AG5" s="22"/>
      <c r="AH5" s="22"/>
      <c r="AI5" s="22"/>
      <c r="AJ5" s="82"/>
      <c r="AK5" s="22"/>
      <c r="AL5" s="22"/>
      <c r="AM5" s="22"/>
      <c r="AN5" s="22"/>
      <c r="AO5" s="22"/>
      <c r="AP5" s="22"/>
      <c r="AQ5" s="22"/>
      <c r="AS5" s="22"/>
      <c r="AT5" s="22"/>
      <c r="AU5" s="22"/>
      <c r="AV5" s="22"/>
      <c r="AW5" s="22"/>
      <c r="AX5" s="22"/>
      <c r="AY5" s="22"/>
      <c r="AZ5" s="22"/>
      <c r="BA5" s="22"/>
      <c r="BB5" s="265"/>
      <c r="BC5" s="22"/>
    </row>
    <row r="6" spans="1:55">
      <c r="A6" s="154">
        <v>1</v>
      </c>
      <c r="B6" s="155" t="s">
        <v>638</v>
      </c>
      <c r="C6" s="155"/>
      <c r="D6" s="156" t="s">
        <v>626</v>
      </c>
      <c r="E6" s="156" t="s">
        <v>627</v>
      </c>
      <c r="F6" s="156" t="s">
        <v>627</v>
      </c>
      <c r="G6" s="156" t="s">
        <v>627</v>
      </c>
      <c r="H6" s="156" t="s">
        <v>627</v>
      </c>
      <c r="I6" s="156" t="s">
        <v>627</v>
      </c>
      <c r="J6" s="156" t="s">
        <v>627</v>
      </c>
      <c r="K6" s="156" t="s">
        <v>271</v>
      </c>
      <c r="L6" s="156" t="s">
        <v>627</v>
      </c>
      <c r="M6" s="156" t="s">
        <v>639</v>
      </c>
      <c r="N6" s="156" t="s">
        <v>629</v>
      </c>
      <c r="O6" s="158">
        <v>45341</v>
      </c>
      <c r="P6" s="158">
        <v>45387</v>
      </c>
      <c r="Q6" s="159" t="s">
        <v>640</v>
      </c>
      <c r="R6" s="159" t="s">
        <v>641</v>
      </c>
      <c r="S6" s="162"/>
      <c r="T6" s="31"/>
      <c r="U6" s="31"/>
      <c r="V6" s="31"/>
      <c r="W6" s="31"/>
      <c r="AF6" s="22"/>
      <c r="AG6" s="22"/>
      <c r="AH6" s="22"/>
      <c r="AI6" s="22"/>
      <c r="AJ6" s="82"/>
      <c r="AK6" s="22"/>
      <c r="AL6" s="22"/>
      <c r="AM6" s="22"/>
      <c r="AN6" s="22"/>
      <c r="AO6" s="22"/>
      <c r="AP6" s="22"/>
      <c r="AQ6" s="22"/>
      <c r="AS6" s="22"/>
      <c r="AT6" s="22"/>
      <c r="AU6" s="22"/>
      <c r="AV6" s="22"/>
      <c r="AW6" s="22"/>
      <c r="AX6" s="22"/>
      <c r="AY6" s="22"/>
      <c r="AZ6" s="22"/>
      <c r="BA6" s="22"/>
      <c r="BB6" s="265"/>
      <c r="BC6" s="22"/>
    </row>
    <row r="7" spans="1:55">
      <c r="A7" s="154">
        <v>1</v>
      </c>
      <c r="B7" s="155" t="s">
        <v>642</v>
      </c>
      <c r="C7" s="155"/>
      <c r="D7" s="156" t="s">
        <v>626</v>
      </c>
      <c r="E7" s="156" t="s">
        <v>627</v>
      </c>
      <c r="F7" s="156" t="s">
        <v>627</v>
      </c>
      <c r="G7" s="156" t="s">
        <v>627</v>
      </c>
      <c r="H7" s="156" t="s">
        <v>627</v>
      </c>
      <c r="I7" s="156" t="s">
        <v>627</v>
      </c>
      <c r="J7" s="156" t="s">
        <v>627</v>
      </c>
      <c r="K7" s="156" t="s">
        <v>271</v>
      </c>
      <c r="L7" s="156" t="s">
        <v>627</v>
      </c>
      <c r="M7" s="156" t="s">
        <v>628</v>
      </c>
      <c r="N7" s="156" t="s">
        <v>629</v>
      </c>
      <c r="O7" s="157">
        <v>45324</v>
      </c>
      <c r="P7" s="158">
        <v>45366</v>
      </c>
      <c r="Q7" s="159" t="s">
        <v>643</v>
      </c>
      <c r="R7" s="159" t="s">
        <v>644</v>
      </c>
      <c r="S7" s="162"/>
      <c r="T7" s="31"/>
      <c r="U7" s="31"/>
      <c r="V7" s="31"/>
      <c r="W7" s="31"/>
      <c r="AF7" s="22"/>
      <c r="AG7" s="22"/>
      <c r="AH7" s="22"/>
      <c r="AI7" s="22"/>
      <c r="AJ7" s="82"/>
      <c r="AK7" s="22"/>
      <c r="AL7" s="22"/>
      <c r="AM7" s="22"/>
      <c r="AN7" s="22"/>
      <c r="AO7" s="22"/>
      <c r="AP7" s="22"/>
      <c r="AQ7" s="22"/>
      <c r="AS7" s="22"/>
      <c r="AT7" s="22"/>
      <c r="AU7" s="22"/>
      <c r="AV7" s="22"/>
      <c r="AW7" s="22"/>
      <c r="AX7" s="22"/>
      <c r="AY7" s="22"/>
      <c r="AZ7" s="22"/>
      <c r="BA7" s="22"/>
      <c r="BB7" s="265"/>
      <c r="BC7" s="22"/>
    </row>
    <row r="8" spans="1:55">
      <c r="A8" s="154">
        <v>1</v>
      </c>
      <c r="B8" s="155" t="s">
        <v>645</v>
      </c>
      <c r="C8" s="155"/>
      <c r="D8" s="156" t="s">
        <v>626</v>
      </c>
      <c r="E8" s="156" t="s">
        <v>627</v>
      </c>
      <c r="F8" s="156" t="s">
        <v>627</v>
      </c>
      <c r="G8" s="156" t="s">
        <v>627</v>
      </c>
      <c r="H8" s="156" t="s">
        <v>627</v>
      </c>
      <c r="I8" s="156" t="s">
        <v>627</v>
      </c>
      <c r="J8" s="156" t="s">
        <v>627</v>
      </c>
      <c r="K8" s="156" t="s">
        <v>271</v>
      </c>
      <c r="L8" s="156" t="s">
        <v>627</v>
      </c>
      <c r="M8" s="156" t="s">
        <v>646</v>
      </c>
      <c r="N8" s="156" t="s">
        <v>629</v>
      </c>
      <c r="O8" s="158">
        <v>45341</v>
      </c>
      <c r="P8" s="158">
        <v>45387</v>
      </c>
      <c r="Q8" s="159" t="s">
        <v>647</v>
      </c>
      <c r="R8" s="159" t="s">
        <v>648</v>
      </c>
      <c r="S8" s="162"/>
      <c r="T8" s="31"/>
      <c r="U8" s="31"/>
      <c r="V8" s="31"/>
      <c r="W8" s="31"/>
      <c r="AF8" s="22"/>
      <c r="AG8" s="22"/>
      <c r="AH8" s="22"/>
      <c r="AI8" s="22"/>
      <c r="AJ8" s="82"/>
      <c r="AK8" s="22"/>
      <c r="AL8" s="22"/>
      <c r="AM8" s="22"/>
      <c r="AN8" s="22"/>
      <c r="AO8" s="22"/>
      <c r="AP8" s="22"/>
      <c r="AQ8" s="22"/>
      <c r="AS8" s="22"/>
      <c r="AT8" s="22"/>
      <c r="AU8" s="22"/>
      <c r="AV8" s="22"/>
      <c r="AW8" s="22"/>
      <c r="AX8" s="22"/>
      <c r="AY8" s="22"/>
      <c r="AZ8" s="22"/>
      <c r="BA8" s="22"/>
      <c r="BB8" s="265"/>
      <c r="BC8" s="22"/>
    </row>
    <row r="9" spans="1:55">
      <c r="A9" s="154">
        <v>1</v>
      </c>
      <c r="B9" s="155" t="s">
        <v>649</v>
      </c>
      <c r="C9" s="155"/>
      <c r="D9" s="156" t="s">
        <v>626</v>
      </c>
      <c r="E9" s="156" t="s">
        <v>627</v>
      </c>
      <c r="F9" s="156" t="s">
        <v>627</v>
      </c>
      <c r="G9" s="156" t="s">
        <v>627</v>
      </c>
      <c r="H9" s="156" t="s">
        <v>627</v>
      </c>
      <c r="I9" s="156" t="s">
        <v>627</v>
      </c>
      <c r="J9" s="156" t="s">
        <v>627</v>
      </c>
      <c r="K9" s="156" t="s">
        <v>271</v>
      </c>
      <c r="L9" s="156" t="s">
        <v>627</v>
      </c>
      <c r="M9" s="156" t="s">
        <v>650</v>
      </c>
      <c r="N9" s="156" t="s">
        <v>629</v>
      </c>
      <c r="O9" s="158">
        <v>45341</v>
      </c>
      <c r="P9" s="163">
        <v>45387</v>
      </c>
      <c r="Q9" s="164" t="s">
        <v>651</v>
      </c>
      <c r="R9" s="164" t="s">
        <v>652</v>
      </c>
      <c r="S9" s="162"/>
      <c r="T9" s="31"/>
      <c r="U9" s="31"/>
      <c r="V9" s="31"/>
      <c r="W9" s="31"/>
      <c r="AF9" s="22"/>
      <c r="AG9" s="22"/>
      <c r="AH9" s="22"/>
      <c r="AI9" s="22"/>
      <c r="AJ9" s="82"/>
      <c r="AK9" s="22"/>
      <c r="AL9" s="22"/>
      <c r="AM9" s="22"/>
      <c r="AN9" s="22"/>
      <c r="AO9" s="22"/>
      <c r="AP9" s="22"/>
      <c r="AQ9" s="22"/>
      <c r="AS9" s="22"/>
      <c r="AT9" s="22"/>
      <c r="AU9" s="22"/>
      <c r="AV9" s="22"/>
      <c r="AW9" s="22"/>
      <c r="AX9" s="22"/>
      <c r="AY9" s="22"/>
      <c r="AZ9" s="22"/>
      <c r="BA9" s="22"/>
      <c r="BB9" s="265"/>
      <c r="BC9" s="22"/>
    </row>
    <row r="10" spans="1:55">
      <c r="A10" s="154">
        <v>1</v>
      </c>
      <c r="B10" s="155" t="s">
        <v>653</v>
      </c>
      <c r="C10" s="155"/>
      <c r="D10" s="156" t="s">
        <v>626</v>
      </c>
      <c r="E10" s="156" t="s">
        <v>627</v>
      </c>
      <c r="F10" s="156" t="s">
        <v>627</v>
      </c>
      <c r="G10" s="156" t="s">
        <v>627</v>
      </c>
      <c r="H10" s="156" t="s">
        <v>654</v>
      </c>
      <c r="I10" s="156" t="s">
        <v>271</v>
      </c>
      <c r="J10" s="156" t="s">
        <v>654</v>
      </c>
      <c r="K10" s="156" t="s">
        <v>654</v>
      </c>
      <c r="L10" s="155"/>
      <c r="M10" s="156" t="s">
        <v>628</v>
      </c>
      <c r="N10" s="156" t="s">
        <v>655</v>
      </c>
      <c r="O10" s="158">
        <v>45330</v>
      </c>
      <c r="P10" s="163">
        <v>45380</v>
      </c>
      <c r="Q10" s="159" t="s">
        <v>656</v>
      </c>
      <c r="R10" s="159" t="s">
        <v>657</v>
      </c>
      <c r="S10" s="162"/>
      <c r="T10" s="31"/>
      <c r="U10" s="31"/>
      <c r="V10" s="31"/>
      <c r="W10" s="31"/>
      <c r="AF10" s="22"/>
      <c r="AG10" s="22"/>
      <c r="AH10" s="22"/>
      <c r="AI10" s="22"/>
      <c r="AJ10" s="82"/>
      <c r="AK10" s="22"/>
      <c r="AL10" s="22"/>
      <c r="AM10" s="22"/>
      <c r="AN10" s="22"/>
      <c r="AO10" s="22"/>
      <c r="AP10" s="22"/>
      <c r="AQ10" s="22"/>
      <c r="AS10" s="22"/>
      <c r="AT10" s="22"/>
      <c r="AU10" s="22"/>
      <c r="AV10" s="22"/>
      <c r="AW10" s="22"/>
      <c r="AX10" s="22"/>
      <c r="AY10" s="22"/>
      <c r="AZ10" s="22"/>
      <c r="BA10" s="22"/>
      <c r="BB10" s="265"/>
      <c r="BC10" s="22"/>
    </row>
    <row r="11" spans="1:55">
      <c r="A11" s="154">
        <v>1</v>
      </c>
      <c r="B11" s="155" t="s">
        <v>658</v>
      </c>
      <c r="C11" s="165"/>
      <c r="D11" s="156" t="s">
        <v>626</v>
      </c>
      <c r="E11" s="156" t="s">
        <v>654</v>
      </c>
      <c r="F11" s="156" t="s">
        <v>271</v>
      </c>
      <c r="G11" s="156" t="s">
        <v>654</v>
      </c>
      <c r="H11" s="156" t="s">
        <v>654</v>
      </c>
      <c r="I11" s="156" t="s">
        <v>271</v>
      </c>
      <c r="J11" s="156" t="s">
        <v>654</v>
      </c>
      <c r="K11" s="156" t="s">
        <v>654</v>
      </c>
      <c r="L11" s="155"/>
      <c r="M11" s="156" t="s">
        <v>659</v>
      </c>
      <c r="N11" s="156" t="s">
        <v>655</v>
      </c>
      <c r="O11" s="158">
        <v>45383</v>
      </c>
      <c r="P11" s="158">
        <v>45028</v>
      </c>
      <c r="Q11" s="166"/>
      <c r="R11" s="155" t="s">
        <v>660</v>
      </c>
      <c r="S11" s="160" t="s">
        <v>661</v>
      </c>
      <c r="T11" s="31"/>
      <c r="U11" s="31"/>
      <c r="V11" s="31"/>
      <c r="W11" s="31"/>
      <c r="AF11" s="22"/>
      <c r="AG11" s="22"/>
      <c r="AH11" s="22"/>
      <c r="AI11" s="22"/>
      <c r="AJ11" s="82"/>
      <c r="AK11" s="22"/>
      <c r="AL11" s="22"/>
      <c r="AM11" s="22"/>
      <c r="AN11" s="22"/>
      <c r="AO11" s="22"/>
      <c r="AP11" s="22"/>
      <c r="AQ11" s="22"/>
      <c r="AS11" s="22"/>
      <c r="AT11" s="22"/>
      <c r="AU11" s="22"/>
      <c r="AV11" s="22"/>
      <c r="AW11" s="22"/>
      <c r="AX11" s="22"/>
      <c r="AY11" s="22"/>
      <c r="AZ11" s="22"/>
      <c r="BA11" s="22"/>
      <c r="BB11" s="265"/>
      <c r="BC11" s="22"/>
    </row>
    <row r="12" spans="1:55">
      <c r="A12" s="154">
        <v>2</v>
      </c>
      <c r="B12" s="167" t="s">
        <v>662</v>
      </c>
      <c r="C12" s="168" t="s">
        <v>663</v>
      </c>
      <c r="D12" s="156" t="s">
        <v>626</v>
      </c>
      <c r="E12" s="156" t="s">
        <v>627</v>
      </c>
      <c r="F12" s="156" t="s">
        <v>271</v>
      </c>
      <c r="G12" s="156" t="s">
        <v>627</v>
      </c>
      <c r="H12" s="156" t="s">
        <v>271</v>
      </c>
      <c r="I12" s="156" t="s">
        <v>654</v>
      </c>
      <c r="J12" s="156" t="s">
        <v>654</v>
      </c>
      <c r="K12" s="156" t="s">
        <v>654</v>
      </c>
      <c r="L12" s="155"/>
      <c r="M12" s="156" t="s">
        <v>659</v>
      </c>
      <c r="N12" s="156" t="s">
        <v>655</v>
      </c>
      <c r="O12" s="158">
        <v>45363</v>
      </c>
      <c r="P12" s="158">
        <v>45046</v>
      </c>
      <c r="Q12" s="159" t="s">
        <v>664</v>
      </c>
      <c r="R12" s="155"/>
      <c r="S12" s="160" t="s">
        <v>665</v>
      </c>
      <c r="T12" s="31"/>
      <c r="U12" s="31"/>
      <c r="V12" s="31"/>
      <c r="W12" s="31"/>
      <c r="AF12" s="22"/>
      <c r="AG12" s="22"/>
      <c r="AH12" s="22"/>
      <c r="AI12" s="22"/>
      <c r="AJ12" s="82"/>
      <c r="AK12" s="22"/>
      <c r="AL12" s="22"/>
      <c r="AM12" s="22"/>
      <c r="AN12" s="22"/>
      <c r="AO12" s="22"/>
      <c r="AP12" s="22"/>
      <c r="AQ12" s="22"/>
      <c r="AS12" s="22"/>
      <c r="AT12" s="22"/>
      <c r="AU12" s="22"/>
      <c r="AV12" s="22"/>
      <c r="AW12" s="22"/>
      <c r="AX12" s="22"/>
      <c r="AY12" s="22"/>
      <c r="AZ12" s="22"/>
      <c r="BA12" s="22"/>
      <c r="BB12" s="265"/>
      <c r="BC12" s="22"/>
    </row>
    <row r="13" spans="1:55">
      <c r="A13" s="154">
        <v>2</v>
      </c>
      <c r="B13" s="155" t="s">
        <v>666</v>
      </c>
      <c r="C13" s="168" t="s">
        <v>663</v>
      </c>
      <c r="D13" s="156" t="s">
        <v>14</v>
      </c>
      <c r="E13" s="156" t="s">
        <v>627</v>
      </c>
      <c r="F13" s="156" t="s">
        <v>271</v>
      </c>
      <c r="G13" s="156" t="s">
        <v>627</v>
      </c>
      <c r="H13" s="156" t="s">
        <v>271</v>
      </c>
      <c r="I13" s="156" t="s">
        <v>654</v>
      </c>
      <c r="J13" s="156" t="s">
        <v>654</v>
      </c>
      <c r="K13" s="156" t="s">
        <v>654</v>
      </c>
      <c r="L13" s="155"/>
      <c r="M13" s="156" t="s">
        <v>659</v>
      </c>
      <c r="N13" s="156" t="s">
        <v>655</v>
      </c>
      <c r="O13" s="158">
        <v>45370</v>
      </c>
      <c r="P13" s="158">
        <v>45046</v>
      </c>
      <c r="Q13" s="159" t="s">
        <v>667</v>
      </c>
      <c r="R13" s="155"/>
      <c r="S13" s="160" t="s">
        <v>668</v>
      </c>
      <c r="T13" s="31"/>
      <c r="U13" s="31"/>
      <c r="V13" s="31"/>
      <c r="W13" s="31"/>
      <c r="AF13" s="22"/>
      <c r="AG13" s="22"/>
      <c r="AH13" s="22"/>
      <c r="AI13" s="22"/>
      <c r="AJ13" s="82"/>
      <c r="AK13" s="22"/>
      <c r="AL13" s="22"/>
      <c r="AM13" s="22"/>
      <c r="AN13" s="22"/>
      <c r="AO13" s="22"/>
      <c r="AP13" s="22"/>
      <c r="AQ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</row>
    <row r="14" spans="1:55">
      <c r="A14" s="154">
        <v>2</v>
      </c>
      <c r="B14" s="155" t="s">
        <v>669</v>
      </c>
      <c r="C14" s="168" t="s">
        <v>663</v>
      </c>
      <c r="D14" s="156" t="s">
        <v>626</v>
      </c>
      <c r="E14" s="156" t="s">
        <v>271</v>
      </c>
      <c r="F14" s="156" t="s">
        <v>271</v>
      </c>
      <c r="G14" s="156" t="s">
        <v>271</v>
      </c>
      <c r="H14" s="156" t="s">
        <v>627</v>
      </c>
      <c r="I14" s="156" t="s">
        <v>654</v>
      </c>
      <c r="J14" s="156" t="s">
        <v>654</v>
      </c>
      <c r="K14" s="156" t="s">
        <v>654</v>
      </c>
      <c r="L14" s="155"/>
      <c r="M14" s="156" t="s">
        <v>628</v>
      </c>
      <c r="N14" s="156" t="s">
        <v>655</v>
      </c>
      <c r="O14" s="158">
        <v>45370</v>
      </c>
      <c r="P14" s="158">
        <v>45046</v>
      </c>
      <c r="Q14" s="159" t="s">
        <v>670</v>
      </c>
      <c r="R14" s="162"/>
      <c r="S14" s="162"/>
      <c r="T14" s="31"/>
      <c r="U14" s="31"/>
      <c r="V14" s="31"/>
      <c r="W14" s="31"/>
      <c r="AF14" s="22"/>
      <c r="AG14" s="22"/>
      <c r="AH14" s="22"/>
      <c r="AI14" s="22"/>
      <c r="AJ14" s="82"/>
      <c r="AK14" s="22"/>
      <c r="AL14" s="22"/>
      <c r="AM14" s="22"/>
      <c r="AN14" s="22"/>
      <c r="AO14" s="22"/>
      <c r="AP14" s="22"/>
      <c r="AQ14" s="22"/>
      <c r="AS14" s="22"/>
      <c r="AT14" s="22"/>
      <c r="AU14" s="22"/>
      <c r="AV14" s="22"/>
      <c r="AW14" s="22"/>
      <c r="AX14" s="22"/>
      <c r="AY14" s="22"/>
      <c r="AZ14" s="22"/>
      <c r="BA14" s="22"/>
      <c r="BB14" s="265"/>
      <c r="BC14" s="22"/>
    </row>
    <row r="15" spans="1:55">
      <c r="A15" s="154">
        <v>2</v>
      </c>
      <c r="B15" s="155" t="s">
        <v>671</v>
      </c>
      <c r="C15" s="168" t="s">
        <v>663</v>
      </c>
      <c r="D15" s="156" t="s">
        <v>626</v>
      </c>
      <c r="E15" s="156" t="s">
        <v>271</v>
      </c>
      <c r="F15" s="156" t="s">
        <v>271</v>
      </c>
      <c r="G15" s="156" t="s">
        <v>271</v>
      </c>
      <c r="H15" s="156" t="s">
        <v>271</v>
      </c>
      <c r="I15" s="156" t="s">
        <v>654</v>
      </c>
      <c r="J15" s="156" t="s">
        <v>654</v>
      </c>
      <c r="K15" s="156" t="s">
        <v>654</v>
      </c>
      <c r="L15" s="155"/>
      <c r="M15" s="156" t="s">
        <v>628</v>
      </c>
      <c r="N15" s="156" t="s">
        <v>655</v>
      </c>
      <c r="O15" s="158">
        <v>45370</v>
      </c>
      <c r="P15" s="158">
        <v>45046</v>
      </c>
      <c r="Q15" s="162"/>
      <c r="R15" s="162"/>
      <c r="S15" s="162"/>
      <c r="T15" s="31"/>
      <c r="U15" s="31"/>
      <c r="V15" s="31"/>
      <c r="W15" s="31"/>
      <c r="AF15" s="22"/>
      <c r="AG15" s="22"/>
      <c r="AH15" s="22"/>
      <c r="AI15" s="22"/>
      <c r="AJ15" s="82"/>
      <c r="AK15" s="22"/>
      <c r="AL15" s="22"/>
      <c r="AM15" s="22"/>
      <c r="AN15" s="22"/>
      <c r="AO15" s="22"/>
      <c r="AP15" s="22"/>
      <c r="AQ15" s="22"/>
      <c r="AS15" s="22"/>
      <c r="AT15" s="22"/>
      <c r="AU15" s="22"/>
      <c r="AV15" s="22"/>
      <c r="AW15" s="22"/>
      <c r="AX15" s="22"/>
      <c r="AY15" s="22"/>
      <c r="AZ15" s="22"/>
      <c r="BA15" s="22"/>
      <c r="BB15" s="265"/>
      <c r="BC15" s="22"/>
    </row>
    <row r="16" spans="1:55">
      <c r="A16" s="154">
        <v>2</v>
      </c>
      <c r="B16" s="155" t="s">
        <v>672</v>
      </c>
      <c r="C16" s="165"/>
      <c r="D16" s="156" t="s">
        <v>626</v>
      </c>
      <c r="E16" s="156" t="s">
        <v>271</v>
      </c>
      <c r="F16" s="156" t="s">
        <v>271</v>
      </c>
      <c r="G16" s="156" t="s">
        <v>271</v>
      </c>
      <c r="H16" s="156" t="s">
        <v>271</v>
      </c>
      <c r="I16" s="156" t="s">
        <v>654</v>
      </c>
      <c r="J16" s="156" t="s">
        <v>654</v>
      </c>
      <c r="K16" s="156" t="s">
        <v>654</v>
      </c>
      <c r="L16" s="155"/>
      <c r="M16" s="156" t="s">
        <v>673</v>
      </c>
      <c r="N16" s="156" t="s">
        <v>674</v>
      </c>
      <c r="O16" s="158">
        <v>45363</v>
      </c>
      <c r="P16" s="158">
        <v>45046</v>
      </c>
      <c r="Q16" s="159" t="s">
        <v>675</v>
      </c>
      <c r="R16" s="167"/>
      <c r="S16" s="266" t="s">
        <v>676</v>
      </c>
      <c r="T16" s="31"/>
      <c r="U16" s="31"/>
      <c r="V16" s="31"/>
      <c r="W16" s="31"/>
      <c r="AF16" s="22"/>
      <c r="AG16" s="22"/>
      <c r="AH16" s="22"/>
      <c r="AI16" s="22"/>
      <c r="AJ16" s="82"/>
      <c r="AK16" s="22"/>
      <c r="AL16" s="22"/>
      <c r="AM16" s="22"/>
      <c r="AN16" s="22"/>
      <c r="AO16" s="22"/>
      <c r="AP16" s="22"/>
      <c r="AQ16" s="22"/>
      <c r="AS16" s="22"/>
      <c r="AT16" s="22"/>
      <c r="AU16" s="22"/>
      <c r="AV16" s="22"/>
      <c r="AW16" s="22"/>
      <c r="AX16" s="22"/>
      <c r="AY16" s="22"/>
      <c r="AZ16" s="22"/>
      <c r="BA16" s="22"/>
      <c r="BB16" s="265"/>
      <c r="BC16" s="22"/>
    </row>
    <row r="17" spans="1:55">
      <c r="A17" s="154">
        <v>2</v>
      </c>
      <c r="B17" s="155" t="s">
        <v>677</v>
      </c>
      <c r="C17" s="168" t="s">
        <v>663</v>
      </c>
      <c r="D17" s="156" t="s">
        <v>626</v>
      </c>
      <c r="E17" s="156" t="s">
        <v>627</v>
      </c>
      <c r="F17" s="156" t="s">
        <v>678</v>
      </c>
      <c r="G17" s="156" t="s">
        <v>627</v>
      </c>
      <c r="H17" s="156" t="s">
        <v>271</v>
      </c>
      <c r="I17" s="156" t="s">
        <v>654</v>
      </c>
      <c r="J17" s="156" t="s">
        <v>654</v>
      </c>
      <c r="K17" s="156" t="s">
        <v>654</v>
      </c>
      <c r="L17" s="155"/>
      <c r="M17" s="156" t="s">
        <v>659</v>
      </c>
      <c r="N17" s="156" t="s">
        <v>679</v>
      </c>
      <c r="O17" s="158">
        <v>45383</v>
      </c>
      <c r="P17" s="158">
        <v>45429</v>
      </c>
      <c r="Q17" s="159" t="s">
        <v>680</v>
      </c>
      <c r="R17" s="155"/>
      <c r="S17" s="160" t="s">
        <v>665</v>
      </c>
      <c r="T17" s="31"/>
      <c r="U17" s="31"/>
      <c r="V17" s="31"/>
      <c r="W17" s="31"/>
      <c r="AF17" s="22"/>
      <c r="AG17" s="22"/>
      <c r="AH17" s="22"/>
      <c r="AI17" s="22"/>
      <c r="AJ17" s="82"/>
      <c r="AK17" s="22"/>
      <c r="AL17" s="22"/>
      <c r="AM17" s="22"/>
      <c r="AN17" s="22"/>
      <c r="AO17" s="22"/>
      <c r="AP17" s="22"/>
      <c r="AQ17" s="22"/>
      <c r="AS17" s="22"/>
      <c r="AT17" s="22"/>
      <c r="AU17" s="22"/>
      <c r="AV17" s="22"/>
      <c r="AW17" s="22"/>
      <c r="AX17" s="22"/>
      <c r="AY17" s="22"/>
      <c r="AZ17" s="22"/>
      <c r="BA17" s="22"/>
      <c r="BB17" s="265"/>
      <c r="BC17" s="22"/>
    </row>
    <row r="18" spans="1:55">
      <c r="A18" s="154">
        <v>2</v>
      </c>
      <c r="B18" s="155" t="s">
        <v>681</v>
      </c>
      <c r="C18" s="168" t="s">
        <v>663</v>
      </c>
      <c r="D18" s="156" t="s">
        <v>626</v>
      </c>
      <c r="E18" s="156" t="s">
        <v>627</v>
      </c>
      <c r="F18" s="156" t="s">
        <v>271</v>
      </c>
      <c r="G18" s="156" t="s">
        <v>627</v>
      </c>
      <c r="H18" s="156" t="s">
        <v>271</v>
      </c>
      <c r="I18" s="156" t="s">
        <v>654</v>
      </c>
      <c r="J18" s="156" t="s">
        <v>654</v>
      </c>
      <c r="K18" s="156" t="s">
        <v>654</v>
      </c>
      <c r="L18" s="155"/>
      <c r="M18" s="156" t="s">
        <v>659</v>
      </c>
      <c r="N18" s="156" t="s">
        <v>655</v>
      </c>
      <c r="O18" s="158">
        <v>45383</v>
      </c>
      <c r="P18" s="158">
        <v>45429</v>
      </c>
      <c r="Q18" s="159" t="s">
        <v>682</v>
      </c>
      <c r="R18" s="155"/>
      <c r="S18" s="160" t="s">
        <v>683</v>
      </c>
      <c r="T18" s="31"/>
      <c r="U18" s="31"/>
      <c r="V18" s="31"/>
      <c r="W18" s="31"/>
      <c r="AF18" s="22"/>
      <c r="AG18" s="22"/>
      <c r="AH18" s="22"/>
      <c r="AI18" s="22"/>
      <c r="AJ18" s="82"/>
      <c r="AK18" s="22"/>
      <c r="AL18" s="22"/>
      <c r="AM18" s="22"/>
      <c r="AN18" s="22"/>
      <c r="AO18" s="22"/>
      <c r="AP18" s="22"/>
      <c r="AQ18" s="22"/>
      <c r="AS18" s="22"/>
      <c r="AT18" s="22"/>
      <c r="AU18" s="22"/>
      <c r="AV18" s="22"/>
      <c r="AW18" s="22"/>
      <c r="AX18" s="22"/>
      <c r="AY18" s="22"/>
      <c r="AZ18" s="22"/>
      <c r="BA18" s="22"/>
      <c r="BB18" s="265"/>
      <c r="BC18" s="22"/>
    </row>
    <row r="19" spans="1:55">
      <c r="A19" s="154">
        <v>2</v>
      </c>
      <c r="B19" s="155" t="s">
        <v>684</v>
      </c>
      <c r="C19" s="169"/>
      <c r="D19" s="156" t="s">
        <v>14</v>
      </c>
      <c r="E19" s="156" t="s">
        <v>271</v>
      </c>
      <c r="F19" s="156" t="s">
        <v>678</v>
      </c>
      <c r="G19" s="156" t="s">
        <v>678</v>
      </c>
      <c r="H19" s="156" t="s">
        <v>678</v>
      </c>
      <c r="I19" s="156" t="s">
        <v>654</v>
      </c>
      <c r="J19" s="156" t="s">
        <v>654</v>
      </c>
      <c r="K19" s="156" t="s">
        <v>654</v>
      </c>
      <c r="L19" s="155"/>
      <c r="M19" s="156" t="s">
        <v>650</v>
      </c>
      <c r="N19" s="156" t="s">
        <v>679</v>
      </c>
      <c r="O19" s="162"/>
      <c r="P19" s="162"/>
      <c r="Q19" s="155"/>
      <c r="R19" s="155"/>
      <c r="S19" s="160" t="s">
        <v>685</v>
      </c>
      <c r="T19" s="31"/>
      <c r="U19" s="31"/>
      <c r="V19" s="31"/>
      <c r="W19" s="31"/>
      <c r="AF19" s="22"/>
      <c r="AG19" s="22"/>
      <c r="AH19" s="22"/>
      <c r="AI19" s="22"/>
      <c r="AJ19" s="82"/>
      <c r="AK19" s="22"/>
      <c r="AL19" s="22"/>
      <c r="AM19" s="22"/>
      <c r="AN19" s="22"/>
      <c r="AO19" s="22"/>
      <c r="AP19" s="22"/>
      <c r="AQ19" s="22"/>
      <c r="AS19" s="22"/>
      <c r="AT19" s="22"/>
      <c r="AU19" s="22"/>
      <c r="AV19" s="22"/>
      <c r="AW19" s="22"/>
      <c r="AX19" s="22"/>
      <c r="AY19" s="22"/>
      <c r="AZ19" s="22"/>
      <c r="BA19" s="22"/>
      <c r="BB19" s="265"/>
      <c r="BC19" s="22"/>
    </row>
    <row r="20" spans="1:55">
      <c r="A20" s="154">
        <v>2</v>
      </c>
      <c r="B20" s="155" t="s">
        <v>686</v>
      </c>
      <c r="C20" s="169"/>
      <c r="D20" s="156" t="s">
        <v>14</v>
      </c>
      <c r="E20" s="156" t="s">
        <v>271</v>
      </c>
      <c r="F20" s="156" t="s">
        <v>678</v>
      </c>
      <c r="G20" s="156" t="s">
        <v>678</v>
      </c>
      <c r="H20" s="156" t="s">
        <v>678</v>
      </c>
      <c r="I20" s="156" t="s">
        <v>654</v>
      </c>
      <c r="J20" s="156" t="s">
        <v>654</v>
      </c>
      <c r="K20" s="156" t="s">
        <v>654</v>
      </c>
      <c r="L20" s="155"/>
      <c r="M20" s="156" t="s">
        <v>628</v>
      </c>
      <c r="N20" s="156" t="s">
        <v>655</v>
      </c>
      <c r="O20" s="162"/>
      <c r="P20" s="162"/>
      <c r="Q20" s="162"/>
      <c r="R20" s="162"/>
      <c r="S20" s="162"/>
      <c r="T20" s="31"/>
      <c r="U20" s="31"/>
      <c r="V20" s="31"/>
      <c r="W20" s="31"/>
      <c r="AF20" s="22"/>
      <c r="AG20" s="22"/>
      <c r="AH20" s="22"/>
      <c r="AI20" s="22"/>
      <c r="AJ20" s="82"/>
      <c r="AK20" s="22"/>
      <c r="AL20" s="22"/>
      <c r="AM20" s="22"/>
      <c r="AN20" s="22"/>
      <c r="AO20" s="22"/>
      <c r="AP20" s="22"/>
      <c r="AQ20" s="22"/>
      <c r="AS20" s="22"/>
      <c r="AT20" s="22"/>
      <c r="AU20" s="22"/>
      <c r="AV20" s="22"/>
      <c r="AW20" s="22"/>
      <c r="AX20" s="22"/>
      <c r="AY20" s="22"/>
      <c r="AZ20" s="22"/>
      <c r="BA20" s="22"/>
      <c r="BB20" s="265"/>
      <c r="BC20" s="22"/>
    </row>
    <row r="21" spans="1:55">
      <c r="A21" s="154">
        <v>2</v>
      </c>
      <c r="B21" s="155" t="s">
        <v>687</v>
      </c>
      <c r="C21" s="169"/>
      <c r="D21" s="156" t="s">
        <v>14</v>
      </c>
      <c r="E21" s="156" t="s">
        <v>271</v>
      </c>
      <c r="F21" s="156" t="s">
        <v>678</v>
      </c>
      <c r="G21" s="156" t="s">
        <v>678</v>
      </c>
      <c r="H21" s="156" t="s">
        <v>678</v>
      </c>
      <c r="I21" s="156" t="s">
        <v>654</v>
      </c>
      <c r="J21" s="156" t="s">
        <v>654</v>
      </c>
      <c r="K21" s="156" t="s">
        <v>654</v>
      </c>
      <c r="L21" s="155"/>
      <c r="M21" s="156" t="s">
        <v>646</v>
      </c>
      <c r="N21" s="156" t="s">
        <v>679</v>
      </c>
      <c r="O21" s="162"/>
      <c r="P21" s="162"/>
      <c r="Q21" s="155"/>
      <c r="R21" s="155"/>
      <c r="S21" s="160" t="s">
        <v>688</v>
      </c>
      <c r="T21" s="31"/>
      <c r="U21" s="31"/>
      <c r="V21" s="31"/>
      <c r="W21" s="31"/>
      <c r="AF21" s="22"/>
      <c r="AG21" s="22"/>
      <c r="AH21" s="22"/>
      <c r="AI21" s="22"/>
      <c r="AJ21" s="82"/>
      <c r="AK21" s="22"/>
      <c r="AL21" s="22"/>
      <c r="AM21" s="22"/>
      <c r="AN21" s="22"/>
      <c r="AO21" s="22"/>
      <c r="AP21" s="22"/>
      <c r="AQ21" s="22"/>
      <c r="AS21" s="22"/>
      <c r="AT21" s="22"/>
      <c r="AU21" s="22"/>
      <c r="AV21" s="22"/>
      <c r="AW21" s="22"/>
      <c r="AX21" s="22"/>
      <c r="AY21" s="22"/>
      <c r="AZ21" s="22"/>
      <c r="BA21" s="22"/>
      <c r="BB21" s="265"/>
      <c r="BC21" s="22"/>
    </row>
    <row r="22" spans="1:55">
      <c r="A22" s="154">
        <v>2</v>
      </c>
      <c r="B22" s="155" t="s">
        <v>689</v>
      </c>
      <c r="C22" s="169"/>
      <c r="D22" s="156" t="s">
        <v>14</v>
      </c>
      <c r="E22" s="156" t="s">
        <v>271</v>
      </c>
      <c r="F22" s="156" t="s">
        <v>678</v>
      </c>
      <c r="G22" s="156" t="s">
        <v>678</v>
      </c>
      <c r="H22" s="156" t="s">
        <v>678</v>
      </c>
      <c r="I22" s="156" t="s">
        <v>654</v>
      </c>
      <c r="J22" s="156" t="s">
        <v>654</v>
      </c>
      <c r="K22" s="156" t="s">
        <v>654</v>
      </c>
      <c r="L22" s="155"/>
      <c r="M22" s="156" t="s">
        <v>690</v>
      </c>
      <c r="N22" s="156" t="s">
        <v>655</v>
      </c>
      <c r="O22" s="162"/>
      <c r="P22" s="162"/>
      <c r="Q22" s="155"/>
      <c r="R22" s="155"/>
      <c r="S22" s="160" t="s">
        <v>691</v>
      </c>
      <c r="T22" s="31"/>
      <c r="U22" s="31"/>
      <c r="V22" s="31"/>
      <c r="W22" s="31"/>
      <c r="AF22" s="22"/>
      <c r="AG22" s="22"/>
      <c r="AH22" s="22"/>
      <c r="AI22" s="22"/>
      <c r="AJ22" s="82"/>
      <c r="AK22" s="22"/>
      <c r="AL22" s="22"/>
      <c r="AM22" s="22"/>
      <c r="AN22" s="22"/>
      <c r="AO22" s="22"/>
      <c r="AP22" s="22"/>
      <c r="AQ22" s="22"/>
      <c r="AS22" s="22"/>
      <c r="AT22" s="22"/>
      <c r="AU22" s="22"/>
      <c r="AV22" s="22"/>
      <c r="AW22" s="22"/>
      <c r="AX22" s="22"/>
      <c r="AY22" s="22"/>
      <c r="AZ22" s="22"/>
      <c r="BA22" s="22"/>
      <c r="BB22" s="265"/>
      <c r="BC22" s="22"/>
    </row>
    <row r="23" spans="1:55">
      <c r="A23" s="154">
        <v>3</v>
      </c>
      <c r="B23" s="161" t="s">
        <v>692</v>
      </c>
      <c r="C23" s="168" t="s">
        <v>693</v>
      </c>
      <c r="D23" s="156" t="s">
        <v>626</v>
      </c>
      <c r="E23" s="156" t="s">
        <v>271</v>
      </c>
      <c r="F23" s="156" t="s">
        <v>678</v>
      </c>
      <c r="G23" s="156" t="s">
        <v>271</v>
      </c>
      <c r="H23" s="156" t="s">
        <v>678</v>
      </c>
      <c r="I23" s="156" t="s">
        <v>654</v>
      </c>
      <c r="J23" s="156" t="s">
        <v>654</v>
      </c>
      <c r="K23" s="156" t="s">
        <v>654</v>
      </c>
      <c r="L23" s="155"/>
      <c r="M23" s="156" t="s">
        <v>673</v>
      </c>
      <c r="N23" s="156" t="s">
        <v>679</v>
      </c>
      <c r="O23" s="158">
        <v>45383</v>
      </c>
      <c r="P23" s="158">
        <v>45429</v>
      </c>
      <c r="Q23" s="155" t="s">
        <v>694</v>
      </c>
      <c r="R23" s="155"/>
      <c r="S23" s="160" t="s">
        <v>695</v>
      </c>
      <c r="T23" s="31"/>
      <c r="U23" s="31"/>
      <c r="V23" s="31"/>
      <c r="W23" s="31"/>
      <c r="AF23" s="22"/>
      <c r="AG23" s="22"/>
      <c r="AH23" s="22"/>
      <c r="AI23" s="22"/>
      <c r="AJ23" s="82"/>
      <c r="AK23" s="22"/>
      <c r="AL23" s="22"/>
      <c r="AM23" s="22"/>
      <c r="AN23" s="22"/>
      <c r="AO23" s="22"/>
      <c r="AP23" s="22"/>
      <c r="AQ23" s="22"/>
      <c r="AS23" s="22"/>
      <c r="AT23" s="22"/>
      <c r="AU23" s="22"/>
      <c r="AV23" s="22"/>
      <c r="AW23" s="22"/>
      <c r="AX23" s="22"/>
      <c r="AY23" s="22"/>
      <c r="AZ23" s="22"/>
      <c r="BA23" s="22"/>
      <c r="BB23" s="265"/>
      <c r="BC23" s="22"/>
    </row>
    <row r="24" spans="1:55">
      <c r="A24" s="154">
        <v>3</v>
      </c>
      <c r="B24" s="161" t="s">
        <v>696</v>
      </c>
      <c r="C24" s="168" t="s">
        <v>693</v>
      </c>
      <c r="D24" s="156" t="s">
        <v>626</v>
      </c>
      <c r="E24" s="156" t="s">
        <v>271</v>
      </c>
      <c r="F24" s="156" t="s">
        <v>678</v>
      </c>
      <c r="G24" s="156" t="s">
        <v>271</v>
      </c>
      <c r="H24" s="156" t="s">
        <v>678</v>
      </c>
      <c r="I24" s="156" t="s">
        <v>654</v>
      </c>
      <c r="J24" s="156" t="s">
        <v>654</v>
      </c>
      <c r="K24" s="156" t="s">
        <v>654</v>
      </c>
      <c r="L24" s="155"/>
      <c r="M24" s="156" t="s">
        <v>673</v>
      </c>
      <c r="N24" s="156" t="s">
        <v>679</v>
      </c>
      <c r="O24" s="158">
        <v>45383</v>
      </c>
      <c r="P24" s="158">
        <v>45429</v>
      </c>
      <c r="Q24" s="159" t="s">
        <v>697</v>
      </c>
      <c r="R24" s="155"/>
      <c r="S24" s="160" t="s">
        <v>698</v>
      </c>
      <c r="T24" s="31"/>
      <c r="U24" s="31"/>
      <c r="V24" s="31"/>
      <c r="W24" s="31"/>
      <c r="AF24" s="22"/>
      <c r="AG24" s="22"/>
      <c r="AH24" s="22"/>
      <c r="AI24" s="22"/>
      <c r="AJ24" s="82"/>
      <c r="AK24" s="22"/>
      <c r="AL24" s="22"/>
      <c r="AM24" s="22"/>
      <c r="AN24" s="22"/>
      <c r="AO24" s="22"/>
      <c r="AP24" s="22"/>
      <c r="AQ24" s="22"/>
      <c r="AS24" s="22"/>
      <c r="AT24" s="22"/>
      <c r="AU24" s="22"/>
      <c r="AV24" s="22"/>
      <c r="AW24" s="22"/>
      <c r="AX24" s="22"/>
      <c r="AY24" s="22"/>
      <c r="AZ24" s="22"/>
      <c r="BA24" s="22"/>
      <c r="BB24" s="265"/>
      <c r="BC24" s="22"/>
    </row>
    <row r="25" spans="1:55" ht="16.5" customHeight="1">
      <c r="A25" s="154">
        <v>3</v>
      </c>
      <c r="B25" s="155" t="s">
        <v>699</v>
      </c>
      <c r="C25" s="168" t="s">
        <v>693</v>
      </c>
      <c r="D25" s="156" t="s">
        <v>626</v>
      </c>
      <c r="E25" s="156" t="s">
        <v>678</v>
      </c>
      <c r="F25" s="156" t="s">
        <v>678</v>
      </c>
      <c r="G25" s="156" t="s">
        <v>678</v>
      </c>
      <c r="H25" s="156" t="s">
        <v>271</v>
      </c>
      <c r="I25" s="156" t="s">
        <v>654</v>
      </c>
      <c r="J25" s="156" t="s">
        <v>654</v>
      </c>
      <c r="K25" s="156" t="s">
        <v>654</v>
      </c>
      <c r="L25" s="155"/>
      <c r="M25" s="156" t="s">
        <v>628</v>
      </c>
      <c r="N25" s="156" t="s">
        <v>655</v>
      </c>
      <c r="O25" s="162"/>
      <c r="P25" s="162"/>
      <c r="Q25" s="155" t="s">
        <v>700</v>
      </c>
      <c r="R25" s="162"/>
      <c r="S25" s="162"/>
      <c r="T25" s="31"/>
      <c r="U25" s="31"/>
      <c r="V25" s="31"/>
      <c r="W25" s="31"/>
      <c r="AF25" s="22"/>
      <c r="AG25" s="22"/>
      <c r="AH25" s="22"/>
      <c r="AI25" s="22"/>
      <c r="AJ25" s="82"/>
      <c r="AK25" s="22"/>
      <c r="AL25" s="22"/>
      <c r="AM25" s="22"/>
      <c r="AN25" s="22"/>
      <c r="AO25" s="22"/>
      <c r="AP25" s="22"/>
      <c r="AQ25" s="22"/>
      <c r="AS25" s="22"/>
      <c r="AT25" s="22"/>
      <c r="AU25" s="22"/>
      <c r="AV25" s="22"/>
      <c r="AW25" s="22"/>
      <c r="AX25" s="22"/>
      <c r="AY25" s="22"/>
      <c r="AZ25" s="22"/>
      <c r="BA25" s="22"/>
      <c r="BB25" s="265"/>
      <c r="BC25" s="22"/>
    </row>
    <row r="26" spans="1:55">
      <c r="A26" s="154">
        <v>3</v>
      </c>
      <c r="B26" s="155" t="s">
        <v>701</v>
      </c>
      <c r="C26" s="168" t="s">
        <v>663</v>
      </c>
      <c r="D26" s="156" t="s">
        <v>626</v>
      </c>
      <c r="E26" s="156" t="s">
        <v>678</v>
      </c>
      <c r="F26" s="156" t="s">
        <v>678</v>
      </c>
      <c r="G26" s="156" t="s">
        <v>678</v>
      </c>
      <c r="H26" s="156" t="s">
        <v>678</v>
      </c>
      <c r="I26" s="156" t="s">
        <v>654</v>
      </c>
      <c r="J26" s="156" t="s">
        <v>654</v>
      </c>
      <c r="K26" s="156" t="s">
        <v>654</v>
      </c>
      <c r="L26" s="155"/>
      <c r="M26" s="156" t="s">
        <v>659</v>
      </c>
      <c r="N26" s="156" t="s">
        <v>655</v>
      </c>
      <c r="O26" s="162"/>
      <c r="P26" s="162"/>
      <c r="Q26" s="162"/>
      <c r="R26" s="162"/>
      <c r="S26" s="162"/>
      <c r="T26" s="31"/>
      <c r="U26" s="31"/>
      <c r="V26" s="31"/>
      <c r="W26" s="31"/>
      <c r="AF26" s="22"/>
      <c r="AG26" s="22"/>
      <c r="AH26" s="22"/>
      <c r="AI26" s="22"/>
      <c r="AJ26" s="82"/>
      <c r="AK26" s="22"/>
      <c r="AL26" s="22"/>
      <c r="AM26" s="22"/>
      <c r="AN26" s="22"/>
      <c r="AO26" s="22"/>
      <c r="AP26" s="22"/>
      <c r="AQ26" s="22"/>
      <c r="AS26" s="22"/>
      <c r="AT26" s="22"/>
      <c r="AU26" s="22"/>
      <c r="AV26" s="22"/>
      <c r="AW26" s="22"/>
      <c r="AX26" s="22"/>
      <c r="AY26" s="22"/>
      <c r="AZ26" s="22"/>
      <c r="BA26" s="22"/>
      <c r="BB26" s="265"/>
      <c r="BC26" s="22"/>
    </row>
    <row r="27" spans="1:55">
      <c r="A27" s="154">
        <v>3</v>
      </c>
      <c r="B27" s="155" t="s">
        <v>702</v>
      </c>
      <c r="C27" s="168" t="s">
        <v>693</v>
      </c>
      <c r="D27" s="156" t="s">
        <v>626</v>
      </c>
      <c r="E27" s="156" t="s">
        <v>678</v>
      </c>
      <c r="F27" s="156" t="s">
        <v>678</v>
      </c>
      <c r="G27" s="156" t="s">
        <v>678</v>
      </c>
      <c r="H27" s="156" t="s">
        <v>678</v>
      </c>
      <c r="I27" s="156" t="s">
        <v>654</v>
      </c>
      <c r="J27" s="156" t="s">
        <v>654</v>
      </c>
      <c r="K27" s="156" t="s">
        <v>654</v>
      </c>
      <c r="L27" s="155"/>
      <c r="M27" s="156" t="s">
        <v>628</v>
      </c>
      <c r="N27" s="156" t="s">
        <v>655</v>
      </c>
      <c r="O27" s="162"/>
      <c r="P27" s="162"/>
      <c r="Q27" s="162"/>
      <c r="R27" s="162"/>
      <c r="S27" s="162"/>
      <c r="T27" s="31"/>
      <c r="U27" s="31"/>
      <c r="V27" s="31"/>
      <c r="W27" s="31"/>
      <c r="AF27" s="22"/>
      <c r="AG27" s="22"/>
      <c r="AH27" s="22"/>
      <c r="AI27" s="22"/>
      <c r="AJ27" s="82"/>
      <c r="AK27" s="22"/>
      <c r="AL27" s="22"/>
      <c r="AM27" s="22"/>
      <c r="AN27" s="22"/>
      <c r="AO27" s="22"/>
      <c r="AP27" s="22"/>
      <c r="AQ27" s="22"/>
      <c r="AS27" s="22"/>
      <c r="AT27" s="22"/>
      <c r="AU27" s="22"/>
      <c r="AV27" s="22"/>
      <c r="AW27" s="22"/>
      <c r="AX27" s="22"/>
      <c r="AY27" s="22"/>
      <c r="AZ27" s="22"/>
      <c r="BA27" s="22"/>
      <c r="BB27" s="265"/>
      <c r="BC27" s="22"/>
    </row>
    <row r="28" spans="1:55">
      <c r="A28" s="154">
        <v>3</v>
      </c>
      <c r="B28" s="155" t="s">
        <v>703</v>
      </c>
      <c r="C28" s="168" t="s">
        <v>663</v>
      </c>
      <c r="D28" s="156" t="s">
        <v>626</v>
      </c>
      <c r="E28" s="156" t="s">
        <v>678</v>
      </c>
      <c r="F28" s="156" t="s">
        <v>678</v>
      </c>
      <c r="G28" s="156" t="s">
        <v>678</v>
      </c>
      <c r="H28" s="156" t="s">
        <v>678</v>
      </c>
      <c r="I28" s="156" t="s">
        <v>654</v>
      </c>
      <c r="J28" s="156" t="s">
        <v>654</v>
      </c>
      <c r="K28" s="156" t="s">
        <v>654</v>
      </c>
      <c r="L28" s="155"/>
      <c r="M28" s="156" t="s">
        <v>628</v>
      </c>
      <c r="N28" s="156" t="s">
        <v>655</v>
      </c>
      <c r="O28" s="162"/>
      <c r="P28" s="162"/>
      <c r="Q28" s="162"/>
      <c r="R28" s="162"/>
      <c r="S28" s="162"/>
      <c r="BC28" s="22"/>
    </row>
    <row r="29" spans="1:55">
      <c r="A29" s="154">
        <v>3</v>
      </c>
      <c r="B29" s="155" t="s">
        <v>704</v>
      </c>
      <c r="C29" s="168" t="s">
        <v>693</v>
      </c>
      <c r="D29" s="156" t="s">
        <v>626</v>
      </c>
      <c r="E29" s="156" t="s">
        <v>678</v>
      </c>
      <c r="F29" s="156" t="s">
        <v>678</v>
      </c>
      <c r="G29" s="156" t="s">
        <v>678</v>
      </c>
      <c r="H29" s="156" t="s">
        <v>678</v>
      </c>
      <c r="I29" s="156" t="s">
        <v>654</v>
      </c>
      <c r="J29" s="156" t="s">
        <v>654</v>
      </c>
      <c r="K29" s="156" t="s">
        <v>654</v>
      </c>
      <c r="L29" s="155"/>
      <c r="M29" s="156" t="s">
        <v>628</v>
      </c>
      <c r="N29" s="156" t="s">
        <v>655</v>
      </c>
      <c r="O29" s="162"/>
      <c r="P29" s="162"/>
      <c r="Q29" s="162"/>
      <c r="R29" s="162"/>
      <c r="S29" s="162"/>
      <c r="BC29" s="22"/>
    </row>
    <row r="30" spans="1:55">
      <c r="A30" s="154">
        <v>3</v>
      </c>
      <c r="B30" s="155" t="s">
        <v>705</v>
      </c>
      <c r="C30" s="168" t="s">
        <v>693</v>
      </c>
      <c r="D30" s="156" t="s">
        <v>626</v>
      </c>
      <c r="E30" s="156" t="s">
        <v>678</v>
      </c>
      <c r="F30" s="156" t="s">
        <v>678</v>
      </c>
      <c r="G30" s="156" t="s">
        <v>678</v>
      </c>
      <c r="H30" s="156" t="s">
        <v>678</v>
      </c>
      <c r="I30" s="156" t="s">
        <v>654</v>
      </c>
      <c r="J30" s="156" t="s">
        <v>654</v>
      </c>
      <c r="K30" s="156" t="s">
        <v>654</v>
      </c>
      <c r="L30" s="155"/>
      <c r="M30" s="156" t="s">
        <v>628</v>
      </c>
      <c r="N30" s="156" t="s">
        <v>655</v>
      </c>
      <c r="O30" s="162"/>
      <c r="P30" s="162"/>
      <c r="Q30" s="162"/>
      <c r="R30" s="162"/>
      <c r="S30" s="162"/>
      <c r="BC30" s="22"/>
    </row>
    <row r="31" spans="1:55">
      <c r="A31" s="154">
        <v>3</v>
      </c>
      <c r="B31" s="155" t="s">
        <v>706</v>
      </c>
      <c r="C31" s="168" t="s">
        <v>663</v>
      </c>
      <c r="D31" s="156" t="s">
        <v>626</v>
      </c>
      <c r="E31" s="156" t="s">
        <v>678</v>
      </c>
      <c r="F31" s="156" t="s">
        <v>678</v>
      </c>
      <c r="G31" s="156" t="s">
        <v>678</v>
      </c>
      <c r="H31" s="156" t="s">
        <v>678</v>
      </c>
      <c r="I31" s="156" t="s">
        <v>654</v>
      </c>
      <c r="J31" s="156" t="s">
        <v>654</v>
      </c>
      <c r="K31" s="156" t="s">
        <v>654</v>
      </c>
      <c r="L31" s="155"/>
      <c r="M31" s="156" t="s">
        <v>659</v>
      </c>
      <c r="N31" s="156" t="s">
        <v>655</v>
      </c>
      <c r="O31" s="162"/>
      <c r="P31" s="162"/>
      <c r="Q31" s="159" t="s">
        <v>707</v>
      </c>
      <c r="R31" s="162"/>
      <c r="S31" s="162"/>
      <c r="BC31" s="22"/>
    </row>
    <row r="32" spans="1:55">
      <c r="A32" s="154">
        <v>3</v>
      </c>
      <c r="B32" s="155" t="s">
        <v>708</v>
      </c>
      <c r="C32" s="168" t="s">
        <v>709</v>
      </c>
      <c r="D32" s="156" t="s">
        <v>626</v>
      </c>
      <c r="E32" s="156" t="s">
        <v>678</v>
      </c>
      <c r="F32" s="156" t="s">
        <v>678</v>
      </c>
      <c r="G32" s="156" t="s">
        <v>678</v>
      </c>
      <c r="H32" s="156" t="s">
        <v>678</v>
      </c>
      <c r="I32" s="156" t="s">
        <v>654</v>
      </c>
      <c r="J32" s="156" t="s">
        <v>654</v>
      </c>
      <c r="K32" s="156" t="s">
        <v>654</v>
      </c>
      <c r="L32" s="155"/>
      <c r="M32" s="156" t="s">
        <v>659</v>
      </c>
      <c r="N32" s="156" t="s">
        <v>655</v>
      </c>
      <c r="O32" s="162"/>
      <c r="P32" s="162"/>
      <c r="Q32" s="162"/>
      <c r="R32" s="162"/>
      <c r="S32" s="162"/>
      <c r="BC32" s="22"/>
    </row>
    <row r="33" spans="1:55">
      <c r="A33" s="170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62"/>
      <c r="P33" s="162"/>
      <c r="Q33" s="162"/>
      <c r="R33" s="162"/>
      <c r="S33" s="162"/>
      <c r="BC33" s="22"/>
    </row>
    <row r="34" spans="1:55">
      <c r="B34" s="11"/>
      <c r="Q34" s="11"/>
      <c r="R34" s="11"/>
      <c r="BC34" s="22"/>
    </row>
    <row r="35" spans="1:55">
      <c r="B35" s="11"/>
      <c r="I35" s="101"/>
      <c r="Q35" s="11"/>
      <c r="R35" s="11"/>
      <c r="BC35" s="22"/>
    </row>
    <row r="36" spans="1:55">
      <c r="B36" s="11"/>
      <c r="Q36" s="11"/>
      <c r="R36" s="11"/>
      <c r="BC36" s="22"/>
    </row>
    <row r="37" spans="1:55">
      <c r="B37" s="11"/>
      <c r="Q37" s="11"/>
      <c r="R37" s="11"/>
      <c r="BC37" s="22"/>
    </row>
    <row r="38" spans="1:55">
      <c r="B38" s="11"/>
      <c r="Q38" s="11"/>
      <c r="R38" s="11"/>
      <c r="BC38" s="22"/>
    </row>
    <row r="39" spans="1:55">
      <c r="B39" s="11"/>
      <c r="Q39" s="11"/>
      <c r="R39" s="11"/>
      <c r="BC39" s="22"/>
    </row>
    <row r="40" spans="1:55">
      <c r="B40" s="11"/>
      <c r="Q40" s="11"/>
      <c r="R40" s="11"/>
      <c r="BC40" s="22"/>
    </row>
    <row r="41" spans="1:55">
      <c r="B41" s="11"/>
      <c r="Q41" s="11"/>
      <c r="R41" s="11"/>
      <c r="BC41" s="22"/>
    </row>
    <row r="42" spans="1:55">
      <c r="B42" s="11"/>
      <c r="Q42" s="11"/>
      <c r="R42" s="11"/>
      <c r="BC42" s="22"/>
    </row>
    <row r="43" spans="1:55">
      <c r="B43" s="11"/>
      <c r="Q43" s="11"/>
      <c r="R43" s="11"/>
      <c r="BC43" s="22"/>
    </row>
    <row r="44" spans="1:55">
      <c r="B44" s="11"/>
      <c r="Q44" s="11"/>
      <c r="R44" s="11"/>
      <c r="BC44" s="22"/>
    </row>
    <row r="45" spans="1:55">
      <c r="B45" s="11"/>
      <c r="Q45" s="11"/>
      <c r="R45" s="11"/>
      <c r="BC45" s="22"/>
    </row>
    <row r="46" spans="1:55">
      <c r="B46" s="11"/>
      <c r="Q46" s="11"/>
      <c r="R46" s="11"/>
      <c r="BC46" s="22"/>
    </row>
    <row r="47" spans="1:55">
      <c r="B47" s="11"/>
      <c r="Q47" s="11"/>
      <c r="R47" s="11"/>
      <c r="BC47" s="22"/>
    </row>
    <row r="48" spans="1:55">
      <c r="B48" s="11"/>
      <c r="Q48" s="11"/>
      <c r="R48" s="11"/>
      <c r="BC48" s="22"/>
    </row>
    <row r="49" spans="2:55">
      <c r="B49" s="11"/>
      <c r="Q49" s="11"/>
      <c r="R49" s="11"/>
      <c r="BC49" s="22"/>
    </row>
    <row r="50" spans="2:55">
      <c r="B50" s="11"/>
      <c r="Q50" s="11"/>
      <c r="R50" s="11"/>
      <c r="BC50" s="22"/>
    </row>
    <row r="51" spans="2:55">
      <c r="B51" s="11"/>
      <c r="Q51" s="11"/>
      <c r="R51" s="11"/>
      <c r="BC51" s="22"/>
    </row>
    <row r="52" spans="2:55">
      <c r="B52" s="11"/>
      <c r="Q52" s="11"/>
      <c r="R52" s="11"/>
      <c r="BC52" s="22"/>
    </row>
    <row r="53" spans="2:55">
      <c r="B53" s="11"/>
      <c r="Q53" s="11"/>
      <c r="R53" s="11"/>
      <c r="BC53" s="22"/>
    </row>
    <row r="54" spans="2:55">
      <c r="B54" s="11"/>
      <c r="Q54" s="11"/>
      <c r="R54" s="11"/>
      <c r="BC54" s="22"/>
    </row>
    <row r="55" spans="2:55">
      <c r="B55" s="11"/>
      <c r="Q55" s="11"/>
      <c r="R55" s="11"/>
      <c r="BC55" s="22"/>
    </row>
    <row r="56" spans="2:55">
      <c r="B56" s="11"/>
      <c r="Q56" s="11"/>
      <c r="R56" s="11"/>
      <c r="BC56" s="22"/>
    </row>
    <row r="57" spans="2:55">
      <c r="B57" s="11"/>
      <c r="Q57" s="11"/>
      <c r="R57" s="11"/>
    </row>
    <row r="58" spans="2:55">
      <c r="B58" s="11"/>
      <c r="Q58" s="11"/>
      <c r="R58" s="11"/>
    </row>
    <row r="59" spans="2:55">
      <c r="B59" s="11"/>
      <c r="Q59" s="11"/>
      <c r="R59" s="11"/>
    </row>
    <row r="60" spans="2:55">
      <c r="B60" s="11"/>
      <c r="Q60" s="11"/>
      <c r="R60" s="11"/>
    </row>
    <row r="61" spans="2:55">
      <c r="B61" s="11"/>
      <c r="Q61" s="11"/>
      <c r="R61" s="11"/>
    </row>
    <row r="62" spans="2:55">
      <c r="B62" s="11"/>
      <c r="Q62" s="11"/>
      <c r="R62" s="11"/>
    </row>
    <row r="63" spans="2:55">
      <c r="B63" s="11"/>
      <c r="Q63" s="11"/>
      <c r="R63" s="11"/>
    </row>
    <row r="64" spans="2:55">
      <c r="B64" s="11"/>
      <c r="Q64" s="11"/>
      <c r="R64" s="11"/>
    </row>
    <row r="65" spans="2:18">
      <c r="B65" s="11"/>
      <c r="Q65" s="11"/>
      <c r="R65" s="11"/>
    </row>
    <row r="66" spans="2:18">
      <c r="B66" s="11"/>
      <c r="Q66" s="11"/>
      <c r="R66" s="11"/>
    </row>
    <row r="67" spans="2:18">
      <c r="B67" s="11"/>
      <c r="Q67" s="11"/>
      <c r="R67" s="11"/>
    </row>
    <row r="68" spans="2:18">
      <c r="B68" s="11"/>
      <c r="Q68" s="11"/>
      <c r="R68" s="11"/>
    </row>
    <row r="69" spans="2:18">
      <c r="B69" s="11"/>
      <c r="Q69" s="11"/>
      <c r="R69" s="11"/>
    </row>
    <row r="70" spans="2:18">
      <c r="B70" s="11"/>
      <c r="Q70" s="11"/>
      <c r="R70" s="11"/>
    </row>
    <row r="71" spans="2:18">
      <c r="B71" s="11"/>
      <c r="Q71" s="11"/>
      <c r="R71" s="11"/>
    </row>
    <row r="72" spans="2:18">
      <c r="B72" s="11"/>
      <c r="Q72" s="11"/>
      <c r="R72" s="11"/>
    </row>
    <row r="73" spans="2:18">
      <c r="B73" s="11"/>
      <c r="Q73" s="11"/>
      <c r="R73" s="11"/>
    </row>
    <row r="74" spans="2:18">
      <c r="B74" s="11"/>
      <c r="Q74" s="11"/>
      <c r="R74" s="11"/>
    </row>
    <row r="75" spans="2:18">
      <c r="B75" s="11"/>
      <c r="Q75" s="11"/>
      <c r="R75" s="11"/>
    </row>
    <row r="76" spans="2:18">
      <c r="B76" s="11"/>
      <c r="Q76" s="11"/>
      <c r="R76" s="11"/>
    </row>
    <row r="77" spans="2:18">
      <c r="B77" s="11"/>
      <c r="Q77" s="11"/>
      <c r="R77" s="11"/>
    </row>
    <row r="78" spans="2:18">
      <c r="B78" s="11"/>
      <c r="Q78" s="11"/>
      <c r="R78" s="11"/>
    </row>
    <row r="79" spans="2:18">
      <c r="B79" s="11"/>
      <c r="Q79" s="11"/>
      <c r="R79" s="11"/>
    </row>
    <row r="80" spans="2:18">
      <c r="B80" s="11"/>
      <c r="Q80" s="11"/>
      <c r="R80" s="11"/>
    </row>
    <row r="81" spans="2:18">
      <c r="B81" s="11"/>
      <c r="Q81" s="11"/>
      <c r="R81" s="11"/>
    </row>
    <row r="82" spans="2:18">
      <c r="B82" s="11"/>
      <c r="Q82" s="11"/>
      <c r="R82" s="11"/>
    </row>
    <row r="83" spans="2:18">
      <c r="B83" s="11"/>
      <c r="Q83" s="11"/>
      <c r="R83" s="11"/>
    </row>
    <row r="84" spans="2:18">
      <c r="B84" s="11"/>
      <c r="Q84" s="11"/>
      <c r="R84" s="11"/>
    </row>
    <row r="85" spans="2:18">
      <c r="B85" s="11"/>
      <c r="Q85" s="11"/>
      <c r="R85" s="11"/>
    </row>
    <row r="86" spans="2:18">
      <c r="B86" s="11"/>
      <c r="Q86" s="11"/>
      <c r="R86" s="11"/>
    </row>
    <row r="87" spans="2:18">
      <c r="B87" s="11"/>
      <c r="Q87" s="11"/>
      <c r="R87" s="11"/>
    </row>
    <row r="88" spans="2:18">
      <c r="B88" s="11"/>
      <c r="Q88" s="11"/>
      <c r="R88" s="11"/>
    </row>
    <row r="89" spans="2:18">
      <c r="B89" s="11"/>
      <c r="Q89" s="11"/>
      <c r="R89" s="11"/>
    </row>
    <row r="90" spans="2:18">
      <c r="B90" s="11"/>
      <c r="Q90" s="11"/>
      <c r="R90" s="11"/>
    </row>
    <row r="91" spans="2:18">
      <c r="B91" s="11"/>
      <c r="Q91" s="11"/>
      <c r="R91" s="11"/>
    </row>
    <row r="92" spans="2:18">
      <c r="B92" s="11"/>
      <c r="Q92" s="11"/>
      <c r="R92" s="11"/>
    </row>
    <row r="93" spans="2:18">
      <c r="B93" s="11"/>
      <c r="Q93" s="11"/>
      <c r="R93" s="11"/>
    </row>
    <row r="94" spans="2:18">
      <c r="B94" s="11"/>
      <c r="Q94" s="11"/>
      <c r="R94" s="11"/>
    </row>
    <row r="95" spans="2:18">
      <c r="B95" s="11"/>
      <c r="Q95" s="11"/>
      <c r="R95" s="11"/>
    </row>
    <row r="96" spans="2:18">
      <c r="B96" s="11"/>
      <c r="Q96" s="11"/>
      <c r="R96" s="11"/>
    </row>
    <row r="97" spans="2:18">
      <c r="B97" s="11"/>
      <c r="Q97" s="11"/>
      <c r="R97" s="11"/>
    </row>
    <row r="98" spans="2:18">
      <c r="B98" s="11"/>
      <c r="Q98" s="11"/>
      <c r="R98" s="11"/>
    </row>
    <row r="99" spans="2:18">
      <c r="B99" s="11"/>
      <c r="Q99" s="11"/>
      <c r="R99" s="11"/>
    </row>
    <row r="100" spans="2:18">
      <c r="B100" s="11"/>
      <c r="Q100" s="11"/>
      <c r="R100" s="11"/>
    </row>
    <row r="101" spans="2:18">
      <c r="B101" s="11"/>
      <c r="Q101" s="11"/>
      <c r="R101" s="11"/>
    </row>
    <row r="102" spans="2:18">
      <c r="B102" s="11"/>
      <c r="Q102" s="11"/>
      <c r="R102" s="11"/>
    </row>
    <row r="103" spans="2:18">
      <c r="B103" s="11"/>
      <c r="Q103" s="11"/>
      <c r="R103" s="11"/>
    </row>
    <row r="104" spans="2:18">
      <c r="B104" s="11"/>
      <c r="Q104" s="11"/>
      <c r="R104" s="11"/>
    </row>
    <row r="105" spans="2:18">
      <c r="B105" s="11"/>
      <c r="Q105" s="11"/>
      <c r="R105" s="11"/>
    </row>
    <row r="106" spans="2:18">
      <c r="B106" s="11"/>
      <c r="Q106" s="11"/>
      <c r="R106" s="11"/>
    </row>
    <row r="107" spans="2:18">
      <c r="B107" s="11"/>
      <c r="Q107" s="11"/>
      <c r="R107" s="11"/>
    </row>
    <row r="108" spans="2:18">
      <c r="B108" s="11"/>
      <c r="Q108" s="11"/>
      <c r="R108" s="11"/>
    </row>
    <row r="109" spans="2:18">
      <c r="B109" s="11"/>
      <c r="Q109" s="11"/>
      <c r="R109" s="11"/>
    </row>
    <row r="110" spans="2:18">
      <c r="B110" s="11"/>
      <c r="Q110" s="11"/>
      <c r="R110" s="11"/>
    </row>
    <row r="111" spans="2:18">
      <c r="B111" s="11"/>
      <c r="Q111" s="11"/>
      <c r="R111" s="11"/>
    </row>
    <row r="112" spans="2:18">
      <c r="B112" s="11"/>
      <c r="Q112" s="11"/>
      <c r="R112" s="11"/>
    </row>
    <row r="113" spans="2:18">
      <c r="B113" s="11"/>
      <c r="Q113" s="11"/>
      <c r="R113" s="11"/>
    </row>
    <row r="114" spans="2:18">
      <c r="B114" s="11"/>
      <c r="Q114" s="11"/>
      <c r="R114" s="11"/>
    </row>
    <row r="115" spans="2:18">
      <c r="B115" s="11"/>
      <c r="Q115" s="11"/>
      <c r="R115" s="11"/>
    </row>
    <row r="116" spans="2:18">
      <c r="B116" s="11"/>
      <c r="Q116" s="11"/>
      <c r="R116" s="11"/>
    </row>
    <row r="117" spans="2:18">
      <c r="B117" s="11"/>
      <c r="Q117" s="11"/>
      <c r="R117" s="11"/>
    </row>
    <row r="118" spans="2:18">
      <c r="B118" s="11"/>
      <c r="Q118" s="11"/>
      <c r="R118" s="11"/>
    </row>
    <row r="119" spans="2:18">
      <c r="B119" s="11"/>
      <c r="Q119" s="11"/>
      <c r="R119" s="11"/>
    </row>
    <row r="120" spans="2:18">
      <c r="B120" s="11"/>
      <c r="Q120" s="11"/>
      <c r="R120" s="11"/>
    </row>
    <row r="121" spans="2:18">
      <c r="B121" s="11"/>
      <c r="Q121" s="11"/>
      <c r="R121" s="11"/>
    </row>
    <row r="122" spans="2:18">
      <c r="B122" s="11"/>
      <c r="Q122" s="11"/>
      <c r="R122" s="11"/>
    </row>
    <row r="123" spans="2:18">
      <c r="B123" s="11"/>
      <c r="Q123" s="11"/>
      <c r="R123" s="11"/>
    </row>
    <row r="124" spans="2:18">
      <c r="B124" s="11"/>
      <c r="Q124" s="11"/>
      <c r="R124" s="11"/>
    </row>
    <row r="125" spans="2:18">
      <c r="B125" s="11"/>
      <c r="Q125" s="11"/>
      <c r="R125" s="11"/>
    </row>
    <row r="126" spans="2:18">
      <c r="B126" s="11"/>
      <c r="Q126" s="11"/>
      <c r="R126" s="11"/>
    </row>
    <row r="127" spans="2:18">
      <c r="B127" s="11"/>
      <c r="Q127" s="11"/>
      <c r="R127" s="11"/>
    </row>
    <row r="128" spans="2:18">
      <c r="B128" s="11"/>
      <c r="Q128" s="11"/>
      <c r="R128" s="11"/>
    </row>
    <row r="129" spans="2:18">
      <c r="B129" s="11"/>
      <c r="Q129" s="11"/>
      <c r="R129" s="11"/>
    </row>
    <row r="130" spans="2:18">
      <c r="B130" s="11"/>
      <c r="Q130" s="11"/>
      <c r="R130" s="11"/>
    </row>
    <row r="131" spans="2:18">
      <c r="B131" s="11"/>
      <c r="Q131" s="11"/>
      <c r="R131" s="11"/>
    </row>
    <row r="132" spans="2:18">
      <c r="B132" s="11"/>
      <c r="Q132" s="11"/>
      <c r="R132" s="11"/>
    </row>
    <row r="133" spans="2:18">
      <c r="B133" s="11"/>
      <c r="Q133" s="11"/>
      <c r="R133" s="11"/>
    </row>
    <row r="134" spans="2:18">
      <c r="B134" s="11"/>
      <c r="Q134" s="11"/>
      <c r="R134" s="11"/>
    </row>
    <row r="135" spans="2:18">
      <c r="B135" s="11"/>
      <c r="Q135" s="11"/>
      <c r="R135" s="11"/>
    </row>
    <row r="136" spans="2:18">
      <c r="B136" s="11"/>
      <c r="Q136" s="11"/>
      <c r="R136" s="11"/>
    </row>
    <row r="137" spans="2:18">
      <c r="B137" s="11"/>
      <c r="Q137" s="11"/>
      <c r="R137" s="11"/>
    </row>
    <row r="138" spans="2:18">
      <c r="B138" s="11"/>
      <c r="Q138" s="11"/>
      <c r="R138" s="11"/>
    </row>
    <row r="139" spans="2:18">
      <c r="B139" s="11"/>
      <c r="Q139" s="11"/>
      <c r="R139" s="11"/>
    </row>
    <row r="140" spans="2:18">
      <c r="B140" s="11"/>
      <c r="Q140" s="11"/>
      <c r="R140" s="11"/>
    </row>
    <row r="141" spans="2:18">
      <c r="B141" s="11"/>
      <c r="Q141" s="11"/>
      <c r="R141" s="11"/>
    </row>
    <row r="142" spans="2:18">
      <c r="B142" s="11"/>
      <c r="Q142" s="11"/>
      <c r="R142" s="11"/>
    </row>
    <row r="143" spans="2:18">
      <c r="B143" s="11"/>
      <c r="Q143" s="11"/>
      <c r="R143" s="11"/>
    </row>
    <row r="144" spans="2:18">
      <c r="B144" s="11"/>
      <c r="Q144" s="11"/>
      <c r="R144" s="11"/>
    </row>
    <row r="145" spans="2:18">
      <c r="B145" s="11"/>
      <c r="Q145" s="11"/>
      <c r="R145" s="11"/>
    </row>
    <row r="146" spans="2:18">
      <c r="B146" s="11"/>
      <c r="Q146" s="11"/>
      <c r="R146" s="11"/>
    </row>
    <row r="147" spans="2:18">
      <c r="B147" s="11"/>
      <c r="Q147" s="11"/>
      <c r="R147" s="11"/>
    </row>
    <row r="148" spans="2:18">
      <c r="B148" s="11"/>
      <c r="Q148" s="11"/>
      <c r="R148" s="11"/>
    </row>
    <row r="149" spans="2:18">
      <c r="B149" s="11"/>
      <c r="Q149" s="11"/>
      <c r="R149" s="11"/>
    </row>
    <row r="150" spans="2:18">
      <c r="B150" s="11"/>
      <c r="Q150" s="11"/>
      <c r="R150" s="11"/>
    </row>
    <row r="151" spans="2:18">
      <c r="B151" s="11"/>
      <c r="Q151" s="11"/>
      <c r="R151" s="11"/>
    </row>
    <row r="152" spans="2:18">
      <c r="B152" s="11"/>
      <c r="Q152" s="11"/>
      <c r="R152" s="11"/>
    </row>
    <row r="153" spans="2:18">
      <c r="B153" s="11"/>
      <c r="Q153" s="11"/>
      <c r="R153" s="11"/>
    </row>
    <row r="154" spans="2:18">
      <c r="B154" s="11"/>
      <c r="Q154" s="11"/>
      <c r="R154" s="11"/>
    </row>
    <row r="155" spans="2:18">
      <c r="B155" s="11"/>
      <c r="Q155" s="11"/>
      <c r="R155" s="11"/>
    </row>
    <row r="156" spans="2:18">
      <c r="B156" s="11"/>
      <c r="Q156" s="11"/>
      <c r="R156" s="11"/>
    </row>
    <row r="157" spans="2:18">
      <c r="B157" s="11"/>
      <c r="Q157" s="11"/>
      <c r="R157" s="11"/>
    </row>
    <row r="158" spans="2:18">
      <c r="B158" s="11"/>
      <c r="Q158" s="11"/>
      <c r="R158" s="11"/>
    </row>
    <row r="159" spans="2:18">
      <c r="B159" s="11"/>
      <c r="Q159" s="11"/>
      <c r="R159" s="11"/>
    </row>
    <row r="160" spans="2:18">
      <c r="B160" s="11"/>
      <c r="Q160" s="11"/>
      <c r="R160" s="11"/>
    </row>
    <row r="161" spans="2:18">
      <c r="B161" s="11"/>
      <c r="Q161" s="11"/>
      <c r="R161" s="11"/>
    </row>
    <row r="162" spans="2:18">
      <c r="B162" s="11"/>
      <c r="Q162" s="11"/>
      <c r="R162" s="11"/>
    </row>
    <row r="163" spans="2:18">
      <c r="B163" s="11"/>
      <c r="Q163" s="11"/>
      <c r="R163" s="11"/>
    </row>
    <row r="164" spans="2:18">
      <c r="B164" s="11"/>
      <c r="Q164" s="11"/>
      <c r="R164" s="11"/>
    </row>
    <row r="165" spans="2:18">
      <c r="B165" s="11"/>
      <c r="Q165" s="11"/>
      <c r="R165" s="11"/>
    </row>
    <row r="166" spans="2:18">
      <c r="B166" s="11"/>
      <c r="Q166" s="11"/>
      <c r="R166" s="11"/>
    </row>
    <row r="167" spans="2:18">
      <c r="B167" s="11"/>
      <c r="Q167" s="11"/>
      <c r="R167" s="11"/>
    </row>
    <row r="168" spans="2:18">
      <c r="B168" s="11"/>
      <c r="Q168" s="11"/>
      <c r="R168" s="11"/>
    </row>
    <row r="169" spans="2:18">
      <c r="B169" s="11"/>
      <c r="Q169" s="11"/>
      <c r="R169" s="11"/>
    </row>
    <row r="170" spans="2:18">
      <c r="B170" s="11"/>
      <c r="Q170" s="11"/>
      <c r="R170" s="11"/>
    </row>
    <row r="171" spans="2:18">
      <c r="B171" s="11"/>
      <c r="Q171" s="11"/>
      <c r="R171" s="11"/>
    </row>
    <row r="172" spans="2:18">
      <c r="B172" s="11"/>
      <c r="Q172" s="11"/>
      <c r="R172" s="11"/>
    </row>
    <row r="173" spans="2:18">
      <c r="B173" s="11"/>
      <c r="Q173" s="11"/>
      <c r="R173" s="11"/>
    </row>
    <row r="174" spans="2:18">
      <c r="B174" s="11"/>
      <c r="Q174" s="11"/>
      <c r="R174" s="11"/>
    </row>
    <row r="175" spans="2:18">
      <c r="B175" s="11"/>
      <c r="Q175" s="11"/>
      <c r="R175" s="11"/>
    </row>
    <row r="176" spans="2:18">
      <c r="B176" s="11"/>
      <c r="Q176" s="11"/>
      <c r="R176" s="11"/>
    </row>
    <row r="177" spans="2:18">
      <c r="B177" s="11"/>
      <c r="Q177" s="11"/>
      <c r="R177" s="11"/>
    </row>
    <row r="178" spans="2:18">
      <c r="B178" s="11"/>
      <c r="Q178" s="11"/>
      <c r="R178" s="11"/>
    </row>
    <row r="179" spans="2:18">
      <c r="B179" s="11"/>
      <c r="Q179" s="11"/>
      <c r="R179" s="11"/>
    </row>
    <row r="180" spans="2:18">
      <c r="B180" s="11"/>
      <c r="Q180" s="11"/>
      <c r="R180" s="11"/>
    </row>
    <row r="181" spans="2:18">
      <c r="B181" s="11"/>
      <c r="Q181" s="11"/>
      <c r="R181" s="11"/>
    </row>
    <row r="182" spans="2:18">
      <c r="B182" s="11"/>
      <c r="Q182" s="11"/>
      <c r="R182" s="11"/>
    </row>
    <row r="183" spans="2:18">
      <c r="B183" s="11"/>
      <c r="Q183" s="11"/>
      <c r="R183" s="11"/>
    </row>
    <row r="184" spans="2:18">
      <c r="B184" s="11"/>
      <c r="Q184" s="11"/>
      <c r="R184" s="11"/>
    </row>
    <row r="185" spans="2:18">
      <c r="B185" s="11"/>
      <c r="Q185" s="11"/>
      <c r="R185" s="11"/>
    </row>
    <row r="186" spans="2:18">
      <c r="B186" s="11"/>
      <c r="Q186" s="11"/>
      <c r="R186" s="11"/>
    </row>
    <row r="187" spans="2:18">
      <c r="B187" s="11"/>
      <c r="Q187" s="11"/>
      <c r="R187" s="11"/>
    </row>
    <row r="188" spans="2:18">
      <c r="B188" s="11"/>
      <c r="Q188" s="11"/>
      <c r="R188" s="11"/>
    </row>
    <row r="189" spans="2:18">
      <c r="B189" s="11"/>
      <c r="Q189" s="11"/>
      <c r="R189" s="11"/>
    </row>
    <row r="190" spans="2:18">
      <c r="B190" s="11"/>
      <c r="Q190" s="11"/>
      <c r="R190" s="11"/>
    </row>
    <row r="191" spans="2:18">
      <c r="B191" s="11"/>
      <c r="Q191" s="11"/>
      <c r="R191" s="11"/>
    </row>
    <row r="192" spans="2:18">
      <c r="B192" s="11"/>
      <c r="Q192" s="11"/>
      <c r="R192" s="11"/>
    </row>
    <row r="193" spans="2:18">
      <c r="B193" s="11"/>
      <c r="Q193" s="11"/>
      <c r="R193" s="11"/>
    </row>
    <row r="194" spans="2:18">
      <c r="B194" s="11"/>
      <c r="Q194" s="11"/>
      <c r="R194" s="11"/>
    </row>
    <row r="195" spans="2:18">
      <c r="B195" s="11"/>
      <c r="Q195" s="11"/>
      <c r="R195" s="11"/>
    </row>
    <row r="196" spans="2:18">
      <c r="B196" s="11"/>
      <c r="Q196" s="11"/>
      <c r="R196" s="11"/>
    </row>
    <row r="197" spans="2:18">
      <c r="B197" s="11"/>
      <c r="Q197" s="11"/>
      <c r="R197" s="11"/>
    </row>
    <row r="198" spans="2:18">
      <c r="B198" s="11"/>
      <c r="Q198" s="11"/>
      <c r="R198" s="11"/>
    </row>
    <row r="199" spans="2:18">
      <c r="B199" s="11"/>
      <c r="Q199" s="11"/>
      <c r="R199" s="11"/>
    </row>
    <row r="200" spans="2:18">
      <c r="B200" s="11"/>
      <c r="Q200" s="11"/>
      <c r="R200" s="11"/>
    </row>
    <row r="201" spans="2:18">
      <c r="B201" s="11"/>
      <c r="Q201" s="11"/>
      <c r="R201" s="11"/>
    </row>
    <row r="202" spans="2:18">
      <c r="B202" s="11"/>
      <c r="Q202" s="11"/>
      <c r="R202" s="11"/>
    </row>
    <row r="203" spans="2:18">
      <c r="B203" s="11"/>
      <c r="Q203" s="11"/>
      <c r="R203" s="11"/>
    </row>
    <row r="204" spans="2:18">
      <c r="B204" s="11"/>
      <c r="Q204" s="11"/>
      <c r="R204" s="11"/>
    </row>
    <row r="205" spans="2:18">
      <c r="B205" s="11"/>
      <c r="Q205" s="11"/>
      <c r="R205" s="11"/>
    </row>
    <row r="206" spans="2:18">
      <c r="B206" s="11"/>
      <c r="Q206" s="11"/>
      <c r="R206" s="11"/>
    </row>
    <row r="207" spans="2:18">
      <c r="B207" s="11"/>
      <c r="Q207" s="11"/>
      <c r="R207" s="11"/>
    </row>
    <row r="208" spans="2:18">
      <c r="B208" s="11"/>
      <c r="Q208" s="11"/>
      <c r="R208" s="11"/>
    </row>
    <row r="209" spans="2:18">
      <c r="B209" s="11"/>
      <c r="Q209" s="11"/>
      <c r="R209" s="11"/>
    </row>
    <row r="210" spans="2:18">
      <c r="B210" s="11"/>
      <c r="Q210" s="11"/>
      <c r="R210" s="11"/>
    </row>
    <row r="211" spans="2:18">
      <c r="B211" s="11"/>
      <c r="Q211" s="11"/>
      <c r="R211" s="11"/>
    </row>
    <row r="212" spans="2:18">
      <c r="B212" s="11"/>
      <c r="Q212" s="11"/>
      <c r="R212" s="11"/>
    </row>
    <row r="213" spans="2:18">
      <c r="B213" s="11"/>
      <c r="Q213" s="11"/>
      <c r="R213" s="11"/>
    </row>
    <row r="214" spans="2:18">
      <c r="B214" s="11"/>
      <c r="Q214" s="11"/>
      <c r="R214" s="11"/>
    </row>
    <row r="215" spans="2:18">
      <c r="B215" s="11"/>
      <c r="Q215" s="11"/>
      <c r="R215" s="11"/>
    </row>
    <row r="216" spans="2:18">
      <c r="B216" s="11"/>
      <c r="Q216" s="11"/>
      <c r="R216" s="11"/>
    </row>
    <row r="217" spans="2:18">
      <c r="B217" s="11"/>
      <c r="Q217" s="11"/>
      <c r="R217" s="11"/>
    </row>
    <row r="218" spans="2:18">
      <c r="B218" s="11"/>
      <c r="Q218" s="11"/>
      <c r="R218" s="11"/>
    </row>
    <row r="219" spans="2:18">
      <c r="B219" s="11"/>
      <c r="Q219" s="11"/>
      <c r="R219" s="11"/>
    </row>
    <row r="220" spans="2:18">
      <c r="B220" s="11"/>
      <c r="Q220" s="11"/>
      <c r="R220" s="11"/>
    </row>
    <row r="221" spans="2:18">
      <c r="B221" s="11"/>
      <c r="Q221" s="11"/>
      <c r="R221" s="11"/>
    </row>
    <row r="222" spans="2:18">
      <c r="B222" s="11"/>
      <c r="Q222" s="11"/>
      <c r="R222" s="11"/>
    </row>
    <row r="223" spans="2:18">
      <c r="B223" s="11"/>
      <c r="Q223" s="11"/>
      <c r="R223" s="11"/>
    </row>
    <row r="224" spans="2:18">
      <c r="B224" s="11"/>
      <c r="Q224" s="11"/>
      <c r="R224" s="11"/>
    </row>
    <row r="225" spans="2:18">
      <c r="B225" s="11"/>
      <c r="Q225" s="11"/>
      <c r="R225" s="11"/>
    </row>
    <row r="226" spans="2:18">
      <c r="B226" s="11"/>
      <c r="Q226" s="11"/>
      <c r="R226" s="11"/>
    </row>
    <row r="227" spans="2:18">
      <c r="B227" s="11"/>
      <c r="Q227" s="11"/>
      <c r="R227" s="11"/>
    </row>
    <row r="228" spans="2:18">
      <c r="B228" s="11"/>
      <c r="Q228" s="11"/>
      <c r="R228" s="11"/>
    </row>
    <row r="229" spans="2:18">
      <c r="B229" s="11"/>
      <c r="Q229" s="11"/>
      <c r="R229" s="11"/>
    </row>
    <row r="230" spans="2:18">
      <c r="B230" s="11"/>
      <c r="Q230" s="11"/>
      <c r="R230" s="11"/>
    </row>
    <row r="231" spans="2:18">
      <c r="B231" s="11"/>
      <c r="Q231" s="11"/>
      <c r="R231" s="11"/>
    </row>
    <row r="232" spans="2:18">
      <c r="B232" s="11"/>
      <c r="Q232" s="11"/>
      <c r="R232" s="11"/>
    </row>
    <row r="233" spans="2:18">
      <c r="B233" s="11"/>
      <c r="Q233" s="11"/>
      <c r="R233" s="11"/>
    </row>
    <row r="234" spans="2:18">
      <c r="B234" s="11"/>
      <c r="Q234" s="11"/>
      <c r="R234" s="11"/>
    </row>
    <row r="235" spans="2:18">
      <c r="B235" s="11"/>
      <c r="Q235" s="11"/>
      <c r="R235" s="11"/>
    </row>
    <row r="236" spans="2:18">
      <c r="B236" s="11"/>
      <c r="Q236" s="11"/>
      <c r="R236" s="11"/>
    </row>
    <row r="237" spans="2:18">
      <c r="B237" s="11"/>
      <c r="Q237" s="11"/>
      <c r="R237" s="11"/>
    </row>
    <row r="238" spans="2:18">
      <c r="B238" s="11"/>
      <c r="Q238" s="11"/>
      <c r="R238" s="11"/>
    </row>
    <row r="239" spans="2:18">
      <c r="B239" s="11"/>
      <c r="Q239" s="11"/>
      <c r="R239" s="11"/>
    </row>
    <row r="240" spans="2:18">
      <c r="B240" s="11"/>
      <c r="Q240" s="11"/>
      <c r="R240" s="11"/>
    </row>
    <row r="241" spans="2:18">
      <c r="B241" s="11"/>
      <c r="Q241" s="11"/>
      <c r="R241" s="11"/>
    </row>
    <row r="242" spans="2:18">
      <c r="B242" s="11"/>
      <c r="Q242" s="11"/>
      <c r="R242" s="11"/>
    </row>
    <row r="243" spans="2:18">
      <c r="B243" s="11"/>
      <c r="Q243" s="11"/>
      <c r="R243" s="11"/>
    </row>
    <row r="244" spans="2:18">
      <c r="B244" s="11"/>
      <c r="Q244" s="11"/>
      <c r="R244" s="11"/>
    </row>
    <row r="245" spans="2:18">
      <c r="B245" s="11"/>
      <c r="Q245" s="11"/>
      <c r="R245" s="11"/>
    </row>
    <row r="246" spans="2:18">
      <c r="B246" s="11"/>
      <c r="Q246" s="11"/>
      <c r="R246" s="11"/>
    </row>
    <row r="247" spans="2:18">
      <c r="B247" s="11"/>
      <c r="Q247" s="11"/>
      <c r="R247" s="11"/>
    </row>
    <row r="248" spans="2:18">
      <c r="B248" s="11"/>
      <c r="Q248" s="11"/>
      <c r="R248" s="11"/>
    </row>
    <row r="249" spans="2:18">
      <c r="B249" s="11"/>
      <c r="Q249" s="11"/>
      <c r="R249" s="11"/>
    </row>
    <row r="250" spans="2:18">
      <c r="B250" s="11"/>
      <c r="Q250" s="11"/>
      <c r="R250" s="11"/>
    </row>
    <row r="251" spans="2:18">
      <c r="B251" s="11"/>
      <c r="Q251" s="11"/>
      <c r="R251" s="11"/>
    </row>
    <row r="252" spans="2:18">
      <c r="B252" s="11"/>
      <c r="Q252" s="11"/>
      <c r="R252" s="11"/>
    </row>
    <row r="253" spans="2:18">
      <c r="B253" s="11"/>
      <c r="Q253" s="11"/>
      <c r="R253" s="11"/>
    </row>
    <row r="254" spans="2:18">
      <c r="B254" s="11"/>
      <c r="Q254" s="11"/>
      <c r="R254" s="11"/>
    </row>
    <row r="255" spans="2:18">
      <c r="B255" s="11"/>
      <c r="Q255" s="11"/>
      <c r="R255" s="11"/>
    </row>
    <row r="256" spans="2:18">
      <c r="B256" s="11"/>
      <c r="Q256" s="11"/>
      <c r="R256" s="11"/>
    </row>
    <row r="257" spans="2:18">
      <c r="B257" s="11"/>
      <c r="Q257" s="11"/>
      <c r="R257" s="11"/>
    </row>
    <row r="258" spans="2:18">
      <c r="B258" s="11"/>
      <c r="Q258" s="11"/>
      <c r="R258" s="11"/>
    </row>
    <row r="259" spans="2:18">
      <c r="B259" s="11"/>
      <c r="Q259" s="11"/>
      <c r="R259" s="11"/>
    </row>
    <row r="260" spans="2:18">
      <c r="B260" s="11"/>
      <c r="Q260" s="11"/>
      <c r="R260" s="11"/>
    </row>
    <row r="261" spans="2:18">
      <c r="B261" s="11"/>
      <c r="Q261" s="11"/>
      <c r="R261" s="11"/>
    </row>
    <row r="262" spans="2:18">
      <c r="B262" s="11"/>
      <c r="Q262" s="11"/>
      <c r="R262" s="11"/>
    </row>
    <row r="263" spans="2:18">
      <c r="B263" s="11"/>
      <c r="Q263" s="11"/>
      <c r="R263" s="11"/>
    </row>
    <row r="264" spans="2:18">
      <c r="B264" s="11"/>
      <c r="Q264" s="11"/>
      <c r="R264" s="11"/>
    </row>
    <row r="265" spans="2:18">
      <c r="B265" s="11"/>
      <c r="Q265" s="11"/>
      <c r="R265" s="11"/>
    </row>
    <row r="266" spans="2:18">
      <c r="B266" s="11"/>
      <c r="Q266" s="11"/>
      <c r="R266" s="11"/>
    </row>
    <row r="267" spans="2:18">
      <c r="B267" s="11"/>
      <c r="Q267" s="11"/>
      <c r="R267" s="11"/>
    </row>
    <row r="268" spans="2:18">
      <c r="B268" s="11"/>
      <c r="Q268" s="11"/>
      <c r="R268" s="11"/>
    </row>
    <row r="269" spans="2:18">
      <c r="B269" s="11"/>
      <c r="Q269" s="11"/>
      <c r="R269" s="11"/>
    </row>
    <row r="270" spans="2:18">
      <c r="B270" s="11"/>
      <c r="Q270" s="11"/>
      <c r="R270" s="11"/>
    </row>
    <row r="271" spans="2:18">
      <c r="B271" s="11"/>
      <c r="Q271" s="11"/>
      <c r="R271" s="11"/>
    </row>
    <row r="272" spans="2:18">
      <c r="B272" s="11"/>
      <c r="Q272" s="11"/>
      <c r="R272" s="11"/>
    </row>
    <row r="273" spans="2:18">
      <c r="B273" s="11"/>
      <c r="Q273" s="11"/>
      <c r="R273" s="11"/>
    </row>
    <row r="274" spans="2:18">
      <c r="B274" s="11"/>
      <c r="Q274" s="11"/>
      <c r="R274" s="11"/>
    </row>
    <row r="275" spans="2:18">
      <c r="B275" s="11"/>
      <c r="Q275" s="11"/>
      <c r="R275" s="11"/>
    </row>
    <row r="276" spans="2:18">
      <c r="B276" s="11"/>
      <c r="Q276" s="11"/>
      <c r="R276" s="11"/>
    </row>
    <row r="277" spans="2:18">
      <c r="B277" s="11"/>
      <c r="Q277" s="11"/>
      <c r="R277" s="11"/>
    </row>
    <row r="278" spans="2:18">
      <c r="B278" s="11"/>
      <c r="Q278" s="11"/>
      <c r="R278" s="11"/>
    </row>
    <row r="279" spans="2:18">
      <c r="B279" s="11"/>
      <c r="Q279" s="11"/>
      <c r="R279" s="11"/>
    </row>
    <row r="280" spans="2:18">
      <c r="B280" s="11"/>
      <c r="Q280" s="11"/>
      <c r="R280" s="11"/>
    </row>
    <row r="281" spans="2:18">
      <c r="B281" s="11"/>
      <c r="Q281" s="11"/>
      <c r="R281" s="11"/>
    </row>
    <row r="282" spans="2:18">
      <c r="B282" s="11"/>
      <c r="Q282" s="11"/>
      <c r="R282" s="11"/>
    </row>
    <row r="283" spans="2:18">
      <c r="B283" s="11"/>
      <c r="Q283" s="11"/>
      <c r="R283" s="11"/>
    </row>
    <row r="284" spans="2:18">
      <c r="B284" s="11"/>
      <c r="Q284" s="11"/>
      <c r="R284" s="11"/>
    </row>
    <row r="285" spans="2:18">
      <c r="B285" s="11"/>
      <c r="Q285" s="11"/>
      <c r="R285" s="11"/>
    </row>
    <row r="286" spans="2:18">
      <c r="B286" s="11"/>
      <c r="Q286" s="11"/>
      <c r="R286" s="11"/>
    </row>
    <row r="287" spans="2:18">
      <c r="B287" s="11"/>
      <c r="Q287" s="11"/>
      <c r="R287" s="11"/>
    </row>
    <row r="288" spans="2:18">
      <c r="B288" s="11"/>
      <c r="Q288" s="11"/>
      <c r="R288" s="11"/>
    </row>
    <row r="289" spans="2:18">
      <c r="B289" s="11"/>
      <c r="Q289" s="11"/>
      <c r="R289" s="11"/>
    </row>
    <row r="290" spans="2:18">
      <c r="B290" s="11"/>
      <c r="Q290" s="11"/>
      <c r="R290" s="11"/>
    </row>
    <row r="291" spans="2:18">
      <c r="B291" s="11"/>
      <c r="Q291" s="11"/>
      <c r="R291" s="11"/>
    </row>
    <row r="292" spans="2:18">
      <c r="B292" s="11"/>
      <c r="Q292" s="11"/>
      <c r="R292" s="11"/>
    </row>
    <row r="293" spans="2:18">
      <c r="B293" s="11"/>
      <c r="Q293" s="11"/>
      <c r="R293" s="11"/>
    </row>
    <row r="294" spans="2:18">
      <c r="B294" s="11"/>
      <c r="Q294" s="11"/>
      <c r="R294" s="11"/>
    </row>
    <row r="295" spans="2:18">
      <c r="B295" s="11"/>
      <c r="Q295" s="11"/>
      <c r="R295" s="11"/>
    </row>
    <row r="296" spans="2:18">
      <c r="B296" s="11"/>
      <c r="Q296" s="11"/>
      <c r="R296" s="11"/>
    </row>
    <row r="297" spans="2:18">
      <c r="B297" s="11"/>
      <c r="Q297" s="11"/>
      <c r="R297" s="11"/>
    </row>
    <row r="298" spans="2:18">
      <c r="B298" s="11"/>
      <c r="Q298" s="11"/>
      <c r="R298" s="11"/>
    </row>
    <row r="299" spans="2:18">
      <c r="B299" s="11"/>
      <c r="Q299" s="11"/>
      <c r="R299" s="11"/>
    </row>
    <row r="300" spans="2:18">
      <c r="B300" s="11"/>
      <c r="Q300" s="11"/>
      <c r="R300" s="11"/>
    </row>
    <row r="301" spans="2:18">
      <c r="B301" s="11"/>
      <c r="Q301" s="11"/>
      <c r="R301" s="11"/>
    </row>
    <row r="302" spans="2:18">
      <c r="B302" s="11"/>
      <c r="Q302" s="11"/>
      <c r="R302" s="11"/>
    </row>
    <row r="303" spans="2:18">
      <c r="B303" s="11"/>
      <c r="Q303" s="11"/>
      <c r="R303" s="11"/>
    </row>
    <row r="304" spans="2:18">
      <c r="B304" s="11"/>
      <c r="Q304" s="11"/>
      <c r="R304" s="11"/>
    </row>
    <row r="305" spans="2:18">
      <c r="B305" s="11"/>
      <c r="Q305" s="11"/>
      <c r="R305" s="11"/>
    </row>
    <row r="306" spans="2:18">
      <c r="B306" s="11"/>
      <c r="Q306" s="11"/>
      <c r="R306" s="11"/>
    </row>
    <row r="307" spans="2:18">
      <c r="B307" s="11"/>
      <c r="Q307" s="11"/>
      <c r="R307" s="11"/>
    </row>
    <row r="308" spans="2:18">
      <c r="B308" s="11"/>
      <c r="Q308" s="11"/>
      <c r="R308" s="11"/>
    </row>
    <row r="309" spans="2:18">
      <c r="B309" s="11"/>
      <c r="Q309" s="11"/>
      <c r="R309" s="11"/>
    </row>
    <row r="310" spans="2:18">
      <c r="B310" s="11"/>
      <c r="Q310" s="11"/>
      <c r="R310" s="11"/>
    </row>
    <row r="311" spans="2:18">
      <c r="B311" s="11"/>
      <c r="Q311" s="11"/>
      <c r="R311" s="11"/>
    </row>
    <row r="312" spans="2:18">
      <c r="B312" s="11"/>
      <c r="Q312" s="11"/>
      <c r="R312" s="11"/>
    </row>
    <row r="313" spans="2:18">
      <c r="B313" s="11"/>
      <c r="Q313" s="11"/>
      <c r="R313" s="11"/>
    </row>
    <row r="314" spans="2:18">
      <c r="B314" s="11"/>
      <c r="Q314" s="11"/>
      <c r="R314" s="11"/>
    </row>
    <row r="315" spans="2:18">
      <c r="B315" s="11"/>
      <c r="Q315" s="11"/>
      <c r="R315" s="11"/>
    </row>
    <row r="316" spans="2:18">
      <c r="B316" s="11"/>
      <c r="Q316" s="11"/>
      <c r="R316" s="11"/>
    </row>
    <row r="317" spans="2:18">
      <c r="B317" s="11"/>
      <c r="Q317" s="11"/>
      <c r="R317" s="11"/>
    </row>
    <row r="318" spans="2:18">
      <c r="B318" s="11"/>
      <c r="Q318" s="11"/>
      <c r="R318" s="11"/>
    </row>
    <row r="319" spans="2:18">
      <c r="B319" s="11"/>
      <c r="Q319" s="11"/>
      <c r="R319" s="11"/>
    </row>
    <row r="320" spans="2:18">
      <c r="B320" s="11"/>
      <c r="Q320" s="11"/>
      <c r="R320" s="11"/>
    </row>
    <row r="321" spans="2:18">
      <c r="B321" s="11"/>
      <c r="Q321" s="11"/>
      <c r="R321" s="11"/>
    </row>
    <row r="322" spans="2:18">
      <c r="B322" s="11"/>
      <c r="Q322" s="11"/>
      <c r="R322" s="11"/>
    </row>
    <row r="323" spans="2:18">
      <c r="B323" s="11"/>
      <c r="Q323" s="11"/>
      <c r="R323" s="11"/>
    </row>
    <row r="324" spans="2:18">
      <c r="B324" s="11"/>
      <c r="Q324" s="11"/>
      <c r="R324" s="11"/>
    </row>
    <row r="325" spans="2:18">
      <c r="B325" s="11"/>
      <c r="Q325" s="11"/>
      <c r="R325" s="11"/>
    </row>
    <row r="326" spans="2:18">
      <c r="B326" s="11"/>
      <c r="Q326" s="11"/>
      <c r="R326" s="11"/>
    </row>
    <row r="327" spans="2:18">
      <c r="B327" s="11"/>
      <c r="Q327" s="11"/>
      <c r="R327" s="11"/>
    </row>
    <row r="328" spans="2:18">
      <c r="B328" s="11"/>
      <c r="Q328" s="11"/>
      <c r="R328" s="11"/>
    </row>
    <row r="329" spans="2:18">
      <c r="B329" s="11"/>
      <c r="Q329" s="11"/>
      <c r="R329" s="11"/>
    </row>
    <row r="330" spans="2:18">
      <c r="B330" s="11"/>
      <c r="Q330" s="11"/>
      <c r="R330" s="11"/>
    </row>
    <row r="331" spans="2:18">
      <c r="B331" s="11"/>
      <c r="Q331" s="11"/>
      <c r="R331" s="11"/>
    </row>
    <row r="332" spans="2:18">
      <c r="B332" s="11"/>
      <c r="Q332" s="11"/>
      <c r="R332" s="11"/>
    </row>
    <row r="333" spans="2:18">
      <c r="B333" s="11"/>
      <c r="Q333" s="11"/>
      <c r="R333" s="11"/>
    </row>
    <row r="334" spans="2:18">
      <c r="B334" s="11"/>
      <c r="Q334" s="11"/>
      <c r="R334" s="11"/>
    </row>
    <row r="335" spans="2:18">
      <c r="B335" s="11"/>
      <c r="Q335" s="11"/>
      <c r="R335" s="11"/>
    </row>
    <row r="336" spans="2:18">
      <c r="B336" s="11"/>
      <c r="Q336" s="11"/>
      <c r="R336" s="11"/>
    </row>
    <row r="337" spans="2:18">
      <c r="B337" s="11"/>
      <c r="Q337" s="11"/>
      <c r="R337" s="11"/>
    </row>
    <row r="338" spans="2:18">
      <c r="B338" s="11"/>
      <c r="Q338" s="11"/>
      <c r="R338" s="11"/>
    </row>
    <row r="339" spans="2:18">
      <c r="B339" s="11"/>
      <c r="Q339" s="11"/>
      <c r="R339" s="11"/>
    </row>
    <row r="340" spans="2:18">
      <c r="B340" s="11"/>
      <c r="Q340" s="11"/>
      <c r="R340" s="11"/>
    </row>
    <row r="341" spans="2:18">
      <c r="B341" s="11"/>
      <c r="Q341" s="11"/>
      <c r="R341" s="11"/>
    </row>
    <row r="342" spans="2:18">
      <c r="B342" s="11"/>
      <c r="Q342" s="11"/>
      <c r="R342" s="11"/>
    </row>
    <row r="343" spans="2:18">
      <c r="B343" s="11"/>
      <c r="Q343" s="11"/>
      <c r="R343" s="11"/>
    </row>
    <row r="344" spans="2:18">
      <c r="B344" s="11"/>
      <c r="Q344" s="11"/>
      <c r="R344" s="11"/>
    </row>
    <row r="345" spans="2:18">
      <c r="B345" s="11"/>
      <c r="Q345" s="11"/>
      <c r="R345" s="11"/>
    </row>
    <row r="346" spans="2:18">
      <c r="B346" s="11"/>
      <c r="Q346" s="11"/>
      <c r="R346" s="11"/>
    </row>
    <row r="347" spans="2:18">
      <c r="B347" s="11"/>
      <c r="Q347" s="11"/>
      <c r="R347" s="11"/>
    </row>
    <row r="348" spans="2:18">
      <c r="B348" s="11"/>
      <c r="Q348" s="11"/>
      <c r="R348" s="11"/>
    </row>
    <row r="349" spans="2:18">
      <c r="B349" s="11"/>
      <c r="Q349" s="11"/>
      <c r="R349" s="11"/>
    </row>
    <row r="350" spans="2:18">
      <c r="B350" s="11"/>
      <c r="Q350" s="11"/>
      <c r="R350" s="11"/>
    </row>
    <row r="351" spans="2:18">
      <c r="B351" s="11"/>
      <c r="Q351" s="11"/>
      <c r="R351" s="11"/>
    </row>
    <row r="352" spans="2:18">
      <c r="B352" s="11"/>
      <c r="Q352" s="11"/>
      <c r="R352" s="11"/>
    </row>
    <row r="353" spans="2:18">
      <c r="B353" s="11"/>
      <c r="Q353" s="11"/>
      <c r="R353" s="11"/>
    </row>
    <row r="354" spans="2:18">
      <c r="B354" s="11"/>
      <c r="Q354" s="11"/>
      <c r="R354" s="11"/>
    </row>
    <row r="355" spans="2:18">
      <c r="B355" s="11"/>
      <c r="Q355" s="11"/>
      <c r="R355" s="11"/>
    </row>
    <row r="356" spans="2:18">
      <c r="B356" s="11"/>
      <c r="Q356" s="11"/>
      <c r="R356" s="11"/>
    </row>
    <row r="357" spans="2:18">
      <c r="B357" s="11"/>
      <c r="Q357" s="11"/>
      <c r="R357" s="11"/>
    </row>
    <row r="358" spans="2:18">
      <c r="B358" s="11"/>
      <c r="Q358" s="11"/>
      <c r="R358" s="11"/>
    </row>
    <row r="359" spans="2:18">
      <c r="B359" s="11"/>
      <c r="Q359" s="11"/>
      <c r="R359" s="11"/>
    </row>
    <row r="360" spans="2:18">
      <c r="B360" s="11"/>
      <c r="Q360" s="11"/>
      <c r="R360" s="11"/>
    </row>
    <row r="361" spans="2:18">
      <c r="B361" s="11"/>
      <c r="Q361" s="11"/>
      <c r="R361" s="11"/>
    </row>
    <row r="362" spans="2:18">
      <c r="B362" s="11"/>
      <c r="Q362" s="11"/>
      <c r="R362" s="11"/>
    </row>
    <row r="363" spans="2:18">
      <c r="B363" s="11"/>
      <c r="Q363" s="11"/>
      <c r="R363" s="11"/>
    </row>
    <row r="364" spans="2:18">
      <c r="B364" s="11"/>
      <c r="Q364" s="11"/>
      <c r="R364" s="11"/>
    </row>
    <row r="365" spans="2:18">
      <c r="B365" s="11"/>
      <c r="Q365" s="11"/>
      <c r="R365" s="11"/>
    </row>
    <row r="366" spans="2:18">
      <c r="B366" s="11"/>
      <c r="Q366" s="11"/>
      <c r="R366" s="11"/>
    </row>
    <row r="367" spans="2:18">
      <c r="B367" s="11"/>
      <c r="Q367" s="11"/>
      <c r="R367" s="11"/>
    </row>
    <row r="368" spans="2:18">
      <c r="B368" s="11"/>
      <c r="Q368" s="11"/>
      <c r="R368" s="11"/>
    </row>
    <row r="369" spans="2:18">
      <c r="B369" s="11"/>
      <c r="Q369" s="11"/>
      <c r="R369" s="11"/>
    </row>
    <row r="370" spans="2:18">
      <c r="B370" s="11"/>
      <c r="Q370" s="11"/>
      <c r="R370" s="11"/>
    </row>
    <row r="371" spans="2:18">
      <c r="B371" s="11"/>
      <c r="Q371" s="11"/>
      <c r="R371" s="11"/>
    </row>
    <row r="372" spans="2:18">
      <c r="B372" s="11"/>
      <c r="Q372" s="11"/>
      <c r="R372" s="11"/>
    </row>
    <row r="373" spans="2:18">
      <c r="B373" s="11"/>
      <c r="Q373" s="11"/>
      <c r="R373" s="11"/>
    </row>
    <row r="374" spans="2:18">
      <c r="B374" s="11"/>
      <c r="Q374" s="11"/>
      <c r="R374" s="11"/>
    </row>
    <row r="375" spans="2:18">
      <c r="B375" s="11"/>
      <c r="Q375" s="11"/>
      <c r="R375" s="11"/>
    </row>
    <row r="376" spans="2:18">
      <c r="B376" s="11"/>
      <c r="Q376" s="11"/>
      <c r="R376" s="11"/>
    </row>
    <row r="377" spans="2:18">
      <c r="B377" s="11"/>
      <c r="Q377" s="11"/>
      <c r="R377" s="11"/>
    </row>
    <row r="378" spans="2:18">
      <c r="B378" s="11"/>
      <c r="Q378" s="11"/>
      <c r="R378" s="11"/>
    </row>
    <row r="379" spans="2:18">
      <c r="B379" s="11"/>
      <c r="Q379" s="11"/>
      <c r="R379" s="11"/>
    </row>
    <row r="380" spans="2:18">
      <c r="B380" s="11"/>
      <c r="Q380" s="11"/>
      <c r="R380" s="11"/>
    </row>
    <row r="381" spans="2:18">
      <c r="B381" s="11"/>
      <c r="Q381" s="11"/>
      <c r="R381" s="11"/>
    </row>
    <row r="382" spans="2:18">
      <c r="B382" s="11"/>
      <c r="Q382" s="11"/>
      <c r="R382" s="11"/>
    </row>
    <row r="383" spans="2:18">
      <c r="B383" s="11"/>
      <c r="Q383" s="11"/>
      <c r="R383" s="11"/>
    </row>
    <row r="384" spans="2:18">
      <c r="B384" s="11"/>
      <c r="Q384" s="11"/>
      <c r="R384" s="11"/>
    </row>
    <row r="385" spans="2:18">
      <c r="B385" s="11"/>
      <c r="Q385" s="11"/>
      <c r="R385" s="11"/>
    </row>
    <row r="386" spans="2:18">
      <c r="B386" s="11"/>
      <c r="Q386" s="11"/>
      <c r="R386" s="11"/>
    </row>
    <row r="387" spans="2:18">
      <c r="B387" s="11"/>
      <c r="Q387" s="11"/>
      <c r="R387" s="11"/>
    </row>
    <row r="388" spans="2:18">
      <c r="B388" s="11"/>
      <c r="Q388" s="11"/>
      <c r="R388" s="11"/>
    </row>
    <row r="389" spans="2:18">
      <c r="B389" s="11"/>
      <c r="Q389" s="11"/>
      <c r="R389" s="11"/>
    </row>
    <row r="390" spans="2:18">
      <c r="B390" s="11"/>
      <c r="Q390" s="11"/>
      <c r="R390" s="11"/>
    </row>
    <row r="391" spans="2:18">
      <c r="B391" s="11"/>
      <c r="Q391" s="11"/>
      <c r="R391" s="11"/>
    </row>
    <row r="392" spans="2:18">
      <c r="B392" s="11"/>
      <c r="Q392" s="11"/>
      <c r="R392" s="11"/>
    </row>
    <row r="393" spans="2:18">
      <c r="B393" s="11"/>
      <c r="Q393" s="11"/>
      <c r="R393" s="11"/>
    </row>
    <row r="394" spans="2:18">
      <c r="B394" s="11"/>
      <c r="Q394" s="11"/>
      <c r="R394" s="11"/>
    </row>
    <row r="395" spans="2:18">
      <c r="B395" s="11"/>
      <c r="Q395" s="11"/>
      <c r="R395" s="11"/>
    </row>
    <row r="396" spans="2:18">
      <c r="B396" s="11"/>
      <c r="Q396" s="11"/>
      <c r="R396" s="11"/>
    </row>
    <row r="397" spans="2:18">
      <c r="B397" s="11"/>
      <c r="Q397" s="11"/>
      <c r="R397" s="11"/>
    </row>
    <row r="398" spans="2:18">
      <c r="B398" s="11"/>
      <c r="Q398" s="11"/>
      <c r="R398" s="11"/>
    </row>
    <row r="399" spans="2:18">
      <c r="B399" s="11"/>
      <c r="Q399" s="11"/>
      <c r="R399" s="11"/>
    </row>
    <row r="400" spans="2:18">
      <c r="B400" s="11"/>
      <c r="Q400" s="11"/>
      <c r="R400" s="11"/>
    </row>
    <row r="401" spans="2:18">
      <c r="B401" s="11"/>
      <c r="Q401" s="11"/>
      <c r="R401" s="11"/>
    </row>
    <row r="402" spans="2:18">
      <c r="B402" s="11"/>
      <c r="Q402" s="11"/>
      <c r="R402" s="11"/>
    </row>
    <row r="403" spans="2:18">
      <c r="B403" s="11"/>
      <c r="Q403" s="11"/>
      <c r="R403" s="11"/>
    </row>
    <row r="404" spans="2:18">
      <c r="B404" s="11"/>
      <c r="Q404" s="11"/>
      <c r="R404" s="11"/>
    </row>
    <row r="405" spans="2:18">
      <c r="B405" s="11"/>
      <c r="Q405" s="11"/>
      <c r="R405" s="11"/>
    </row>
    <row r="406" spans="2:18">
      <c r="B406" s="11"/>
      <c r="Q406" s="11"/>
      <c r="R406" s="11"/>
    </row>
    <row r="407" spans="2:18">
      <c r="B407" s="11"/>
      <c r="Q407" s="11"/>
      <c r="R407" s="11"/>
    </row>
    <row r="408" spans="2:18">
      <c r="B408" s="11"/>
      <c r="Q408" s="11"/>
      <c r="R408" s="11"/>
    </row>
    <row r="409" spans="2:18">
      <c r="B409" s="11"/>
      <c r="Q409" s="11"/>
      <c r="R409" s="11"/>
    </row>
    <row r="410" spans="2:18">
      <c r="B410" s="11"/>
      <c r="Q410" s="11"/>
      <c r="R410" s="11"/>
    </row>
    <row r="411" spans="2:18">
      <c r="B411" s="11"/>
      <c r="Q411" s="11"/>
      <c r="R411" s="11"/>
    </row>
    <row r="412" spans="2:18">
      <c r="B412" s="11"/>
      <c r="Q412" s="11"/>
      <c r="R412" s="11"/>
    </row>
    <row r="413" spans="2:18">
      <c r="B413" s="11"/>
      <c r="Q413" s="11"/>
      <c r="R413" s="11"/>
    </row>
    <row r="414" spans="2:18">
      <c r="B414" s="11"/>
      <c r="Q414" s="11"/>
      <c r="R414" s="11"/>
    </row>
    <row r="415" spans="2:18">
      <c r="B415" s="11"/>
      <c r="Q415" s="11"/>
      <c r="R415" s="11"/>
    </row>
    <row r="416" spans="2:18">
      <c r="B416" s="11"/>
      <c r="Q416" s="11"/>
      <c r="R416" s="11"/>
    </row>
    <row r="417" spans="2:18">
      <c r="B417" s="11"/>
      <c r="Q417" s="11"/>
      <c r="R417" s="11"/>
    </row>
    <row r="418" spans="2:18">
      <c r="B418" s="11"/>
      <c r="Q418" s="11"/>
      <c r="R418" s="11"/>
    </row>
    <row r="419" spans="2:18">
      <c r="B419" s="11"/>
      <c r="Q419" s="11"/>
      <c r="R419" s="11"/>
    </row>
    <row r="420" spans="2:18">
      <c r="B420" s="11"/>
      <c r="Q420" s="11"/>
      <c r="R420" s="11"/>
    </row>
    <row r="421" spans="2:18">
      <c r="B421" s="11"/>
      <c r="Q421" s="11"/>
      <c r="R421" s="11"/>
    </row>
    <row r="422" spans="2:18">
      <c r="B422" s="11"/>
      <c r="Q422" s="11"/>
      <c r="R422" s="11"/>
    </row>
    <row r="423" spans="2:18">
      <c r="B423" s="11"/>
      <c r="Q423" s="11"/>
      <c r="R423" s="11"/>
    </row>
    <row r="424" spans="2:18">
      <c r="B424" s="11"/>
      <c r="Q424" s="11"/>
      <c r="R424" s="11"/>
    </row>
    <row r="425" spans="2:18">
      <c r="B425" s="11"/>
      <c r="Q425" s="11"/>
      <c r="R425" s="11"/>
    </row>
    <row r="426" spans="2:18">
      <c r="B426" s="11"/>
      <c r="Q426" s="11"/>
      <c r="R426" s="11"/>
    </row>
    <row r="427" spans="2:18">
      <c r="B427" s="11"/>
      <c r="Q427" s="11"/>
      <c r="R427" s="11"/>
    </row>
    <row r="428" spans="2:18">
      <c r="B428" s="11"/>
      <c r="Q428" s="11"/>
      <c r="R428" s="11"/>
    </row>
    <row r="429" spans="2:18">
      <c r="B429" s="11"/>
      <c r="Q429" s="11"/>
      <c r="R429" s="11"/>
    </row>
    <row r="430" spans="2:18">
      <c r="B430" s="11"/>
      <c r="Q430" s="11"/>
      <c r="R430" s="11"/>
    </row>
    <row r="431" spans="2:18">
      <c r="B431" s="11"/>
      <c r="Q431" s="11"/>
      <c r="R431" s="11"/>
    </row>
    <row r="432" spans="2:18">
      <c r="B432" s="11"/>
      <c r="Q432" s="11"/>
      <c r="R432" s="11"/>
    </row>
    <row r="433" spans="2:18">
      <c r="B433" s="11"/>
      <c r="Q433" s="11"/>
      <c r="R433" s="11"/>
    </row>
    <row r="434" spans="2:18">
      <c r="B434" s="11"/>
      <c r="Q434" s="11"/>
      <c r="R434" s="11"/>
    </row>
    <row r="435" spans="2:18">
      <c r="B435" s="11"/>
      <c r="Q435" s="11"/>
      <c r="R435" s="11"/>
    </row>
    <row r="436" spans="2:18">
      <c r="B436" s="11"/>
      <c r="Q436" s="11"/>
      <c r="R436" s="11"/>
    </row>
    <row r="437" spans="2:18">
      <c r="B437" s="11"/>
      <c r="Q437" s="11"/>
      <c r="R437" s="11"/>
    </row>
    <row r="438" spans="2:18">
      <c r="B438" s="11"/>
      <c r="Q438" s="11"/>
      <c r="R438" s="11"/>
    </row>
    <row r="439" spans="2:18">
      <c r="B439" s="11"/>
      <c r="Q439" s="11"/>
      <c r="R439" s="11"/>
    </row>
    <row r="440" spans="2:18">
      <c r="B440" s="11"/>
      <c r="Q440" s="11"/>
      <c r="R440" s="11"/>
    </row>
    <row r="441" spans="2:18">
      <c r="B441" s="11"/>
      <c r="Q441" s="11"/>
      <c r="R441" s="11"/>
    </row>
    <row r="442" spans="2:18">
      <c r="B442" s="11"/>
      <c r="Q442" s="11"/>
      <c r="R442" s="11"/>
    </row>
    <row r="443" spans="2:18">
      <c r="B443" s="11"/>
      <c r="Q443" s="11"/>
      <c r="R443" s="11"/>
    </row>
    <row r="444" spans="2:18">
      <c r="B444" s="11"/>
      <c r="Q444" s="11"/>
      <c r="R444" s="11"/>
    </row>
    <row r="445" spans="2:18">
      <c r="B445" s="11"/>
      <c r="Q445" s="11"/>
      <c r="R445" s="11"/>
    </row>
    <row r="446" spans="2:18">
      <c r="B446" s="11"/>
      <c r="Q446" s="11"/>
      <c r="R446" s="11"/>
    </row>
    <row r="447" spans="2:18">
      <c r="B447" s="11"/>
      <c r="Q447" s="11"/>
      <c r="R447" s="11"/>
    </row>
    <row r="448" spans="2:18">
      <c r="B448" s="11"/>
      <c r="Q448" s="11"/>
      <c r="R448" s="11"/>
    </row>
    <row r="449" spans="2:18">
      <c r="B449" s="11"/>
      <c r="Q449" s="11"/>
      <c r="R449" s="11"/>
    </row>
    <row r="450" spans="2:18">
      <c r="B450" s="11"/>
      <c r="Q450" s="11"/>
      <c r="R450" s="11"/>
    </row>
    <row r="451" spans="2:18">
      <c r="B451" s="11"/>
      <c r="Q451" s="11"/>
      <c r="R451" s="11"/>
    </row>
    <row r="452" spans="2:18">
      <c r="B452" s="11"/>
      <c r="Q452" s="11"/>
      <c r="R452" s="11"/>
    </row>
    <row r="453" spans="2:18">
      <c r="B453" s="11"/>
      <c r="Q453" s="11"/>
      <c r="R453" s="11"/>
    </row>
    <row r="454" spans="2:18">
      <c r="B454" s="11"/>
      <c r="Q454" s="11"/>
      <c r="R454" s="11"/>
    </row>
    <row r="455" spans="2:18">
      <c r="B455" s="11"/>
      <c r="Q455" s="11"/>
      <c r="R455" s="11"/>
    </row>
    <row r="456" spans="2:18">
      <c r="B456" s="11"/>
      <c r="Q456" s="11"/>
      <c r="R456" s="11"/>
    </row>
    <row r="457" spans="2:18">
      <c r="B457" s="11"/>
      <c r="Q457" s="11"/>
      <c r="R457" s="11"/>
    </row>
    <row r="458" spans="2:18">
      <c r="B458" s="11"/>
      <c r="Q458" s="11"/>
      <c r="R458" s="11"/>
    </row>
    <row r="459" spans="2:18">
      <c r="B459" s="11"/>
      <c r="Q459" s="11"/>
      <c r="R459" s="11"/>
    </row>
    <row r="460" spans="2:18">
      <c r="B460" s="11"/>
      <c r="Q460" s="11"/>
      <c r="R460" s="11"/>
    </row>
    <row r="461" spans="2:18">
      <c r="B461" s="11"/>
      <c r="Q461" s="11"/>
      <c r="R461" s="11"/>
    </row>
    <row r="462" spans="2:18">
      <c r="B462" s="11"/>
      <c r="Q462" s="11"/>
      <c r="R462" s="11"/>
    </row>
    <row r="463" spans="2:18">
      <c r="B463" s="11"/>
      <c r="Q463" s="11"/>
      <c r="R463" s="11"/>
    </row>
    <row r="464" spans="2:18">
      <c r="B464" s="11"/>
      <c r="Q464" s="11"/>
      <c r="R464" s="11"/>
    </row>
    <row r="465" spans="2:18">
      <c r="B465" s="11"/>
      <c r="Q465" s="11"/>
      <c r="R465" s="11"/>
    </row>
    <row r="466" spans="2:18">
      <c r="B466" s="11"/>
      <c r="Q466" s="11"/>
      <c r="R466" s="11"/>
    </row>
    <row r="467" spans="2:18">
      <c r="B467" s="11"/>
      <c r="Q467" s="11"/>
      <c r="R467" s="11"/>
    </row>
    <row r="468" spans="2:18">
      <c r="B468" s="11"/>
      <c r="Q468" s="11"/>
      <c r="R468" s="11"/>
    </row>
    <row r="469" spans="2:18">
      <c r="B469" s="11"/>
      <c r="Q469" s="11"/>
      <c r="R469" s="11"/>
    </row>
    <row r="470" spans="2:18">
      <c r="B470" s="11"/>
      <c r="Q470" s="11"/>
      <c r="R470" s="11"/>
    </row>
    <row r="471" spans="2:18">
      <c r="B471" s="11"/>
      <c r="Q471" s="11"/>
      <c r="R471" s="11"/>
    </row>
    <row r="472" spans="2:18">
      <c r="B472" s="11"/>
      <c r="Q472" s="11"/>
      <c r="R472" s="11"/>
    </row>
    <row r="473" spans="2:18">
      <c r="B473" s="11"/>
      <c r="Q473" s="11"/>
      <c r="R473" s="11"/>
    </row>
    <row r="474" spans="2:18">
      <c r="B474" s="11"/>
      <c r="Q474" s="11"/>
      <c r="R474" s="11"/>
    </row>
    <row r="475" spans="2:18">
      <c r="B475" s="11"/>
      <c r="Q475" s="11"/>
      <c r="R475" s="11"/>
    </row>
    <row r="476" spans="2:18">
      <c r="B476" s="11"/>
      <c r="Q476" s="11"/>
      <c r="R476" s="11"/>
    </row>
    <row r="477" spans="2:18">
      <c r="B477" s="11"/>
      <c r="Q477" s="11"/>
      <c r="R477" s="11"/>
    </row>
    <row r="478" spans="2:18">
      <c r="B478" s="11"/>
      <c r="Q478" s="11"/>
      <c r="R478" s="11"/>
    </row>
    <row r="479" spans="2:18">
      <c r="B479" s="11"/>
      <c r="Q479" s="11"/>
      <c r="R479" s="11"/>
    </row>
    <row r="480" spans="2:18">
      <c r="B480" s="11"/>
      <c r="Q480" s="11"/>
      <c r="R480" s="11"/>
    </row>
    <row r="481" spans="2:18">
      <c r="B481" s="11"/>
      <c r="Q481" s="11"/>
      <c r="R481" s="11"/>
    </row>
    <row r="482" spans="2:18">
      <c r="B482" s="11"/>
      <c r="Q482" s="11"/>
      <c r="R482" s="11"/>
    </row>
    <row r="483" spans="2:18">
      <c r="B483" s="11"/>
      <c r="Q483" s="11"/>
      <c r="R483" s="11"/>
    </row>
    <row r="484" spans="2:18">
      <c r="B484" s="11"/>
      <c r="Q484" s="11"/>
      <c r="R484" s="11"/>
    </row>
    <row r="485" spans="2:18">
      <c r="B485" s="11"/>
      <c r="Q485" s="11"/>
      <c r="R485" s="11"/>
    </row>
    <row r="486" spans="2:18">
      <c r="B486" s="11"/>
      <c r="Q486" s="11"/>
      <c r="R486" s="11"/>
    </row>
    <row r="487" spans="2:18">
      <c r="B487" s="11"/>
      <c r="Q487" s="11"/>
      <c r="R487" s="11"/>
    </row>
    <row r="488" spans="2:18">
      <c r="B488" s="11"/>
      <c r="Q488" s="11"/>
      <c r="R488" s="11"/>
    </row>
    <row r="489" spans="2:18">
      <c r="B489" s="11"/>
      <c r="Q489" s="11"/>
      <c r="R489" s="11"/>
    </row>
    <row r="490" spans="2:18">
      <c r="B490" s="11"/>
      <c r="Q490" s="11"/>
      <c r="R490" s="11"/>
    </row>
    <row r="491" spans="2:18">
      <c r="B491" s="11"/>
      <c r="Q491" s="11"/>
      <c r="R491" s="11"/>
    </row>
    <row r="492" spans="2:18">
      <c r="B492" s="11"/>
      <c r="Q492" s="11"/>
      <c r="R492" s="11"/>
    </row>
    <row r="493" spans="2:18">
      <c r="B493" s="11"/>
      <c r="Q493" s="11"/>
      <c r="R493" s="11"/>
    </row>
    <row r="494" spans="2:18">
      <c r="B494" s="11"/>
      <c r="Q494" s="11"/>
      <c r="R494" s="11"/>
    </row>
    <row r="495" spans="2:18">
      <c r="B495" s="11"/>
      <c r="Q495" s="11"/>
      <c r="R495" s="11"/>
    </row>
    <row r="496" spans="2:18">
      <c r="B496" s="11"/>
      <c r="Q496" s="11"/>
      <c r="R496" s="11"/>
    </row>
    <row r="497" spans="2:18">
      <c r="B497" s="11"/>
      <c r="Q497" s="11"/>
      <c r="R497" s="11"/>
    </row>
    <row r="498" spans="2:18">
      <c r="B498" s="11"/>
      <c r="Q498" s="11"/>
      <c r="R498" s="11"/>
    </row>
    <row r="499" spans="2:18">
      <c r="B499" s="11"/>
      <c r="Q499" s="11"/>
      <c r="R499" s="11"/>
    </row>
    <row r="500" spans="2:18">
      <c r="B500" s="11"/>
      <c r="Q500" s="11"/>
      <c r="R500" s="11"/>
    </row>
    <row r="501" spans="2:18">
      <c r="B501" s="11"/>
      <c r="Q501" s="11"/>
      <c r="R501" s="11"/>
    </row>
    <row r="502" spans="2:18">
      <c r="B502" s="11"/>
      <c r="Q502" s="11"/>
      <c r="R502" s="11"/>
    </row>
    <row r="503" spans="2:18">
      <c r="B503" s="11"/>
      <c r="Q503" s="11"/>
      <c r="R503" s="11"/>
    </row>
    <row r="504" spans="2:18">
      <c r="B504" s="11"/>
      <c r="Q504" s="11"/>
      <c r="R504" s="11"/>
    </row>
    <row r="505" spans="2:18">
      <c r="B505" s="11"/>
      <c r="Q505" s="11"/>
      <c r="R505" s="11"/>
    </row>
    <row r="506" spans="2:18">
      <c r="B506" s="11"/>
      <c r="Q506" s="11"/>
      <c r="R506" s="11"/>
    </row>
    <row r="507" spans="2:18">
      <c r="B507" s="11"/>
      <c r="Q507" s="11"/>
      <c r="R507" s="11"/>
    </row>
    <row r="508" spans="2:18">
      <c r="B508" s="11"/>
      <c r="Q508" s="11"/>
      <c r="R508" s="11"/>
    </row>
    <row r="509" spans="2:18">
      <c r="B509" s="11"/>
      <c r="Q509" s="11"/>
      <c r="R509" s="11"/>
    </row>
    <row r="510" spans="2:18">
      <c r="B510" s="11"/>
      <c r="Q510" s="11"/>
      <c r="R510" s="11"/>
    </row>
    <row r="511" spans="2:18">
      <c r="B511" s="11"/>
      <c r="Q511" s="11"/>
      <c r="R511" s="11"/>
    </row>
    <row r="512" spans="2:18">
      <c r="B512" s="11"/>
      <c r="Q512" s="11"/>
      <c r="R512" s="11"/>
    </row>
    <row r="513" spans="2:18">
      <c r="B513" s="11"/>
      <c r="Q513" s="11"/>
      <c r="R513" s="11"/>
    </row>
    <row r="514" spans="2:18">
      <c r="B514" s="11"/>
      <c r="Q514" s="11"/>
      <c r="R514" s="11"/>
    </row>
    <row r="515" spans="2:18">
      <c r="B515" s="11"/>
      <c r="Q515" s="11"/>
      <c r="R515" s="11"/>
    </row>
    <row r="516" spans="2:18">
      <c r="B516" s="11"/>
      <c r="Q516" s="11"/>
      <c r="R516" s="11"/>
    </row>
    <row r="517" spans="2:18">
      <c r="B517" s="11"/>
      <c r="Q517" s="11"/>
      <c r="R517" s="11"/>
    </row>
    <row r="518" spans="2:18">
      <c r="B518" s="11"/>
      <c r="Q518" s="11"/>
      <c r="R518" s="11"/>
    </row>
    <row r="519" spans="2:18">
      <c r="B519" s="11"/>
      <c r="Q519" s="11"/>
      <c r="R519" s="11"/>
    </row>
    <row r="520" spans="2:18">
      <c r="B520" s="11"/>
      <c r="Q520" s="11"/>
      <c r="R520" s="11"/>
    </row>
    <row r="521" spans="2:18">
      <c r="B521" s="11"/>
      <c r="Q521" s="11"/>
      <c r="R521" s="11"/>
    </row>
    <row r="522" spans="2:18">
      <c r="B522" s="11"/>
      <c r="Q522" s="11"/>
      <c r="R522" s="11"/>
    </row>
    <row r="523" spans="2:18">
      <c r="B523" s="11"/>
      <c r="Q523" s="11"/>
      <c r="R523" s="11"/>
    </row>
    <row r="524" spans="2:18">
      <c r="B524" s="11"/>
      <c r="Q524" s="11"/>
      <c r="R524" s="11"/>
    </row>
    <row r="525" spans="2:18">
      <c r="B525" s="11"/>
      <c r="Q525" s="11"/>
      <c r="R525" s="11"/>
    </row>
    <row r="526" spans="2:18">
      <c r="B526" s="11"/>
      <c r="Q526" s="11"/>
      <c r="R526" s="11"/>
    </row>
    <row r="527" spans="2:18">
      <c r="B527" s="11"/>
      <c r="Q527" s="11"/>
      <c r="R527" s="11"/>
    </row>
    <row r="528" spans="2:18">
      <c r="B528" s="11"/>
      <c r="Q528" s="11"/>
      <c r="R528" s="11"/>
    </row>
    <row r="529" spans="2:18">
      <c r="B529" s="11"/>
      <c r="Q529" s="11"/>
      <c r="R529" s="11"/>
    </row>
    <row r="530" spans="2:18">
      <c r="B530" s="11"/>
      <c r="Q530" s="11"/>
      <c r="R530" s="11"/>
    </row>
    <row r="531" spans="2:18">
      <c r="B531" s="11"/>
      <c r="Q531" s="11"/>
      <c r="R531" s="11"/>
    </row>
    <row r="532" spans="2:18">
      <c r="B532" s="11"/>
      <c r="Q532" s="11"/>
      <c r="R532" s="11"/>
    </row>
    <row r="533" spans="2:18">
      <c r="B533" s="11"/>
      <c r="Q533" s="11"/>
      <c r="R533" s="11"/>
    </row>
    <row r="534" spans="2:18">
      <c r="B534" s="11"/>
      <c r="Q534" s="11"/>
      <c r="R534" s="11"/>
    </row>
    <row r="535" spans="2:18">
      <c r="B535" s="11"/>
      <c r="Q535" s="11"/>
      <c r="R535" s="11"/>
    </row>
    <row r="536" spans="2:18">
      <c r="B536" s="11"/>
      <c r="Q536" s="11"/>
      <c r="R536" s="11"/>
    </row>
    <row r="537" spans="2:18">
      <c r="B537" s="11"/>
      <c r="Q537" s="11"/>
      <c r="R537" s="11"/>
    </row>
    <row r="538" spans="2:18">
      <c r="B538" s="11"/>
      <c r="Q538" s="11"/>
      <c r="R538" s="11"/>
    </row>
    <row r="539" spans="2:18">
      <c r="B539" s="11"/>
      <c r="Q539" s="11"/>
      <c r="R539" s="11"/>
    </row>
    <row r="540" spans="2:18">
      <c r="B540" s="11"/>
      <c r="Q540" s="11"/>
      <c r="R540" s="11"/>
    </row>
    <row r="541" spans="2:18">
      <c r="B541" s="11"/>
      <c r="Q541" s="11"/>
      <c r="R541" s="11"/>
    </row>
    <row r="542" spans="2:18">
      <c r="B542" s="11"/>
      <c r="Q542" s="11"/>
      <c r="R542" s="11"/>
    </row>
    <row r="543" spans="2:18">
      <c r="B543" s="11"/>
      <c r="Q543" s="11"/>
      <c r="R543" s="11"/>
    </row>
    <row r="544" spans="2:18">
      <c r="B544" s="11"/>
      <c r="Q544" s="11"/>
      <c r="R544" s="11"/>
    </row>
    <row r="545" spans="2:18">
      <c r="B545" s="11"/>
      <c r="Q545" s="11"/>
      <c r="R545" s="11"/>
    </row>
    <row r="546" spans="2:18">
      <c r="B546" s="11"/>
      <c r="Q546" s="11"/>
      <c r="R546" s="11"/>
    </row>
    <row r="547" spans="2:18">
      <c r="B547" s="11"/>
      <c r="Q547" s="11"/>
      <c r="R547" s="11"/>
    </row>
    <row r="548" spans="2:18">
      <c r="B548" s="11"/>
      <c r="Q548" s="11"/>
      <c r="R548" s="11"/>
    </row>
    <row r="549" spans="2:18">
      <c r="B549" s="11"/>
      <c r="Q549" s="11"/>
      <c r="R549" s="11"/>
    </row>
    <row r="550" spans="2:18">
      <c r="B550" s="11"/>
      <c r="Q550" s="11"/>
      <c r="R550" s="11"/>
    </row>
    <row r="551" spans="2:18">
      <c r="B551" s="11"/>
      <c r="Q551" s="11"/>
      <c r="R551" s="11"/>
    </row>
    <row r="552" spans="2:18">
      <c r="B552" s="11"/>
      <c r="Q552" s="11"/>
      <c r="R552" s="11"/>
    </row>
    <row r="553" spans="2:18">
      <c r="B553" s="11"/>
      <c r="Q553" s="11"/>
      <c r="R553" s="11"/>
    </row>
    <row r="554" spans="2:18">
      <c r="B554" s="11"/>
      <c r="Q554" s="11"/>
      <c r="R554" s="11"/>
    </row>
    <row r="555" spans="2:18">
      <c r="B555" s="11"/>
      <c r="Q555" s="11"/>
      <c r="R555" s="11"/>
    </row>
    <row r="556" spans="2:18">
      <c r="B556" s="11"/>
      <c r="Q556" s="11"/>
      <c r="R556" s="11"/>
    </row>
    <row r="557" spans="2:18">
      <c r="B557" s="11"/>
      <c r="Q557" s="11"/>
      <c r="R557" s="11"/>
    </row>
    <row r="558" spans="2:18">
      <c r="B558" s="11"/>
      <c r="Q558" s="11"/>
      <c r="R558" s="11"/>
    </row>
    <row r="559" spans="2:18">
      <c r="B559" s="11"/>
      <c r="Q559" s="11"/>
      <c r="R559" s="11"/>
    </row>
    <row r="560" spans="2:18">
      <c r="B560" s="11"/>
      <c r="Q560" s="11"/>
      <c r="R560" s="11"/>
    </row>
    <row r="561" spans="2:18">
      <c r="B561" s="11"/>
      <c r="Q561" s="11"/>
      <c r="R561" s="11"/>
    </row>
    <row r="562" spans="2:18">
      <c r="B562" s="11"/>
      <c r="Q562" s="11"/>
      <c r="R562" s="11"/>
    </row>
    <row r="563" spans="2:18">
      <c r="B563" s="11"/>
      <c r="Q563" s="11"/>
      <c r="R563" s="11"/>
    </row>
    <row r="564" spans="2:18">
      <c r="B564" s="11"/>
      <c r="Q564" s="11"/>
      <c r="R564" s="11"/>
    </row>
    <row r="565" spans="2:18">
      <c r="B565" s="11"/>
      <c r="Q565" s="11"/>
      <c r="R565" s="11"/>
    </row>
    <row r="566" spans="2:18">
      <c r="B566" s="11"/>
      <c r="Q566" s="11"/>
      <c r="R566" s="11"/>
    </row>
    <row r="567" spans="2:18">
      <c r="B567" s="11"/>
      <c r="Q567" s="11"/>
      <c r="R567" s="11"/>
    </row>
    <row r="568" spans="2:18">
      <c r="B568" s="11"/>
      <c r="Q568" s="11"/>
      <c r="R568" s="11"/>
    </row>
    <row r="569" spans="2:18">
      <c r="B569" s="11"/>
      <c r="Q569" s="11"/>
      <c r="R569" s="11"/>
    </row>
    <row r="570" spans="2:18">
      <c r="B570" s="11"/>
      <c r="Q570" s="11"/>
      <c r="R570" s="11"/>
    </row>
    <row r="571" spans="2:18">
      <c r="B571" s="11"/>
      <c r="Q571" s="11"/>
      <c r="R571" s="11"/>
    </row>
    <row r="572" spans="2:18">
      <c r="B572" s="11"/>
      <c r="Q572" s="11"/>
      <c r="R572" s="11"/>
    </row>
    <row r="573" spans="2:18">
      <c r="B573" s="11"/>
      <c r="Q573" s="11"/>
      <c r="R573" s="11"/>
    </row>
    <row r="574" spans="2:18">
      <c r="B574" s="11"/>
      <c r="Q574" s="11"/>
      <c r="R574" s="11"/>
    </row>
    <row r="575" spans="2:18">
      <c r="B575" s="11"/>
      <c r="Q575" s="11"/>
      <c r="R575" s="11"/>
    </row>
    <row r="576" spans="2:18">
      <c r="B576" s="11"/>
      <c r="Q576" s="11"/>
      <c r="R576" s="11"/>
    </row>
    <row r="577" spans="2:18">
      <c r="B577" s="11"/>
      <c r="Q577" s="11"/>
      <c r="R577" s="11"/>
    </row>
    <row r="578" spans="2:18">
      <c r="B578" s="11"/>
      <c r="Q578" s="11"/>
      <c r="R578" s="11"/>
    </row>
    <row r="579" spans="2:18">
      <c r="B579" s="11"/>
      <c r="Q579" s="11"/>
      <c r="R579" s="11"/>
    </row>
    <row r="580" spans="2:18">
      <c r="B580" s="11"/>
      <c r="Q580" s="11"/>
      <c r="R580" s="11"/>
    </row>
    <row r="581" spans="2:18">
      <c r="B581" s="11"/>
      <c r="Q581" s="11"/>
      <c r="R581" s="11"/>
    </row>
    <row r="582" spans="2:18">
      <c r="B582" s="11"/>
      <c r="Q582" s="11"/>
      <c r="R582" s="11"/>
    </row>
    <row r="583" spans="2:18">
      <c r="B583" s="11"/>
      <c r="Q583" s="11"/>
      <c r="R583" s="11"/>
    </row>
    <row r="584" spans="2:18">
      <c r="B584" s="11"/>
      <c r="Q584" s="11"/>
      <c r="R584" s="11"/>
    </row>
    <row r="585" spans="2:18">
      <c r="B585" s="11"/>
      <c r="Q585" s="11"/>
      <c r="R585" s="11"/>
    </row>
    <row r="586" spans="2:18">
      <c r="B586" s="11"/>
      <c r="Q586" s="11"/>
      <c r="R586" s="11"/>
    </row>
    <row r="587" spans="2:18">
      <c r="B587" s="11"/>
      <c r="Q587" s="11"/>
      <c r="R587" s="11"/>
    </row>
    <row r="588" spans="2:18">
      <c r="B588" s="11"/>
      <c r="Q588" s="11"/>
      <c r="R588" s="11"/>
    </row>
    <row r="589" spans="2:18">
      <c r="B589" s="11"/>
      <c r="Q589" s="11"/>
      <c r="R589" s="11"/>
    </row>
    <row r="590" spans="2:18">
      <c r="B590" s="11"/>
      <c r="Q590" s="11"/>
      <c r="R590" s="11"/>
    </row>
    <row r="591" spans="2:18">
      <c r="B591" s="11"/>
      <c r="Q591" s="11"/>
      <c r="R591" s="11"/>
    </row>
    <row r="592" spans="2:18">
      <c r="B592" s="11"/>
      <c r="Q592" s="11"/>
      <c r="R592" s="11"/>
    </row>
    <row r="593" spans="2:18">
      <c r="B593" s="11"/>
      <c r="Q593" s="11"/>
      <c r="R593" s="11"/>
    </row>
    <row r="594" spans="2:18">
      <c r="B594" s="11"/>
      <c r="Q594" s="11"/>
      <c r="R594" s="11"/>
    </row>
    <row r="595" spans="2:18">
      <c r="B595" s="11"/>
      <c r="Q595" s="11"/>
      <c r="R595" s="11"/>
    </row>
    <row r="596" spans="2:18">
      <c r="B596" s="11"/>
      <c r="Q596" s="11"/>
      <c r="R596" s="11"/>
    </row>
    <row r="597" spans="2:18">
      <c r="B597" s="11"/>
      <c r="Q597" s="11"/>
      <c r="R597" s="11"/>
    </row>
    <row r="598" spans="2:18">
      <c r="B598" s="11"/>
      <c r="Q598" s="11"/>
      <c r="R598" s="11"/>
    </row>
    <row r="599" spans="2:18">
      <c r="B599" s="11"/>
      <c r="Q599" s="11"/>
      <c r="R599" s="11"/>
    </row>
    <row r="600" spans="2:18">
      <c r="B600" s="11"/>
      <c r="Q600" s="11"/>
      <c r="R600" s="11"/>
    </row>
    <row r="601" spans="2:18">
      <c r="B601" s="11"/>
      <c r="Q601" s="11"/>
      <c r="R601" s="11"/>
    </row>
    <row r="602" spans="2:18">
      <c r="B602" s="11"/>
      <c r="Q602" s="11"/>
      <c r="R602" s="11"/>
    </row>
    <row r="603" spans="2:18">
      <c r="B603" s="11"/>
      <c r="Q603" s="11"/>
      <c r="R603" s="11"/>
    </row>
    <row r="604" spans="2:18">
      <c r="B604" s="11"/>
      <c r="Q604" s="11"/>
      <c r="R604" s="11"/>
    </row>
    <row r="605" spans="2:18">
      <c r="B605" s="11"/>
      <c r="Q605" s="11"/>
      <c r="R605" s="11"/>
    </row>
    <row r="606" spans="2:18">
      <c r="B606" s="11"/>
      <c r="Q606" s="11"/>
      <c r="R606" s="11"/>
    </row>
    <row r="607" spans="2:18">
      <c r="B607" s="11"/>
      <c r="Q607" s="11"/>
      <c r="R607" s="11"/>
    </row>
    <row r="608" spans="2:18">
      <c r="B608" s="11"/>
      <c r="Q608" s="11"/>
      <c r="R608" s="11"/>
    </row>
    <row r="609" spans="2:18">
      <c r="B609" s="11"/>
      <c r="Q609" s="11"/>
      <c r="R609" s="11"/>
    </row>
    <row r="610" spans="2:18">
      <c r="B610" s="11"/>
      <c r="Q610" s="11"/>
      <c r="R610" s="11"/>
    </row>
    <row r="611" spans="2:18">
      <c r="B611" s="11"/>
      <c r="Q611" s="11"/>
      <c r="R611" s="11"/>
    </row>
    <row r="612" spans="2:18">
      <c r="B612" s="11"/>
      <c r="Q612" s="11"/>
      <c r="R612" s="11"/>
    </row>
    <row r="613" spans="2:18">
      <c r="B613" s="11"/>
      <c r="Q613" s="11"/>
      <c r="R613" s="11"/>
    </row>
    <row r="614" spans="2:18">
      <c r="B614" s="11"/>
      <c r="Q614" s="11"/>
      <c r="R614" s="11"/>
    </row>
    <row r="615" spans="2:18">
      <c r="B615" s="11"/>
      <c r="Q615" s="11"/>
      <c r="R615" s="11"/>
    </row>
    <row r="616" spans="2:18">
      <c r="B616" s="11"/>
      <c r="Q616" s="11"/>
      <c r="R616" s="11"/>
    </row>
    <row r="617" spans="2:18">
      <c r="B617" s="11"/>
      <c r="Q617" s="11"/>
      <c r="R617" s="11"/>
    </row>
    <row r="618" spans="2:18">
      <c r="B618" s="11"/>
      <c r="Q618" s="11"/>
      <c r="R618" s="11"/>
    </row>
    <row r="619" spans="2:18">
      <c r="B619" s="11"/>
      <c r="Q619" s="11"/>
      <c r="R619" s="11"/>
    </row>
    <row r="620" spans="2:18">
      <c r="B620" s="11"/>
      <c r="Q620" s="11"/>
      <c r="R620" s="11"/>
    </row>
    <row r="621" spans="2:18">
      <c r="B621" s="11"/>
      <c r="Q621" s="11"/>
      <c r="R621" s="11"/>
    </row>
    <row r="622" spans="2:18">
      <c r="B622" s="11"/>
      <c r="Q622" s="11"/>
      <c r="R622" s="11"/>
    </row>
    <row r="623" spans="2:18">
      <c r="B623" s="11"/>
      <c r="Q623" s="11"/>
      <c r="R623" s="11"/>
    </row>
    <row r="624" spans="2:18">
      <c r="B624" s="11"/>
      <c r="Q624" s="11"/>
      <c r="R624" s="11"/>
    </row>
    <row r="625" spans="2:18">
      <c r="B625" s="11"/>
      <c r="Q625" s="11"/>
      <c r="R625" s="11"/>
    </row>
    <row r="626" spans="2:18">
      <c r="B626" s="11"/>
      <c r="Q626" s="11"/>
      <c r="R626" s="11"/>
    </row>
    <row r="627" spans="2:18">
      <c r="B627" s="11"/>
      <c r="Q627" s="11"/>
      <c r="R627" s="11"/>
    </row>
    <row r="628" spans="2:18">
      <c r="B628" s="11"/>
      <c r="Q628" s="11"/>
      <c r="R628" s="11"/>
    </row>
    <row r="629" spans="2:18">
      <c r="B629" s="11"/>
      <c r="Q629" s="11"/>
      <c r="R629" s="11"/>
    </row>
    <row r="630" spans="2:18">
      <c r="B630" s="11"/>
      <c r="Q630" s="11"/>
      <c r="R630" s="11"/>
    </row>
    <row r="631" spans="2:18">
      <c r="B631" s="11"/>
      <c r="Q631" s="11"/>
      <c r="R631" s="11"/>
    </row>
    <row r="632" spans="2:18">
      <c r="B632" s="11"/>
      <c r="Q632" s="11"/>
      <c r="R632" s="11"/>
    </row>
    <row r="633" spans="2:18">
      <c r="B633" s="11"/>
      <c r="Q633" s="11"/>
      <c r="R633" s="11"/>
    </row>
    <row r="634" spans="2:18">
      <c r="B634" s="11"/>
      <c r="Q634" s="11"/>
      <c r="R634" s="11"/>
    </row>
    <row r="635" spans="2:18">
      <c r="B635" s="11"/>
      <c r="Q635" s="11"/>
      <c r="R635" s="11"/>
    </row>
    <row r="636" spans="2:18">
      <c r="B636" s="11"/>
      <c r="Q636" s="11"/>
      <c r="R636" s="11"/>
    </row>
    <row r="637" spans="2:18">
      <c r="B637" s="11"/>
      <c r="Q637" s="11"/>
      <c r="R637" s="11"/>
    </row>
    <row r="638" spans="2:18">
      <c r="B638" s="11"/>
      <c r="Q638" s="11"/>
      <c r="R638" s="11"/>
    </row>
    <row r="639" spans="2:18">
      <c r="B639" s="11"/>
      <c r="Q639" s="11"/>
      <c r="R639" s="11"/>
    </row>
    <row r="640" spans="2:18">
      <c r="B640" s="11"/>
      <c r="Q640" s="11"/>
      <c r="R640" s="11"/>
    </row>
    <row r="641" spans="2:18">
      <c r="B641" s="11"/>
      <c r="Q641" s="11"/>
      <c r="R641" s="11"/>
    </row>
    <row r="642" spans="2:18">
      <c r="B642" s="11"/>
      <c r="Q642" s="11"/>
      <c r="R642" s="11"/>
    </row>
    <row r="643" spans="2:18">
      <c r="B643" s="11"/>
      <c r="Q643" s="11"/>
      <c r="R643" s="11"/>
    </row>
    <row r="644" spans="2:18">
      <c r="B644" s="11"/>
      <c r="Q644" s="11"/>
      <c r="R644" s="11"/>
    </row>
    <row r="645" spans="2:18">
      <c r="B645" s="11"/>
      <c r="Q645" s="11"/>
      <c r="R645" s="11"/>
    </row>
    <row r="646" spans="2:18">
      <c r="B646" s="11"/>
      <c r="Q646" s="11"/>
      <c r="R646" s="11"/>
    </row>
    <row r="647" spans="2:18">
      <c r="B647" s="11"/>
      <c r="Q647" s="11"/>
      <c r="R647" s="11"/>
    </row>
    <row r="648" spans="2:18">
      <c r="B648" s="11"/>
      <c r="Q648" s="11"/>
      <c r="R648" s="11"/>
    </row>
    <row r="649" spans="2:18">
      <c r="B649" s="11"/>
      <c r="Q649" s="11"/>
      <c r="R649" s="11"/>
    </row>
    <row r="650" spans="2:18">
      <c r="B650" s="11"/>
      <c r="Q650" s="11"/>
      <c r="R650" s="11"/>
    </row>
    <row r="651" spans="2:18">
      <c r="B651" s="11"/>
      <c r="Q651" s="11"/>
      <c r="R651" s="11"/>
    </row>
    <row r="652" spans="2:18">
      <c r="B652" s="11"/>
      <c r="Q652" s="11"/>
      <c r="R652" s="11"/>
    </row>
    <row r="653" spans="2:18">
      <c r="B653" s="11"/>
      <c r="Q653" s="11"/>
      <c r="R653" s="11"/>
    </row>
    <row r="654" spans="2:18">
      <c r="B654" s="11"/>
      <c r="Q654" s="11"/>
      <c r="R654" s="11"/>
    </row>
    <row r="655" spans="2:18">
      <c r="B655" s="11"/>
      <c r="Q655" s="11"/>
      <c r="R655" s="11"/>
    </row>
    <row r="656" spans="2:18">
      <c r="B656" s="11"/>
      <c r="Q656" s="11"/>
      <c r="R656" s="11"/>
    </row>
    <row r="657" spans="2:18">
      <c r="B657" s="11"/>
      <c r="Q657" s="11"/>
      <c r="R657" s="11"/>
    </row>
    <row r="658" spans="2:18">
      <c r="B658" s="11"/>
      <c r="Q658" s="11"/>
      <c r="R658" s="11"/>
    </row>
    <row r="659" spans="2:18">
      <c r="B659" s="11"/>
      <c r="Q659" s="11"/>
      <c r="R659" s="11"/>
    </row>
    <row r="660" spans="2:18">
      <c r="B660" s="11"/>
      <c r="Q660" s="11"/>
      <c r="R660" s="11"/>
    </row>
    <row r="661" spans="2:18">
      <c r="B661" s="11"/>
      <c r="Q661" s="11"/>
      <c r="R661" s="11"/>
    </row>
    <row r="662" spans="2:18">
      <c r="B662" s="11"/>
      <c r="Q662" s="11"/>
      <c r="R662" s="11"/>
    </row>
    <row r="663" spans="2:18">
      <c r="B663" s="11"/>
      <c r="Q663" s="11"/>
      <c r="R663" s="11"/>
    </row>
    <row r="664" spans="2:18">
      <c r="B664" s="11"/>
      <c r="Q664" s="11"/>
      <c r="R664" s="11"/>
    </row>
    <row r="665" spans="2:18">
      <c r="B665" s="11"/>
      <c r="Q665" s="11"/>
      <c r="R665" s="11"/>
    </row>
    <row r="666" spans="2:18">
      <c r="B666" s="11"/>
      <c r="Q666" s="11"/>
      <c r="R666" s="11"/>
    </row>
    <row r="667" spans="2:18">
      <c r="B667" s="11"/>
      <c r="Q667" s="11"/>
      <c r="R667" s="11"/>
    </row>
    <row r="668" spans="2:18">
      <c r="B668" s="11"/>
      <c r="Q668" s="11"/>
      <c r="R668" s="11"/>
    </row>
    <row r="669" spans="2:18">
      <c r="B669" s="11"/>
      <c r="Q669" s="11"/>
      <c r="R669" s="11"/>
    </row>
    <row r="670" spans="2:18">
      <c r="B670" s="11"/>
      <c r="Q670" s="11"/>
      <c r="R670" s="11"/>
    </row>
    <row r="671" spans="2:18">
      <c r="B671" s="11"/>
      <c r="Q671" s="11"/>
      <c r="R671" s="11"/>
    </row>
    <row r="672" spans="2:18">
      <c r="B672" s="11"/>
      <c r="Q672" s="11"/>
      <c r="R672" s="11"/>
    </row>
    <row r="673" spans="2:18">
      <c r="B673" s="11"/>
      <c r="Q673" s="11"/>
      <c r="R673" s="11"/>
    </row>
    <row r="674" spans="2:18">
      <c r="B674" s="11"/>
      <c r="Q674" s="11"/>
      <c r="R674" s="11"/>
    </row>
    <row r="675" spans="2:18">
      <c r="B675" s="11"/>
      <c r="Q675" s="11"/>
      <c r="R675" s="11"/>
    </row>
    <row r="676" spans="2:18">
      <c r="B676" s="11"/>
      <c r="Q676" s="11"/>
      <c r="R676" s="11"/>
    </row>
    <row r="677" spans="2:18">
      <c r="B677" s="11"/>
      <c r="Q677" s="11"/>
      <c r="R677" s="11"/>
    </row>
    <row r="678" spans="2:18">
      <c r="B678" s="11"/>
      <c r="Q678" s="11"/>
      <c r="R678" s="11"/>
    </row>
    <row r="679" spans="2:18">
      <c r="B679" s="11"/>
      <c r="Q679" s="11"/>
      <c r="R679" s="11"/>
    </row>
    <row r="680" spans="2:18">
      <c r="B680" s="11"/>
      <c r="Q680" s="11"/>
      <c r="R680" s="11"/>
    </row>
    <row r="681" spans="2:18">
      <c r="B681" s="11"/>
      <c r="Q681" s="11"/>
      <c r="R681" s="11"/>
    </row>
    <row r="682" spans="2:18">
      <c r="B682" s="11"/>
      <c r="Q682" s="11"/>
      <c r="R682" s="11"/>
    </row>
    <row r="683" spans="2:18">
      <c r="B683" s="11"/>
      <c r="Q683" s="11"/>
      <c r="R683" s="11"/>
    </row>
    <row r="684" spans="2:18">
      <c r="B684" s="11"/>
      <c r="Q684" s="11"/>
      <c r="R684" s="11"/>
    </row>
    <row r="685" spans="2:18">
      <c r="B685" s="11"/>
      <c r="Q685" s="11"/>
      <c r="R685" s="11"/>
    </row>
    <row r="686" spans="2:18">
      <c r="B686" s="11"/>
      <c r="Q686" s="11"/>
      <c r="R686" s="11"/>
    </row>
    <row r="687" spans="2:18">
      <c r="B687" s="11"/>
      <c r="Q687" s="11"/>
      <c r="R687" s="11"/>
    </row>
    <row r="688" spans="2:18">
      <c r="B688" s="11"/>
      <c r="Q688" s="11"/>
      <c r="R688" s="11"/>
    </row>
    <row r="689" spans="2:18">
      <c r="B689" s="11"/>
      <c r="Q689" s="11"/>
      <c r="R689" s="11"/>
    </row>
    <row r="690" spans="2:18">
      <c r="B690" s="11"/>
      <c r="Q690" s="11"/>
      <c r="R690" s="11"/>
    </row>
    <row r="691" spans="2:18">
      <c r="B691" s="11"/>
      <c r="Q691" s="11"/>
      <c r="R691" s="11"/>
    </row>
    <row r="692" spans="2:18">
      <c r="B692" s="11"/>
      <c r="Q692" s="11"/>
      <c r="R692" s="11"/>
    </row>
    <row r="693" spans="2:18">
      <c r="B693" s="11"/>
      <c r="Q693" s="11"/>
      <c r="R693" s="11"/>
    </row>
    <row r="694" spans="2:18">
      <c r="B694" s="11"/>
      <c r="Q694" s="11"/>
      <c r="R694" s="11"/>
    </row>
    <row r="695" spans="2:18">
      <c r="B695" s="11"/>
      <c r="Q695" s="11"/>
      <c r="R695" s="11"/>
    </row>
    <row r="696" spans="2:18">
      <c r="B696" s="11"/>
      <c r="Q696" s="11"/>
      <c r="R696" s="11"/>
    </row>
    <row r="697" spans="2:18">
      <c r="B697" s="11"/>
      <c r="Q697" s="11"/>
      <c r="R697" s="11"/>
    </row>
    <row r="698" spans="2:18">
      <c r="B698" s="11"/>
      <c r="Q698" s="11"/>
      <c r="R698" s="11"/>
    </row>
    <row r="699" spans="2:18">
      <c r="B699" s="11"/>
      <c r="Q699" s="11"/>
      <c r="R699" s="11"/>
    </row>
    <row r="700" spans="2:18">
      <c r="B700" s="11"/>
      <c r="Q700" s="11"/>
      <c r="R700" s="11"/>
    </row>
    <row r="701" spans="2:18">
      <c r="B701" s="11"/>
      <c r="Q701" s="11"/>
      <c r="R701" s="11"/>
    </row>
    <row r="702" spans="2:18">
      <c r="B702" s="11"/>
      <c r="Q702" s="11"/>
      <c r="R702" s="11"/>
    </row>
    <row r="703" spans="2:18">
      <c r="B703" s="11"/>
      <c r="Q703" s="11"/>
      <c r="R703" s="11"/>
    </row>
    <row r="704" spans="2:18">
      <c r="B704" s="11"/>
      <c r="Q704" s="11"/>
      <c r="R704" s="11"/>
    </row>
    <row r="705" spans="2:18">
      <c r="B705" s="11"/>
      <c r="Q705" s="11"/>
      <c r="R705" s="11"/>
    </row>
    <row r="706" spans="2:18">
      <c r="B706" s="11"/>
      <c r="Q706" s="11"/>
      <c r="R706" s="11"/>
    </row>
    <row r="707" spans="2:18">
      <c r="B707" s="11"/>
      <c r="Q707" s="11"/>
      <c r="R707" s="11"/>
    </row>
    <row r="708" spans="2:18">
      <c r="B708" s="11"/>
      <c r="Q708" s="11"/>
      <c r="R708" s="11"/>
    </row>
    <row r="709" spans="2:18">
      <c r="B709" s="11"/>
      <c r="Q709" s="11"/>
      <c r="R709" s="11"/>
    </row>
    <row r="710" spans="2:18">
      <c r="B710" s="11"/>
      <c r="Q710" s="11"/>
      <c r="R710" s="11"/>
    </row>
    <row r="711" spans="2:18">
      <c r="B711" s="11"/>
      <c r="Q711" s="11"/>
      <c r="R711" s="11"/>
    </row>
    <row r="712" spans="2:18">
      <c r="B712" s="11"/>
      <c r="Q712" s="11"/>
      <c r="R712" s="11"/>
    </row>
    <row r="713" spans="2:18">
      <c r="B713" s="11"/>
      <c r="Q713" s="11"/>
      <c r="R713" s="11"/>
    </row>
    <row r="714" spans="2:18">
      <c r="B714" s="11"/>
      <c r="Q714" s="11"/>
      <c r="R714" s="11"/>
    </row>
    <row r="715" spans="2:18">
      <c r="B715" s="11"/>
      <c r="Q715" s="11"/>
      <c r="R715" s="11"/>
    </row>
    <row r="716" spans="2:18">
      <c r="B716" s="11"/>
      <c r="Q716" s="11"/>
      <c r="R716" s="11"/>
    </row>
    <row r="717" spans="2:18">
      <c r="B717" s="11"/>
      <c r="Q717" s="11"/>
      <c r="R717" s="11"/>
    </row>
    <row r="718" spans="2:18">
      <c r="B718" s="11"/>
      <c r="Q718" s="11"/>
      <c r="R718" s="11"/>
    </row>
    <row r="719" spans="2:18">
      <c r="B719" s="11"/>
      <c r="Q719" s="11"/>
      <c r="R719" s="11"/>
    </row>
    <row r="720" spans="2:18">
      <c r="B720" s="11"/>
      <c r="Q720" s="11"/>
      <c r="R720" s="11"/>
    </row>
    <row r="721" spans="2:18">
      <c r="B721" s="11"/>
      <c r="Q721" s="11"/>
      <c r="R721" s="11"/>
    </row>
    <row r="722" spans="2:18">
      <c r="B722" s="11"/>
      <c r="Q722" s="11"/>
      <c r="R722" s="11"/>
    </row>
    <row r="723" spans="2:18">
      <c r="B723" s="11"/>
      <c r="Q723" s="11"/>
      <c r="R723" s="11"/>
    </row>
    <row r="724" spans="2:18">
      <c r="B724" s="11"/>
      <c r="Q724" s="11"/>
      <c r="R724" s="11"/>
    </row>
    <row r="725" spans="2:18">
      <c r="B725" s="11"/>
      <c r="Q725" s="11"/>
      <c r="R725" s="11"/>
    </row>
    <row r="726" spans="2:18">
      <c r="B726" s="11"/>
      <c r="Q726" s="11"/>
      <c r="R726" s="11"/>
    </row>
    <row r="727" spans="2:18">
      <c r="B727" s="11"/>
      <c r="Q727" s="11"/>
      <c r="R727" s="11"/>
    </row>
    <row r="728" spans="2:18">
      <c r="B728" s="11"/>
      <c r="Q728" s="11"/>
      <c r="R728" s="11"/>
    </row>
    <row r="729" spans="2:18">
      <c r="B729" s="11"/>
      <c r="Q729" s="11"/>
      <c r="R729" s="11"/>
    </row>
    <row r="730" spans="2:18">
      <c r="B730" s="11"/>
      <c r="Q730" s="11"/>
      <c r="R730" s="11"/>
    </row>
    <row r="731" spans="2:18">
      <c r="B731" s="11"/>
      <c r="Q731" s="11"/>
      <c r="R731" s="11"/>
    </row>
    <row r="732" spans="2:18">
      <c r="B732" s="11"/>
      <c r="Q732" s="11"/>
      <c r="R732" s="11"/>
    </row>
    <row r="733" spans="2:18">
      <c r="B733" s="11"/>
      <c r="Q733" s="11"/>
      <c r="R733" s="11"/>
    </row>
    <row r="734" spans="2:18">
      <c r="B734" s="11"/>
      <c r="Q734" s="11"/>
      <c r="R734" s="11"/>
    </row>
    <row r="735" spans="2:18">
      <c r="B735" s="11"/>
      <c r="Q735" s="11"/>
      <c r="R735" s="11"/>
    </row>
    <row r="736" spans="2:18">
      <c r="B736" s="11"/>
      <c r="Q736" s="11"/>
      <c r="R736" s="11"/>
    </row>
    <row r="737" spans="2:18">
      <c r="B737" s="11"/>
      <c r="Q737" s="11"/>
      <c r="R737" s="11"/>
    </row>
    <row r="738" spans="2:18">
      <c r="B738" s="11"/>
      <c r="Q738" s="11"/>
      <c r="R738" s="11"/>
    </row>
    <row r="739" spans="2:18">
      <c r="B739" s="11"/>
      <c r="Q739" s="11"/>
      <c r="R739" s="11"/>
    </row>
    <row r="740" spans="2:18">
      <c r="B740" s="11"/>
      <c r="Q740" s="11"/>
      <c r="R740" s="11"/>
    </row>
    <row r="741" spans="2:18">
      <c r="B741" s="11"/>
      <c r="Q741" s="11"/>
      <c r="R741" s="11"/>
    </row>
    <row r="742" spans="2:18">
      <c r="B742" s="11"/>
      <c r="Q742" s="11"/>
      <c r="R742" s="11"/>
    </row>
    <row r="743" spans="2:18">
      <c r="B743" s="11"/>
      <c r="Q743" s="11"/>
      <c r="R743" s="11"/>
    </row>
    <row r="744" spans="2:18">
      <c r="B744" s="11"/>
      <c r="Q744" s="11"/>
      <c r="R744" s="11"/>
    </row>
    <row r="745" spans="2:18">
      <c r="B745" s="11"/>
      <c r="Q745" s="11"/>
      <c r="R745" s="11"/>
    </row>
    <row r="746" spans="2:18">
      <c r="B746" s="11"/>
      <c r="Q746" s="11"/>
      <c r="R746" s="11"/>
    </row>
    <row r="747" spans="2:18">
      <c r="B747" s="11"/>
      <c r="Q747" s="11"/>
      <c r="R747" s="11"/>
    </row>
    <row r="748" spans="2:18">
      <c r="B748" s="11"/>
      <c r="Q748" s="11"/>
      <c r="R748" s="11"/>
    </row>
    <row r="749" spans="2:18">
      <c r="B749" s="11"/>
      <c r="Q749" s="11"/>
      <c r="R749" s="11"/>
    </row>
    <row r="750" spans="2:18">
      <c r="B750" s="11"/>
      <c r="Q750" s="11"/>
      <c r="R750" s="11"/>
    </row>
    <row r="751" spans="2:18">
      <c r="B751" s="11"/>
      <c r="Q751" s="11"/>
      <c r="R751" s="11"/>
    </row>
    <row r="752" spans="2:18">
      <c r="B752" s="11"/>
      <c r="Q752" s="11"/>
      <c r="R752" s="11"/>
    </row>
    <row r="753" spans="2:18">
      <c r="B753" s="11"/>
      <c r="Q753" s="11"/>
      <c r="R753" s="11"/>
    </row>
    <row r="754" spans="2:18">
      <c r="B754" s="11"/>
      <c r="Q754" s="11"/>
      <c r="R754" s="11"/>
    </row>
    <row r="755" spans="2:18">
      <c r="B755" s="11"/>
      <c r="Q755" s="11"/>
      <c r="R755" s="11"/>
    </row>
    <row r="756" spans="2:18">
      <c r="B756" s="11"/>
      <c r="Q756" s="11"/>
      <c r="R756" s="11"/>
    </row>
    <row r="757" spans="2:18">
      <c r="B757" s="11"/>
      <c r="Q757" s="11"/>
      <c r="R757" s="11"/>
    </row>
    <row r="758" spans="2:18">
      <c r="B758" s="11"/>
      <c r="Q758" s="11"/>
      <c r="R758" s="11"/>
    </row>
    <row r="759" spans="2:18">
      <c r="B759" s="11"/>
      <c r="Q759" s="11"/>
      <c r="R759" s="11"/>
    </row>
    <row r="760" spans="2:18">
      <c r="B760" s="11"/>
      <c r="Q760" s="11"/>
      <c r="R760" s="11"/>
    </row>
    <row r="761" spans="2:18">
      <c r="B761" s="11"/>
      <c r="Q761" s="11"/>
      <c r="R761" s="11"/>
    </row>
    <row r="762" spans="2:18">
      <c r="B762" s="11"/>
      <c r="Q762" s="11"/>
      <c r="R762" s="11"/>
    </row>
    <row r="763" spans="2:18">
      <c r="B763" s="11"/>
      <c r="Q763" s="11"/>
      <c r="R763" s="11"/>
    </row>
    <row r="764" spans="2:18">
      <c r="B764" s="11"/>
      <c r="Q764" s="11"/>
      <c r="R764" s="11"/>
    </row>
    <row r="765" spans="2:18">
      <c r="B765" s="11"/>
      <c r="Q765" s="11"/>
      <c r="R765" s="11"/>
    </row>
    <row r="766" spans="2:18">
      <c r="B766" s="11"/>
      <c r="Q766" s="11"/>
      <c r="R766" s="11"/>
    </row>
    <row r="767" spans="2:18">
      <c r="B767" s="11"/>
      <c r="Q767" s="11"/>
      <c r="R767" s="11"/>
    </row>
    <row r="768" spans="2:18">
      <c r="B768" s="11"/>
      <c r="Q768" s="11"/>
      <c r="R768" s="11"/>
    </row>
    <row r="769" spans="2:18">
      <c r="B769" s="11"/>
      <c r="Q769" s="11"/>
      <c r="R769" s="11"/>
    </row>
    <row r="770" spans="2:18">
      <c r="B770" s="11"/>
      <c r="Q770" s="11"/>
      <c r="R770" s="11"/>
    </row>
    <row r="771" spans="2:18">
      <c r="B771" s="11"/>
      <c r="Q771" s="11"/>
      <c r="R771" s="11"/>
    </row>
    <row r="772" spans="2:18">
      <c r="B772" s="11"/>
      <c r="Q772" s="11"/>
      <c r="R772" s="11"/>
    </row>
    <row r="773" spans="2:18">
      <c r="B773" s="11"/>
      <c r="Q773" s="11"/>
      <c r="R773" s="11"/>
    </row>
    <row r="774" spans="2:18">
      <c r="B774" s="11"/>
      <c r="Q774" s="11"/>
      <c r="R774" s="11"/>
    </row>
    <row r="775" spans="2:18">
      <c r="B775" s="11"/>
      <c r="Q775" s="11"/>
      <c r="R775" s="11"/>
    </row>
    <row r="776" spans="2:18">
      <c r="B776" s="11"/>
      <c r="Q776" s="11"/>
      <c r="R776" s="11"/>
    </row>
    <row r="777" spans="2:18">
      <c r="B777" s="11"/>
      <c r="Q777" s="11"/>
      <c r="R777" s="11"/>
    </row>
    <row r="778" spans="2:18">
      <c r="B778" s="11"/>
      <c r="Q778" s="11"/>
      <c r="R778" s="11"/>
    </row>
    <row r="779" spans="2:18">
      <c r="B779" s="11"/>
      <c r="Q779" s="11"/>
      <c r="R779" s="11"/>
    </row>
    <row r="780" spans="2:18">
      <c r="B780" s="11"/>
      <c r="Q780" s="11"/>
      <c r="R780" s="11"/>
    </row>
    <row r="781" spans="2:18">
      <c r="B781" s="11"/>
      <c r="Q781" s="11"/>
      <c r="R781" s="11"/>
    </row>
    <row r="782" spans="2:18">
      <c r="B782" s="11"/>
      <c r="Q782" s="11"/>
      <c r="R782" s="11"/>
    </row>
    <row r="783" spans="2:18">
      <c r="B783" s="11"/>
      <c r="Q783" s="11"/>
      <c r="R783" s="11"/>
    </row>
    <row r="784" spans="2:18">
      <c r="B784" s="11"/>
      <c r="Q784" s="11"/>
      <c r="R784" s="11"/>
    </row>
    <row r="785" spans="2:18">
      <c r="B785" s="11"/>
      <c r="Q785" s="11"/>
      <c r="R785" s="11"/>
    </row>
    <row r="786" spans="2:18">
      <c r="B786" s="11"/>
      <c r="Q786" s="11"/>
      <c r="R786" s="11"/>
    </row>
    <row r="787" spans="2:18">
      <c r="B787" s="11"/>
      <c r="Q787" s="11"/>
      <c r="R787" s="11"/>
    </row>
    <row r="788" spans="2:18">
      <c r="B788" s="11"/>
      <c r="Q788" s="11"/>
      <c r="R788" s="11"/>
    </row>
    <row r="789" spans="2:18">
      <c r="B789" s="11"/>
      <c r="Q789" s="11"/>
      <c r="R789" s="11"/>
    </row>
    <row r="790" spans="2:18">
      <c r="B790" s="11"/>
      <c r="Q790" s="11"/>
      <c r="R790" s="11"/>
    </row>
    <row r="791" spans="2:18">
      <c r="B791" s="11"/>
      <c r="Q791" s="11"/>
      <c r="R791" s="11"/>
    </row>
    <row r="792" spans="2:18">
      <c r="B792" s="11"/>
      <c r="Q792" s="11"/>
      <c r="R792" s="11"/>
    </row>
    <row r="793" spans="2:18">
      <c r="B793" s="11"/>
      <c r="Q793" s="11"/>
      <c r="R793" s="11"/>
    </row>
    <row r="794" spans="2:18">
      <c r="B794" s="11"/>
      <c r="Q794" s="11"/>
      <c r="R794" s="11"/>
    </row>
    <row r="795" spans="2:18">
      <c r="B795" s="11"/>
      <c r="Q795" s="11"/>
      <c r="R795" s="11"/>
    </row>
    <row r="796" spans="2:18">
      <c r="B796" s="11"/>
      <c r="Q796" s="11"/>
      <c r="R796" s="11"/>
    </row>
    <row r="797" spans="2:18">
      <c r="B797" s="11"/>
      <c r="Q797" s="11"/>
      <c r="R797" s="11"/>
    </row>
    <row r="798" spans="2:18">
      <c r="B798" s="11"/>
      <c r="Q798" s="11"/>
      <c r="R798" s="11"/>
    </row>
    <row r="799" spans="2:18">
      <c r="B799" s="11"/>
      <c r="Q799" s="11"/>
      <c r="R799" s="11"/>
    </row>
    <row r="800" spans="2:18">
      <c r="B800" s="11"/>
      <c r="Q800" s="11"/>
      <c r="R800" s="11"/>
    </row>
    <row r="801" spans="2:18">
      <c r="B801" s="11"/>
      <c r="Q801" s="11"/>
      <c r="R801" s="11"/>
    </row>
    <row r="802" spans="2:18">
      <c r="B802" s="11"/>
      <c r="Q802" s="11"/>
      <c r="R802" s="11"/>
    </row>
    <row r="803" spans="2:18">
      <c r="B803" s="11"/>
      <c r="Q803" s="11"/>
      <c r="R803" s="11"/>
    </row>
    <row r="804" spans="2:18">
      <c r="B804" s="11"/>
      <c r="Q804" s="11"/>
      <c r="R804" s="11"/>
    </row>
    <row r="805" spans="2:18">
      <c r="B805" s="11"/>
      <c r="Q805" s="11"/>
      <c r="R805" s="11"/>
    </row>
    <row r="806" spans="2:18">
      <c r="B806" s="11"/>
      <c r="Q806" s="11"/>
      <c r="R806" s="11"/>
    </row>
    <row r="807" spans="2:18">
      <c r="B807" s="11"/>
      <c r="Q807" s="11"/>
      <c r="R807" s="11"/>
    </row>
    <row r="808" spans="2:18">
      <c r="B808" s="11"/>
      <c r="Q808" s="11"/>
      <c r="R808" s="11"/>
    </row>
    <row r="809" spans="2:18">
      <c r="B809" s="11"/>
      <c r="Q809" s="11"/>
      <c r="R809" s="11"/>
    </row>
    <row r="810" spans="2:18">
      <c r="B810" s="11"/>
      <c r="Q810" s="11"/>
      <c r="R810" s="11"/>
    </row>
    <row r="811" spans="2:18">
      <c r="B811" s="11"/>
      <c r="Q811" s="11"/>
      <c r="R811" s="11"/>
    </row>
    <row r="812" spans="2:18">
      <c r="B812" s="11"/>
      <c r="Q812" s="11"/>
      <c r="R812" s="11"/>
    </row>
    <row r="813" spans="2:18">
      <c r="B813" s="11"/>
      <c r="Q813" s="11"/>
      <c r="R813" s="11"/>
    </row>
    <row r="814" spans="2:18">
      <c r="B814" s="11"/>
      <c r="Q814" s="11"/>
      <c r="R814" s="11"/>
    </row>
    <row r="815" spans="2:18">
      <c r="B815" s="11"/>
      <c r="Q815" s="11"/>
      <c r="R815" s="11"/>
    </row>
    <row r="816" spans="2:18">
      <c r="B816" s="11"/>
      <c r="Q816" s="11"/>
      <c r="R816" s="11"/>
    </row>
    <row r="817" spans="2:18">
      <c r="B817" s="11"/>
      <c r="Q817" s="11"/>
      <c r="R817" s="11"/>
    </row>
    <row r="818" spans="2:18">
      <c r="B818" s="11"/>
      <c r="Q818" s="11"/>
      <c r="R818" s="11"/>
    </row>
    <row r="819" spans="2:18">
      <c r="B819" s="11"/>
      <c r="Q819" s="11"/>
      <c r="R819" s="11"/>
    </row>
    <row r="820" spans="2:18">
      <c r="B820" s="11"/>
      <c r="Q820" s="11"/>
      <c r="R820" s="11"/>
    </row>
    <row r="821" spans="2:18">
      <c r="B821" s="11"/>
      <c r="Q821" s="11"/>
      <c r="R821" s="11"/>
    </row>
    <row r="822" spans="2:18">
      <c r="B822" s="11"/>
      <c r="Q822" s="11"/>
      <c r="R822" s="11"/>
    </row>
    <row r="823" spans="2:18">
      <c r="B823" s="11"/>
      <c r="Q823" s="11"/>
      <c r="R823" s="11"/>
    </row>
    <row r="824" spans="2:18">
      <c r="B824" s="11"/>
      <c r="Q824" s="11"/>
      <c r="R824" s="11"/>
    </row>
    <row r="825" spans="2:18">
      <c r="B825" s="11"/>
      <c r="Q825" s="11"/>
      <c r="R825" s="11"/>
    </row>
    <row r="826" spans="2:18">
      <c r="B826" s="11"/>
      <c r="Q826" s="11"/>
      <c r="R826" s="11"/>
    </row>
    <row r="827" spans="2:18">
      <c r="B827" s="11"/>
      <c r="Q827" s="11"/>
      <c r="R827" s="11"/>
    </row>
    <row r="828" spans="2:18">
      <c r="B828" s="11"/>
      <c r="Q828" s="11"/>
      <c r="R828" s="11"/>
    </row>
    <row r="829" spans="2:18">
      <c r="B829" s="11"/>
      <c r="Q829" s="11"/>
      <c r="R829" s="11"/>
    </row>
    <row r="830" spans="2:18">
      <c r="B830" s="11"/>
      <c r="Q830" s="11"/>
      <c r="R830" s="11"/>
    </row>
    <row r="831" spans="2:18">
      <c r="B831" s="11"/>
      <c r="Q831" s="11"/>
      <c r="R831" s="11"/>
    </row>
    <row r="832" spans="2:18">
      <c r="B832" s="11"/>
      <c r="Q832" s="11"/>
      <c r="R832" s="11"/>
    </row>
    <row r="833" spans="2:18">
      <c r="B833" s="11"/>
      <c r="Q833" s="11"/>
      <c r="R833" s="11"/>
    </row>
    <row r="834" spans="2:18">
      <c r="B834" s="11"/>
      <c r="Q834" s="11"/>
      <c r="R834" s="11"/>
    </row>
    <row r="835" spans="2:18">
      <c r="B835" s="11"/>
      <c r="Q835" s="11"/>
      <c r="R835" s="11"/>
    </row>
    <row r="836" spans="2:18">
      <c r="B836" s="11"/>
      <c r="Q836" s="11"/>
      <c r="R836" s="11"/>
    </row>
    <row r="837" spans="2:18">
      <c r="B837" s="11"/>
      <c r="Q837" s="11"/>
      <c r="R837" s="11"/>
    </row>
    <row r="838" spans="2:18">
      <c r="B838" s="11"/>
      <c r="Q838" s="11"/>
      <c r="R838" s="11"/>
    </row>
    <row r="839" spans="2:18">
      <c r="B839" s="11"/>
      <c r="Q839" s="11"/>
      <c r="R839" s="11"/>
    </row>
    <row r="840" spans="2:18">
      <c r="B840" s="11"/>
      <c r="Q840" s="11"/>
      <c r="R840" s="11"/>
    </row>
    <row r="841" spans="2:18">
      <c r="B841" s="11"/>
      <c r="Q841" s="11"/>
      <c r="R841" s="11"/>
    </row>
    <row r="842" spans="2:18">
      <c r="B842" s="11"/>
      <c r="Q842" s="11"/>
      <c r="R842" s="11"/>
    </row>
    <row r="843" spans="2:18">
      <c r="B843" s="11"/>
      <c r="Q843" s="11"/>
      <c r="R843" s="11"/>
    </row>
    <row r="844" spans="2:18">
      <c r="B844" s="11"/>
      <c r="Q844" s="11"/>
      <c r="R844" s="11"/>
    </row>
    <row r="845" spans="2:18">
      <c r="B845" s="11"/>
      <c r="Q845" s="11"/>
      <c r="R845" s="11"/>
    </row>
    <row r="846" spans="2:18">
      <c r="B846" s="11"/>
      <c r="Q846" s="11"/>
      <c r="R846" s="11"/>
    </row>
    <row r="847" spans="2:18">
      <c r="B847" s="11"/>
      <c r="Q847" s="11"/>
      <c r="R847" s="11"/>
    </row>
    <row r="848" spans="2:18">
      <c r="B848" s="11"/>
      <c r="Q848" s="11"/>
      <c r="R848" s="11"/>
    </row>
    <row r="849" spans="2:18">
      <c r="B849" s="11"/>
      <c r="Q849" s="11"/>
      <c r="R849" s="11"/>
    </row>
    <row r="850" spans="2:18">
      <c r="B850" s="11"/>
      <c r="Q850" s="11"/>
      <c r="R850" s="11"/>
    </row>
    <row r="851" spans="2:18">
      <c r="B851" s="11"/>
      <c r="Q851" s="11"/>
      <c r="R851" s="11"/>
    </row>
    <row r="852" spans="2:18">
      <c r="B852" s="11"/>
      <c r="Q852" s="11"/>
      <c r="R852" s="11"/>
    </row>
    <row r="853" spans="2:18">
      <c r="B853" s="11"/>
      <c r="Q853" s="11"/>
      <c r="R853" s="11"/>
    </row>
    <row r="854" spans="2:18">
      <c r="B854" s="11"/>
      <c r="Q854" s="11"/>
      <c r="R854" s="11"/>
    </row>
    <row r="855" spans="2:18">
      <c r="B855" s="11"/>
      <c r="Q855" s="11"/>
      <c r="R855" s="11"/>
    </row>
    <row r="856" spans="2:18">
      <c r="B856" s="11"/>
      <c r="Q856" s="11"/>
      <c r="R856" s="11"/>
    </row>
    <row r="857" spans="2:18">
      <c r="B857" s="11"/>
      <c r="Q857" s="11"/>
      <c r="R857" s="11"/>
    </row>
    <row r="858" spans="2:18">
      <c r="B858" s="11"/>
      <c r="Q858" s="11"/>
      <c r="R858" s="11"/>
    </row>
    <row r="859" spans="2:18">
      <c r="B859" s="11"/>
      <c r="Q859" s="11"/>
      <c r="R859" s="11"/>
    </row>
    <row r="860" spans="2:18">
      <c r="B860" s="11"/>
      <c r="Q860" s="11"/>
      <c r="R860" s="11"/>
    </row>
    <row r="861" spans="2:18">
      <c r="B861" s="11"/>
      <c r="Q861" s="11"/>
      <c r="R861" s="11"/>
    </row>
    <row r="862" spans="2:18">
      <c r="B862" s="11"/>
      <c r="Q862" s="11"/>
      <c r="R862" s="11"/>
    </row>
    <row r="863" spans="2:18">
      <c r="B863" s="11"/>
      <c r="Q863" s="11"/>
      <c r="R863" s="11"/>
    </row>
    <row r="864" spans="2:18">
      <c r="B864" s="11"/>
      <c r="Q864" s="11"/>
      <c r="R864" s="11"/>
    </row>
    <row r="865" spans="2:18">
      <c r="B865" s="11"/>
      <c r="Q865" s="11"/>
      <c r="R865" s="11"/>
    </row>
    <row r="866" spans="2:18">
      <c r="B866" s="11"/>
      <c r="Q866" s="11"/>
      <c r="R866" s="11"/>
    </row>
    <row r="867" spans="2:18">
      <c r="B867" s="11"/>
      <c r="Q867" s="11"/>
      <c r="R867" s="11"/>
    </row>
    <row r="868" spans="2:18">
      <c r="B868" s="11"/>
      <c r="Q868" s="11"/>
      <c r="R868" s="11"/>
    </row>
    <row r="869" spans="2:18">
      <c r="B869" s="11"/>
      <c r="Q869" s="11"/>
      <c r="R869" s="11"/>
    </row>
    <row r="870" spans="2:18">
      <c r="B870" s="11"/>
      <c r="Q870" s="11"/>
      <c r="R870" s="11"/>
    </row>
    <row r="871" spans="2:18">
      <c r="B871" s="11"/>
      <c r="Q871" s="11"/>
      <c r="R871" s="11"/>
    </row>
    <row r="872" spans="2:18">
      <c r="B872" s="11"/>
      <c r="Q872" s="11"/>
      <c r="R872" s="11"/>
    </row>
    <row r="873" spans="2:18">
      <c r="B873" s="11"/>
      <c r="Q873" s="11"/>
      <c r="R873" s="11"/>
    </row>
    <row r="874" spans="2:18">
      <c r="B874" s="11"/>
      <c r="Q874" s="11"/>
      <c r="R874" s="11"/>
    </row>
    <row r="875" spans="2:18">
      <c r="B875" s="11"/>
      <c r="Q875" s="11"/>
      <c r="R875" s="11"/>
    </row>
    <row r="876" spans="2:18">
      <c r="B876" s="11"/>
      <c r="Q876" s="11"/>
      <c r="R876" s="11"/>
    </row>
    <row r="877" spans="2:18">
      <c r="B877" s="11"/>
      <c r="Q877" s="11"/>
      <c r="R877" s="11"/>
    </row>
    <row r="878" spans="2:18">
      <c r="B878" s="11"/>
      <c r="Q878" s="11"/>
      <c r="R878" s="11"/>
    </row>
    <row r="879" spans="2:18">
      <c r="B879" s="11"/>
      <c r="Q879" s="11"/>
      <c r="R879" s="11"/>
    </row>
    <row r="880" spans="2:18">
      <c r="B880" s="11"/>
      <c r="Q880" s="11"/>
      <c r="R880" s="11"/>
    </row>
    <row r="881" spans="2:18">
      <c r="B881" s="11"/>
      <c r="Q881" s="11"/>
      <c r="R881" s="11"/>
    </row>
    <row r="882" spans="2:18">
      <c r="B882" s="11"/>
      <c r="Q882" s="11"/>
      <c r="R882" s="11"/>
    </row>
    <row r="883" spans="2:18">
      <c r="B883" s="11"/>
      <c r="Q883" s="11"/>
      <c r="R883" s="11"/>
    </row>
    <row r="884" spans="2:18">
      <c r="B884" s="11"/>
      <c r="Q884" s="11"/>
      <c r="R884" s="11"/>
    </row>
    <row r="885" spans="2:18">
      <c r="B885" s="11"/>
      <c r="Q885" s="11"/>
      <c r="R885" s="11"/>
    </row>
    <row r="886" spans="2:18">
      <c r="B886" s="11"/>
      <c r="Q886" s="11"/>
      <c r="R886" s="11"/>
    </row>
    <row r="887" spans="2:18">
      <c r="B887" s="11"/>
      <c r="Q887" s="11"/>
      <c r="R887" s="11"/>
    </row>
    <row r="888" spans="2:18">
      <c r="B888" s="11"/>
      <c r="Q888" s="11"/>
      <c r="R888" s="11"/>
    </row>
    <row r="889" spans="2:18">
      <c r="B889" s="11"/>
      <c r="Q889" s="11"/>
      <c r="R889" s="11"/>
    </row>
    <row r="890" spans="2:18">
      <c r="B890" s="11"/>
      <c r="Q890" s="11"/>
      <c r="R890" s="11"/>
    </row>
    <row r="891" spans="2:18">
      <c r="B891" s="11"/>
      <c r="Q891" s="11"/>
      <c r="R891" s="11"/>
    </row>
    <row r="892" spans="2:18">
      <c r="B892" s="11"/>
      <c r="Q892" s="11"/>
      <c r="R892" s="11"/>
    </row>
    <row r="893" spans="2:18">
      <c r="B893" s="11"/>
      <c r="Q893" s="11"/>
      <c r="R893" s="11"/>
    </row>
    <row r="894" spans="2:18">
      <c r="B894" s="11"/>
      <c r="Q894" s="11"/>
      <c r="R894" s="11"/>
    </row>
    <row r="895" spans="2:18">
      <c r="B895" s="11"/>
      <c r="Q895" s="11"/>
      <c r="R895" s="11"/>
    </row>
    <row r="896" spans="2:18">
      <c r="B896" s="11"/>
      <c r="Q896" s="11"/>
      <c r="R896" s="11"/>
    </row>
    <row r="897" spans="2:18">
      <c r="B897" s="11"/>
      <c r="Q897" s="11"/>
      <c r="R897" s="11"/>
    </row>
    <row r="898" spans="2:18">
      <c r="B898" s="11"/>
      <c r="Q898" s="11"/>
      <c r="R898" s="11"/>
    </row>
    <row r="899" spans="2:18">
      <c r="B899" s="11"/>
      <c r="Q899" s="11"/>
      <c r="R899" s="11"/>
    </row>
    <row r="900" spans="2:18">
      <c r="B900" s="11"/>
      <c r="Q900" s="11"/>
      <c r="R900" s="11"/>
    </row>
    <row r="901" spans="2:18">
      <c r="B901" s="11"/>
      <c r="Q901" s="11"/>
      <c r="R901" s="11"/>
    </row>
    <row r="902" spans="2:18">
      <c r="B902" s="11"/>
      <c r="Q902" s="11"/>
      <c r="R902" s="11"/>
    </row>
    <row r="903" spans="2:18">
      <c r="B903" s="11"/>
      <c r="Q903" s="11"/>
      <c r="R903" s="11"/>
    </row>
    <row r="904" spans="2:18">
      <c r="B904" s="11"/>
      <c r="Q904" s="11"/>
      <c r="R904" s="11"/>
    </row>
    <row r="905" spans="2:18">
      <c r="B905" s="11"/>
      <c r="Q905" s="11"/>
      <c r="R905" s="11"/>
    </row>
    <row r="906" spans="2:18">
      <c r="B906" s="11"/>
      <c r="Q906" s="11"/>
      <c r="R906" s="11"/>
    </row>
    <row r="907" spans="2:18">
      <c r="B907" s="11"/>
      <c r="Q907" s="11"/>
      <c r="R907" s="11"/>
    </row>
    <row r="908" spans="2:18">
      <c r="B908" s="11"/>
      <c r="Q908" s="11"/>
      <c r="R908" s="11"/>
    </row>
    <row r="909" spans="2:18">
      <c r="B909" s="11"/>
      <c r="Q909" s="11"/>
      <c r="R909" s="11"/>
    </row>
    <row r="910" spans="2:18">
      <c r="B910" s="11"/>
      <c r="Q910" s="11"/>
      <c r="R910" s="11"/>
    </row>
    <row r="911" spans="2:18">
      <c r="B911" s="11"/>
      <c r="Q911" s="11"/>
      <c r="R911" s="11"/>
    </row>
    <row r="912" spans="2:18">
      <c r="B912" s="11"/>
      <c r="Q912" s="11"/>
      <c r="R912" s="11"/>
    </row>
    <row r="913" spans="2:18">
      <c r="B913" s="11"/>
      <c r="Q913" s="11"/>
      <c r="R913" s="11"/>
    </row>
    <row r="914" spans="2:18">
      <c r="B914" s="11"/>
      <c r="Q914" s="11"/>
      <c r="R914" s="11"/>
    </row>
    <row r="915" spans="2:18">
      <c r="B915" s="11"/>
      <c r="Q915" s="11"/>
      <c r="R915" s="11"/>
    </row>
    <row r="916" spans="2:18">
      <c r="B916" s="11"/>
      <c r="Q916" s="11"/>
      <c r="R916" s="11"/>
    </row>
    <row r="917" spans="2:18">
      <c r="B917" s="11"/>
      <c r="Q917" s="11"/>
      <c r="R917" s="11"/>
    </row>
    <row r="918" spans="2:18">
      <c r="B918" s="11"/>
      <c r="Q918" s="11"/>
      <c r="R918" s="11"/>
    </row>
    <row r="919" spans="2:18">
      <c r="B919" s="11"/>
      <c r="Q919" s="11"/>
      <c r="R919" s="11"/>
    </row>
    <row r="920" spans="2:18">
      <c r="B920" s="11"/>
      <c r="Q920" s="11"/>
      <c r="R920" s="11"/>
    </row>
    <row r="921" spans="2:18">
      <c r="B921" s="11"/>
      <c r="Q921" s="11"/>
      <c r="R921" s="11"/>
    </row>
    <row r="922" spans="2:18">
      <c r="B922" s="11"/>
      <c r="Q922" s="11"/>
      <c r="R922" s="11"/>
    </row>
    <row r="923" spans="2:18">
      <c r="B923" s="11"/>
      <c r="Q923" s="11"/>
      <c r="R923" s="11"/>
    </row>
    <row r="924" spans="2:18">
      <c r="B924" s="11"/>
      <c r="Q924" s="11"/>
      <c r="R924" s="11"/>
    </row>
    <row r="925" spans="2:18">
      <c r="B925" s="11"/>
      <c r="Q925" s="11"/>
      <c r="R925" s="11"/>
    </row>
    <row r="926" spans="2:18">
      <c r="B926" s="11"/>
      <c r="Q926" s="11"/>
      <c r="R926" s="11"/>
    </row>
    <row r="927" spans="2:18">
      <c r="B927" s="11"/>
      <c r="Q927" s="11"/>
      <c r="R927" s="11"/>
    </row>
    <row r="928" spans="2:18">
      <c r="B928" s="11"/>
      <c r="Q928" s="11"/>
      <c r="R928" s="11"/>
    </row>
    <row r="929" spans="2:18">
      <c r="B929" s="11"/>
      <c r="Q929" s="11"/>
      <c r="R929" s="11"/>
    </row>
    <row r="930" spans="2:18">
      <c r="B930" s="11"/>
      <c r="Q930" s="11"/>
      <c r="R930" s="11"/>
    </row>
    <row r="931" spans="2:18">
      <c r="B931" s="11"/>
      <c r="Q931" s="11"/>
      <c r="R931" s="11"/>
    </row>
    <row r="932" spans="2:18">
      <c r="B932" s="11"/>
      <c r="Q932" s="11"/>
      <c r="R932" s="11"/>
    </row>
    <row r="933" spans="2:18">
      <c r="B933" s="11"/>
      <c r="Q933" s="11"/>
      <c r="R933" s="11"/>
    </row>
    <row r="934" spans="2:18">
      <c r="B934" s="11"/>
      <c r="Q934" s="11"/>
      <c r="R934" s="11"/>
    </row>
    <row r="935" spans="2:18">
      <c r="B935" s="11"/>
      <c r="Q935" s="11"/>
      <c r="R935" s="11"/>
    </row>
    <row r="936" spans="2:18">
      <c r="B936" s="11"/>
      <c r="Q936" s="11"/>
      <c r="R936" s="11"/>
    </row>
    <row r="937" spans="2:18">
      <c r="B937" s="11"/>
      <c r="Q937" s="11"/>
      <c r="R937" s="11"/>
    </row>
    <row r="938" spans="2:18">
      <c r="B938" s="11"/>
      <c r="Q938" s="11"/>
      <c r="R938" s="11"/>
    </row>
    <row r="939" spans="2:18">
      <c r="B939" s="11"/>
      <c r="Q939" s="11"/>
      <c r="R939" s="11"/>
    </row>
    <row r="940" spans="2:18">
      <c r="B940" s="11"/>
      <c r="Q940" s="11"/>
      <c r="R940" s="11"/>
    </row>
    <row r="941" spans="2:18">
      <c r="B941" s="11"/>
      <c r="Q941" s="11"/>
      <c r="R941" s="11"/>
    </row>
    <row r="942" spans="2:18">
      <c r="B942" s="11"/>
      <c r="Q942" s="11"/>
      <c r="R942" s="11"/>
    </row>
    <row r="943" spans="2:18">
      <c r="B943" s="11"/>
      <c r="Q943" s="11"/>
      <c r="R943" s="11"/>
    </row>
    <row r="944" spans="2:18">
      <c r="B944" s="11"/>
      <c r="Q944" s="11"/>
      <c r="R944" s="11"/>
    </row>
    <row r="945" spans="2:18">
      <c r="B945" s="11"/>
      <c r="Q945" s="11"/>
      <c r="R945" s="11"/>
    </row>
    <row r="946" spans="2:18">
      <c r="B946" s="11"/>
      <c r="Q946" s="11"/>
      <c r="R946" s="11"/>
    </row>
    <row r="947" spans="2:18">
      <c r="B947" s="11"/>
      <c r="Q947" s="11"/>
      <c r="R947" s="11"/>
    </row>
    <row r="948" spans="2:18">
      <c r="B948" s="11"/>
      <c r="Q948" s="11"/>
      <c r="R948" s="11"/>
    </row>
    <row r="949" spans="2:18">
      <c r="B949" s="11"/>
      <c r="Q949" s="11"/>
      <c r="R949" s="11"/>
    </row>
    <row r="950" spans="2:18">
      <c r="B950" s="11"/>
      <c r="Q950" s="11"/>
      <c r="R950" s="11"/>
    </row>
    <row r="951" spans="2:18">
      <c r="B951" s="11"/>
      <c r="Q951" s="11"/>
      <c r="R951" s="11"/>
    </row>
    <row r="952" spans="2:18">
      <c r="B952" s="11"/>
      <c r="Q952" s="11"/>
      <c r="R952" s="11"/>
    </row>
    <row r="953" spans="2:18">
      <c r="B953" s="11"/>
      <c r="Q953" s="11"/>
      <c r="R953" s="11"/>
    </row>
    <row r="954" spans="2:18">
      <c r="B954" s="11"/>
      <c r="Q954" s="11"/>
      <c r="R954" s="11"/>
    </row>
    <row r="955" spans="2:18">
      <c r="B955" s="11"/>
      <c r="Q955" s="11"/>
      <c r="R955" s="11"/>
    </row>
    <row r="956" spans="2:18">
      <c r="B956" s="11"/>
      <c r="Q956" s="11"/>
      <c r="R956" s="11"/>
    </row>
    <row r="957" spans="2:18">
      <c r="B957" s="11"/>
      <c r="Q957" s="11"/>
      <c r="R957" s="11"/>
    </row>
    <row r="958" spans="2:18">
      <c r="B958" s="11"/>
      <c r="Q958" s="11"/>
      <c r="R958" s="11"/>
    </row>
    <row r="959" spans="2:18">
      <c r="B959" s="11"/>
      <c r="Q959" s="11"/>
      <c r="R959" s="11"/>
    </row>
    <row r="960" spans="2:18">
      <c r="B960" s="11"/>
      <c r="Q960" s="11"/>
      <c r="R960" s="11"/>
    </row>
    <row r="961" spans="2:18">
      <c r="B961" s="11"/>
      <c r="Q961" s="11"/>
      <c r="R961" s="11"/>
    </row>
    <row r="962" spans="2:18">
      <c r="B962" s="11"/>
      <c r="Q962" s="11"/>
      <c r="R962" s="11"/>
    </row>
    <row r="963" spans="2:18">
      <c r="B963" s="11"/>
      <c r="Q963" s="11"/>
      <c r="R963" s="11"/>
    </row>
    <row r="964" spans="2:18">
      <c r="B964" s="11"/>
      <c r="Q964" s="11"/>
      <c r="R964" s="11"/>
    </row>
    <row r="965" spans="2:18">
      <c r="B965" s="11"/>
      <c r="Q965" s="11"/>
      <c r="R965" s="11"/>
    </row>
    <row r="966" spans="2:18">
      <c r="B966" s="11"/>
      <c r="Q966" s="11"/>
      <c r="R966" s="11"/>
    </row>
    <row r="967" spans="2:18">
      <c r="B967" s="11"/>
      <c r="Q967" s="11"/>
      <c r="R967" s="11"/>
    </row>
    <row r="968" spans="2:18">
      <c r="B968" s="11"/>
      <c r="Q968" s="11"/>
      <c r="R968" s="11"/>
    </row>
    <row r="969" spans="2:18">
      <c r="B969" s="11"/>
      <c r="Q969" s="11"/>
      <c r="R969" s="11"/>
    </row>
    <row r="970" spans="2:18">
      <c r="B970" s="11"/>
      <c r="Q970" s="11"/>
      <c r="R970" s="11"/>
    </row>
    <row r="971" spans="2:18">
      <c r="B971" s="11"/>
      <c r="Q971" s="11"/>
      <c r="R971" s="11"/>
    </row>
    <row r="972" spans="2:18">
      <c r="B972" s="11"/>
      <c r="Q972" s="11"/>
      <c r="R972" s="11"/>
    </row>
    <row r="973" spans="2:18">
      <c r="B973" s="11"/>
      <c r="Q973" s="11"/>
      <c r="R973" s="11"/>
    </row>
    <row r="974" spans="2:18">
      <c r="B974" s="11"/>
      <c r="Q974" s="11"/>
      <c r="R974" s="11"/>
    </row>
    <row r="975" spans="2:18">
      <c r="B975" s="11"/>
      <c r="Q975" s="11"/>
      <c r="R975" s="11"/>
    </row>
    <row r="976" spans="2:18">
      <c r="B976" s="11"/>
      <c r="Q976" s="11"/>
      <c r="R976" s="11"/>
    </row>
    <row r="977" spans="2:18">
      <c r="B977" s="11"/>
      <c r="Q977" s="11"/>
      <c r="R977" s="11"/>
    </row>
    <row r="978" spans="2:18">
      <c r="B978" s="11"/>
      <c r="Q978" s="11"/>
      <c r="R978" s="11"/>
    </row>
    <row r="979" spans="2:18">
      <c r="B979" s="11"/>
      <c r="Q979" s="11"/>
      <c r="R979" s="11"/>
    </row>
  </sheetData>
  <customSheetViews>
    <customSheetView guid="{A27FCDC5-7847-4B1F-80EC-EB56859AFF4C}" filter="1" showAutoFilter="1">
      <autoFilter ref="A2:AW28" xr:uid="{C0FE0555-B789-493F-8C2E-65ADCDCA21D0}"/>
    </customSheetView>
    <customSheetView guid="{B55D5AC0-2DCD-4393-87D1-9D8120E31AB8}" filter="1" showAutoFilter="1">
      <autoFilter ref="A2:AW27" xr:uid="{FF4D8691-358C-408B-825A-75AF38B0B3A1}">
        <filterColumn colId="11">
          <filters blank="1">
            <filter val="Terminado"/>
          </filters>
        </filterColumn>
      </autoFilter>
    </customSheetView>
    <customSheetView guid="{547D9B4D-E646-4DE4-89E3-7402CE505ED6}" filter="1" showAutoFilter="1">
      <autoFilter ref="A1:W33" xr:uid="{A273619E-F273-4DA8-BAEF-5607E61A6AD0}"/>
    </customSheetView>
    <customSheetView guid="{4555EE6F-2362-48F4-8152-FB35C89F66D3}" filter="1" showAutoFilter="1">
      <autoFilter ref="A1:W33" xr:uid="{21E23535-617F-40E5-A227-0F1BA8117593}"/>
    </customSheetView>
    <customSheetView guid="{7EAC52BE-AB17-44E6-8B34-241C0D096AFE}" filter="1" showAutoFilter="1">
      <autoFilter ref="A1:W33" xr:uid="{635F8E42-ABD6-4E8B-A7EF-6AC5901015DB}"/>
    </customSheetView>
    <customSheetView guid="{8DFCF9F4-226C-4943-87CB-E49A587DAFFE}" filter="1" showAutoFilter="1">
      <autoFilter ref="A2:BC27" xr:uid="{9C77793A-1FFA-43B6-90DC-BD1412971884}">
        <filterColumn colId="11">
          <filters blank="1">
            <filter val="Terminado"/>
          </filters>
        </filterColumn>
      </autoFilter>
    </customSheetView>
    <customSheetView guid="{43C74F61-3695-48F6-921B-FC7E9F2F288E}" filter="1" showAutoFilter="1">
      <autoFilter ref="A2:W27" xr:uid="{0CCB5E99-A12C-4706-814F-56F2CAAD1A37}"/>
    </customSheetView>
  </customSheetViews>
  <mergeCells count="1">
    <mergeCell ref="U1:W1"/>
  </mergeCells>
  <dataValidations count="7">
    <dataValidation type="list" allowBlank="1" showErrorMessage="1" sqref="C3:D11 D12:D15 C16:D16 D17:D32" xr:uid="{00000000-0002-0000-0900-000000000000}">
      <formula1>"Operaciones,Post venta"</formula1>
    </dataValidation>
    <dataValidation type="list" allowBlank="1" showErrorMessage="1" sqref="A3:A11" xr:uid="{00000000-0002-0000-0900-000001000000}">
      <formula1>"1"</formula1>
    </dataValidation>
    <dataValidation type="list" allowBlank="1" showErrorMessage="1" sqref="A12:A18 A23:A32" xr:uid="{00000000-0002-0000-0900-000002000000}">
      <formula1>"1,2,3"</formula1>
    </dataValidation>
    <dataValidation type="list" allowBlank="1" showErrorMessage="1" sqref="A19:A22" xr:uid="{00000000-0002-0000-0900-000003000000}">
      <formula1>"1,2,3,4"</formula1>
    </dataValidation>
    <dataValidation type="list" allowBlank="1" showErrorMessage="1" sqref="F9:F12 E13:G13 E14:F15 F16" xr:uid="{00000000-0002-0000-0900-000004000000}">
      <formula1>"Terminado,En proceso,No iniciado,En análisis"</formula1>
    </dataValidation>
    <dataValidation type="list" allowBlank="1" showErrorMessage="1" sqref="E3:L8 E9:E12 G9:L12 H13:L13 E16 G14:L16 E17:L32" xr:uid="{00000000-0002-0000-0900-000005000000}">
      <formula1>"Terminado,En proceso,No iniciado,NA"</formula1>
    </dataValidation>
    <dataValidation type="list" allowBlank="1" showErrorMessage="1" sqref="C12:C15 C17:C32" xr:uid="{00000000-0002-0000-0900-000006000000}">
      <formula1>"OFI Tradicional,OFI Web,Web y Trad."</formula1>
    </dataValidation>
  </dataValidations>
  <hyperlinks>
    <hyperlink ref="B1" r:id="rId1" xr:uid="{00000000-0004-0000-0900-000000000000}"/>
    <hyperlink ref="J2" r:id="rId2" xr:uid="{00000000-0004-0000-0900-000001000000}"/>
    <hyperlink ref="Q3" r:id="rId3" xr:uid="{00000000-0004-0000-0900-000002000000}"/>
    <hyperlink ref="R3" r:id="rId4" xr:uid="{00000000-0004-0000-0900-000003000000}"/>
    <hyperlink ref="S3" r:id="rId5" xr:uid="{00000000-0004-0000-0900-000004000000}"/>
    <hyperlink ref="Q4" r:id="rId6" xr:uid="{00000000-0004-0000-0900-000005000000}"/>
    <hyperlink ref="Q5" r:id="rId7" xr:uid="{00000000-0004-0000-0900-000006000000}"/>
    <hyperlink ref="R5" r:id="rId8" xr:uid="{00000000-0004-0000-0900-000007000000}"/>
    <hyperlink ref="Q6" r:id="rId9" xr:uid="{00000000-0004-0000-0900-000008000000}"/>
    <hyperlink ref="R6" r:id="rId10" xr:uid="{00000000-0004-0000-0900-000009000000}"/>
    <hyperlink ref="Q7" r:id="rId11" xr:uid="{00000000-0004-0000-0900-00000A000000}"/>
    <hyperlink ref="R7" r:id="rId12" xr:uid="{00000000-0004-0000-0900-00000B000000}"/>
    <hyperlink ref="Q8" r:id="rId13" xr:uid="{00000000-0004-0000-0900-00000C000000}"/>
    <hyperlink ref="R8" r:id="rId14" xr:uid="{00000000-0004-0000-0900-00000D000000}"/>
    <hyperlink ref="Q9" r:id="rId15" xr:uid="{00000000-0004-0000-0900-00000E000000}"/>
    <hyperlink ref="R9" r:id="rId16" xr:uid="{00000000-0004-0000-0900-00000F000000}"/>
    <hyperlink ref="Q10" r:id="rId17" xr:uid="{00000000-0004-0000-0900-000010000000}"/>
    <hyperlink ref="R10" r:id="rId18" xr:uid="{00000000-0004-0000-0900-000011000000}"/>
    <hyperlink ref="S11" r:id="rId19" xr:uid="{00000000-0004-0000-0900-000012000000}"/>
    <hyperlink ref="Q12" r:id="rId20" xr:uid="{00000000-0004-0000-0900-000013000000}"/>
    <hyperlink ref="S12" r:id="rId21" xr:uid="{00000000-0004-0000-0900-000014000000}"/>
    <hyperlink ref="Q13" r:id="rId22" xr:uid="{00000000-0004-0000-0900-000015000000}"/>
    <hyperlink ref="S13" r:id="rId23" xr:uid="{00000000-0004-0000-0900-000016000000}"/>
    <hyperlink ref="Q14" r:id="rId24" xr:uid="{00000000-0004-0000-0900-000017000000}"/>
    <hyperlink ref="Q16" r:id="rId25" xr:uid="{00000000-0004-0000-0900-000018000000}"/>
    <hyperlink ref="S16" r:id="rId26" xr:uid="{00000000-0004-0000-0900-000019000000}"/>
    <hyperlink ref="Q17" r:id="rId27" xr:uid="{00000000-0004-0000-0900-00001A000000}"/>
    <hyperlink ref="S17" r:id="rId28" xr:uid="{00000000-0004-0000-0900-00001B000000}"/>
    <hyperlink ref="Q18" r:id="rId29" xr:uid="{00000000-0004-0000-0900-00001C000000}"/>
    <hyperlink ref="S18" r:id="rId30" xr:uid="{00000000-0004-0000-0900-00001D000000}"/>
    <hyperlink ref="S19" r:id="rId31" xr:uid="{00000000-0004-0000-0900-00001E000000}"/>
    <hyperlink ref="S21" r:id="rId32" xr:uid="{00000000-0004-0000-0900-00001F000000}"/>
    <hyperlink ref="S22" r:id="rId33" xr:uid="{00000000-0004-0000-0900-000020000000}"/>
    <hyperlink ref="S23" r:id="rId34" xr:uid="{00000000-0004-0000-0900-000021000000}"/>
    <hyperlink ref="Q24" r:id="rId35" xr:uid="{00000000-0004-0000-0900-000022000000}"/>
    <hyperlink ref="S24" r:id="rId36" xr:uid="{00000000-0004-0000-0900-000023000000}"/>
    <hyperlink ref="Q31" r:id="rId37" xr:uid="{00000000-0004-0000-0900-000024000000}"/>
  </hyperlink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G979"/>
  <sheetViews>
    <sheetView workbookViewId="0">
      <pane ySplit="2" topLeftCell="A3" activePane="bottomLeft" state="frozen"/>
      <selection pane="bottomLeft" activeCell="B4" sqref="B4"/>
    </sheetView>
  </sheetViews>
  <sheetFormatPr defaultColWidth="11.25" defaultRowHeight="15.75" customHeight="1"/>
  <cols>
    <col min="3" max="3" width="55.75" customWidth="1"/>
    <col min="4" max="5" width="8.75" customWidth="1"/>
    <col min="6" max="6" width="37.625" customWidth="1"/>
    <col min="7" max="7" width="26.5" customWidth="1"/>
    <col min="8" max="8" width="42.375" customWidth="1"/>
    <col min="9" max="9" width="51.5" customWidth="1"/>
    <col min="10" max="10" width="16.25" customWidth="1"/>
    <col min="11" max="11" width="16.375" customWidth="1"/>
    <col min="12" max="12" width="18.125" customWidth="1"/>
    <col min="13" max="13" width="13.25" customWidth="1"/>
    <col min="14" max="14" width="12" customWidth="1"/>
    <col min="15" max="15" width="7.25" customWidth="1"/>
    <col min="16" max="16" width="9.125" customWidth="1"/>
    <col min="17" max="17" width="6.5" customWidth="1"/>
    <col min="18" max="18" width="6" customWidth="1"/>
    <col min="19" max="19" width="5.875" customWidth="1"/>
    <col min="20" max="20" width="5.5" customWidth="1"/>
    <col min="21" max="21" width="5.25" customWidth="1"/>
    <col min="22" max="22" width="6.25" customWidth="1"/>
    <col min="23" max="23" width="18.5" customWidth="1"/>
    <col min="24" max="24" width="21.875" customWidth="1"/>
    <col min="27" max="27" width="12" customWidth="1"/>
  </cols>
  <sheetData>
    <row r="1" spans="1:59">
      <c r="A1" s="11">
        <v>4578</v>
      </c>
      <c r="B1" s="11"/>
      <c r="C1" s="90"/>
      <c r="D1" s="6"/>
      <c r="E1" s="244" t="s">
        <v>47</v>
      </c>
      <c r="F1" s="253"/>
      <c r="G1" s="253"/>
      <c r="H1" s="253"/>
      <c r="I1" s="253"/>
      <c r="J1" s="253"/>
      <c r="K1" s="253"/>
      <c r="L1" s="253"/>
      <c r="M1" s="254"/>
      <c r="O1" s="245" t="s">
        <v>58</v>
      </c>
      <c r="P1" s="253"/>
      <c r="Q1" s="253"/>
      <c r="R1" s="253"/>
      <c r="S1" s="253"/>
      <c r="T1" s="253"/>
      <c r="U1" s="253"/>
      <c r="V1" s="254"/>
      <c r="W1" s="245" t="s">
        <v>59</v>
      </c>
      <c r="X1" s="253"/>
      <c r="Y1" s="253"/>
      <c r="Z1" s="253"/>
      <c r="AA1" s="254"/>
      <c r="AG1" s="10" t="s">
        <v>60</v>
      </c>
      <c r="AK1" s="11"/>
      <c r="AL1" s="10" t="s">
        <v>61</v>
      </c>
      <c r="AP1" s="11"/>
      <c r="AQ1" s="11"/>
      <c r="AR1" s="11" t="s">
        <v>62</v>
      </c>
      <c r="AT1" s="13" t="s">
        <v>63</v>
      </c>
      <c r="AU1" s="13" t="s">
        <v>64</v>
      </c>
      <c r="AW1" s="11"/>
      <c r="AX1" s="11" t="s">
        <v>65</v>
      </c>
      <c r="AZ1" s="13" t="s">
        <v>63</v>
      </c>
      <c r="BA1" s="13" t="s">
        <v>64</v>
      </c>
      <c r="BB1" s="22"/>
      <c r="BC1" s="22"/>
      <c r="BD1" s="22"/>
      <c r="BE1" s="22"/>
      <c r="BF1" s="22"/>
      <c r="BG1" s="22"/>
    </row>
    <row r="2" spans="1:59">
      <c r="A2" s="14" t="s">
        <v>66</v>
      </c>
      <c r="B2" s="256" t="s">
        <v>67</v>
      </c>
      <c r="C2" s="257" t="s">
        <v>68</v>
      </c>
      <c r="D2" s="13" t="s">
        <v>710</v>
      </c>
      <c r="E2" s="13" t="s">
        <v>339</v>
      </c>
      <c r="F2" s="13" t="s">
        <v>70</v>
      </c>
      <c r="G2" s="13" t="s">
        <v>71</v>
      </c>
      <c r="H2" s="13" t="s">
        <v>98</v>
      </c>
      <c r="I2" s="13" t="s">
        <v>64</v>
      </c>
      <c r="J2" s="13" t="s">
        <v>72</v>
      </c>
      <c r="K2" s="13" t="s">
        <v>73</v>
      </c>
      <c r="L2" s="13" t="s">
        <v>74</v>
      </c>
      <c r="M2" s="13" t="s">
        <v>75</v>
      </c>
      <c r="N2" s="14" t="s">
        <v>76</v>
      </c>
      <c r="O2" s="14" t="s">
        <v>77</v>
      </c>
      <c r="P2" s="14" t="s">
        <v>78</v>
      </c>
      <c r="Q2" s="14" t="s">
        <v>79</v>
      </c>
      <c r="R2" s="14" t="s">
        <v>80</v>
      </c>
      <c r="S2" s="14" t="s">
        <v>81</v>
      </c>
      <c r="T2" s="14" t="s">
        <v>82</v>
      </c>
      <c r="U2" s="14" t="s">
        <v>83</v>
      </c>
      <c r="V2" s="14" t="s">
        <v>84</v>
      </c>
      <c r="W2" s="14" t="s">
        <v>85</v>
      </c>
      <c r="X2" s="14" t="s">
        <v>86</v>
      </c>
      <c r="Y2" s="14" t="s">
        <v>87</v>
      </c>
      <c r="Z2" s="14" t="s">
        <v>88</v>
      </c>
      <c r="AA2" s="14" t="s">
        <v>89</v>
      </c>
      <c r="AC2" s="11" t="s">
        <v>23</v>
      </c>
      <c r="AD2" s="11" t="s">
        <v>711</v>
      </c>
      <c r="AE2" s="11" t="s">
        <v>92</v>
      </c>
      <c r="AF2" s="11"/>
      <c r="AG2" s="11" t="s">
        <v>93</v>
      </c>
      <c r="AH2" s="11" t="s">
        <v>94</v>
      </c>
      <c r="AI2" s="11" t="s">
        <v>95</v>
      </c>
      <c r="AJ2" s="11" t="s">
        <v>96</v>
      </c>
      <c r="AK2" s="11"/>
      <c r="AL2" s="11" t="s">
        <v>93</v>
      </c>
      <c r="AM2" s="11" t="s">
        <v>94</v>
      </c>
      <c r="AN2" s="11" t="s">
        <v>95</v>
      </c>
      <c r="AO2" s="11" t="s">
        <v>96</v>
      </c>
      <c r="AP2" s="11"/>
      <c r="AQ2" s="21" t="s">
        <v>97</v>
      </c>
      <c r="AR2" s="13" t="s">
        <v>70</v>
      </c>
      <c r="AS2" s="13" t="s">
        <v>71</v>
      </c>
      <c r="AT2" s="13" t="s">
        <v>98</v>
      </c>
      <c r="AU2" s="13" t="s">
        <v>64</v>
      </c>
      <c r="AW2" s="21" t="s">
        <v>97</v>
      </c>
      <c r="AX2" s="13" t="s">
        <v>70</v>
      </c>
      <c r="AY2" s="13" t="s">
        <v>71</v>
      </c>
      <c r="AZ2" s="13" t="s">
        <v>98</v>
      </c>
      <c r="BA2" s="13" t="s">
        <v>64</v>
      </c>
      <c r="BB2" s="22"/>
      <c r="BC2" s="22"/>
      <c r="BD2" s="22"/>
      <c r="BE2" s="22"/>
      <c r="BF2" s="22"/>
      <c r="BG2" s="22"/>
    </row>
    <row r="3" spans="1:59">
      <c r="A3" s="78" t="s">
        <v>712</v>
      </c>
      <c r="B3" s="78" t="s">
        <v>626</v>
      </c>
      <c r="C3" s="258" t="s">
        <v>713</v>
      </c>
      <c r="D3" s="31">
        <v>4</v>
      </c>
      <c r="E3" s="31"/>
      <c r="F3" s="89"/>
      <c r="G3" s="89"/>
      <c r="H3" s="89"/>
      <c r="I3" s="89"/>
      <c r="J3" s="31"/>
      <c r="K3" s="31">
        <v>40</v>
      </c>
      <c r="L3" s="31">
        <f t="shared" ref="L3:L11" si="0">K3*$K$34</f>
        <v>140</v>
      </c>
      <c r="M3" s="31" t="s">
        <v>105</v>
      </c>
      <c r="N3" s="31" t="s">
        <v>472</v>
      </c>
      <c r="O3" s="37"/>
      <c r="P3" s="31" t="s">
        <v>107</v>
      </c>
      <c r="Q3" s="31" t="s">
        <v>107</v>
      </c>
      <c r="R3" s="31"/>
      <c r="S3" s="31" t="s">
        <v>107</v>
      </c>
      <c r="T3" s="31"/>
      <c r="U3" s="31"/>
      <c r="V3" s="31"/>
      <c r="W3" s="31" t="s">
        <v>108</v>
      </c>
      <c r="X3" s="31" t="s">
        <v>271</v>
      </c>
      <c r="Y3" s="31"/>
      <c r="Z3" s="31"/>
      <c r="AA3" s="31"/>
      <c r="AC3" s="11">
        <f t="shared" ref="AC3:AC27" si="1">IF(AH3=0,0,IF(AG3=AH3,1,0))*AE3</f>
        <v>0</v>
      </c>
      <c r="AD3" s="11">
        <f t="shared" ref="AD3:AD27" si="2">IF(AL3=AM3,1,0)*AE3</f>
        <v>1</v>
      </c>
      <c r="AE3" s="11">
        <f t="shared" ref="AE3:AE27" si="3">IF(ISNUMBER(MATCH(A3,$A$2:A2,0)),0,1)</f>
        <v>1</v>
      </c>
      <c r="AG3" s="11">
        <f t="shared" ref="AG3:AH3" si="4">SUMIFS(AI$3:AI$199,$A$3:$A$199,$A3)</f>
        <v>0</v>
      </c>
      <c r="AH3" s="11">
        <f t="shared" si="4"/>
        <v>1</v>
      </c>
      <c r="AI3" s="11">
        <f t="shared" ref="AI3:AI27" si="5">IF(SUM(AX3:BA3)=0,0,IF(SUM(AR3:AU3)=SUM(AX3:BA3),1,0))</f>
        <v>0</v>
      </c>
      <c r="AJ3" s="22">
        <v>1</v>
      </c>
      <c r="AK3" s="22"/>
      <c r="AL3" s="22">
        <f t="shared" ref="AL3:AM3" si="6">SUMIFS(AN$3:AN$199,$A$3:$A$199,$A3)</f>
        <v>1</v>
      </c>
      <c r="AM3" s="22">
        <f t="shared" si="6"/>
        <v>1</v>
      </c>
      <c r="AN3" s="82">
        <f t="shared" ref="AN3:AN27" si="7">IF(SUM(AR3:AU3)=SUM(AX3:BA3),1,0)</f>
        <v>1</v>
      </c>
      <c r="AO3" s="22">
        <v>1</v>
      </c>
      <c r="AP3" s="22"/>
      <c r="AQ3" s="22">
        <f t="shared" ref="AQ3:AQ27" si="8">SUM(AR3:AU3)</f>
        <v>0</v>
      </c>
      <c r="AR3" s="22">
        <f t="shared" ref="AR3:AU3" si="9">IF(OR(F3="",F3="TBD",F3="N/A",F3="SDK",F3="SAAS"),0,1)</f>
        <v>0</v>
      </c>
      <c r="AS3" s="22">
        <f t="shared" si="9"/>
        <v>0</v>
      </c>
      <c r="AT3" s="22">
        <f t="shared" si="9"/>
        <v>0</v>
      </c>
      <c r="AU3" s="22">
        <f t="shared" si="9"/>
        <v>0</v>
      </c>
      <c r="AW3" s="22">
        <f t="shared" ref="AW3:AW27" si="10">SUM(AX3:BA3)</f>
        <v>0</v>
      </c>
      <c r="AX3" s="22">
        <f t="shared" ref="AX3:BA3" si="11">IF(OR(F3="",F3="N/A",F3="SDK",F3="SAAS"),0,1)</f>
        <v>0</v>
      </c>
      <c r="AY3" s="22">
        <f t="shared" si="11"/>
        <v>0</v>
      </c>
      <c r="AZ3" s="22">
        <f t="shared" si="11"/>
        <v>0</v>
      </c>
      <c r="BA3" s="22">
        <f t="shared" si="11"/>
        <v>0</v>
      </c>
      <c r="BB3" s="22"/>
      <c r="BC3" s="22"/>
      <c r="BD3" s="22"/>
      <c r="BE3" s="22"/>
      <c r="BF3" s="22"/>
      <c r="BG3" s="22"/>
    </row>
    <row r="4" spans="1:59">
      <c r="A4" s="78" t="s">
        <v>714</v>
      </c>
      <c r="B4" s="78" t="s">
        <v>626</v>
      </c>
      <c r="C4" s="258" t="s">
        <v>635</v>
      </c>
      <c r="D4" s="31">
        <v>2</v>
      </c>
      <c r="E4" s="31"/>
      <c r="F4" s="89"/>
      <c r="G4" s="89"/>
      <c r="H4" s="89"/>
      <c r="I4" s="89"/>
      <c r="J4" s="31"/>
      <c r="K4" s="31">
        <v>18</v>
      </c>
      <c r="L4" s="31">
        <f t="shared" si="0"/>
        <v>63</v>
      </c>
      <c r="M4" s="31" t="s">
        <v>105</v>
      </c>
      <c r="N4" s="31" t="s">
        <v>472</v>
      </c>
      <c r="O4" s="37"/>
      <c r="P4" s="31" t="s">
        <v>107</v>
      </c>
      <c r="Q4" s="31" t="s">
        <v>107</v>
      </c>
      <c r="R4" s="31"/>
      <c r="S4" s="31"/>
      <c r="T4" s="31"/>
      <c r="U4" s="31"/>
      <c r="V4" s="31"/>
      <c r="W4" s="31" t="s">
        <v>108</v>
      </c>
      <c r="X4" s="31" t="s">
        <v>271</v>
      </c>
      <c r="Y4" s="31"/>
      <c r="Z4" s="31"/>
      <c r="AA4" s="31"/>
      <c r="AC4" s="11">
        <f t="shared" si="1"/>
        <v>0</v>
      </c>
      <c r="AD4" s="11">
        <f t="shared" si="2"/>
        <v>1</v>
      </c>
      <c r="AE4" s="11">
        <f t="shared" si="3"/>
        <v>1</v>
      </c>
      <c r="AG4" s="11">
        <f t="shared" ref="AG4:AH4" si="12">SUMIFS(AI$3:AI$199,$A$3:$A$199,$A4)</f>
        <v>0</v>
      </c>
      <c r="AH4" s="11">
        <f t="shared" si="12"/>
        <v>1</v>
      </c>
      <c r="AI4" s="11">
        <f t="shared" si="5"/>
        <v>0</v>
      </c>
      <c r="AJ4" s="22">
        <v>1</v>
      </c>
      <c r="AK4" s="22"/>
      <c r="AL4" s="22">
        <f t="shared" ref="AL4:AM4" si="13">SUMIFS(AN$3:AN$199,$A$3:$A$199,$A4)</f>
        <v>1</v>
      </c>
      <c r="AM4" s="22">
        <f t="shared" si="13"/>
        <v>1</v>
      </c>
      <c r="AN4" s="82">
        <f t="shared" si="7"/>
        <v>1</v>
      </c>
      <c r="AO4" s="22">
        <v>1</v>
      </c>
      <c r="AP4" s="22"/>
      <c r="AQ4" s="22">
        <f t="shared" si="8"/>
        <v>0</v>
      </c>
      <c r="AR4" s="22">
        <f t="shared" ref="AR4:AU4" si="14">IF(OR(F4="",F4="TBD",F4="N/A",F4="SDK",F4="SAAS"),0,1)</f>
        <v>0</v>
      </c>
      <c r="AS4" s="22">
        <f t="shared" si="14"/>
        <v>0</v>
      </c>
      <c r="AT4" s="22">
        <f t="shared" si="14"/>
        <v>0</v>
      </c>
      <c r="AU4" s="22">
        <f t="shared" si="14"/>
        <v>0</v>
      </c>
      <c r="AW4" s="22">
        <f t="shared" si="10"/>
        <v>0</v>
      </c>
      <c r="AX4" s="22">
        <f t="shared" ref="AX4:BA4" si="15">IF(OR(F4="",F4="N/A",F4="SDK",F4="SAAS"),0,1)</f>
        <v>0</v>
      </c>
      <c r="AY4" s="22">
        <f t="shared" si="15"/>
        <v>0</v>
      </c>
      <c r="AZ4" s="22">
        <f t="shared" si="15"/>
        <v>0</v>
      </c>
      <c r="BA4" s="22">
        <f t="shared" si="15"/>
        <v>0</v>
      </c>
      <c r="BB4" s="22"/>
      <c r="BC4" s="22"/>
      <c r="BD4" s="22"/>
      <c r="BE4" s="22"/>
      <c r="BF4" s="22"/>
      <c r="BG4" s="22"/>
    </row>
    <row r="5" spans="1:59">
      <c r="A5" s="78" t="s">
        <v>715</v>
      </c>
      <c r="B5" s="78" t="s">
        <v>626</v>
      </c>
      <c r="C5" s="258" t="s">
        <v>716</v>
      </c>
      <c r="D5" s="31">
        <v>1</v>
      </c>
      <c r="E5" s="31"/>
      <c r="F5" s="89"/>
      <c r="G5" s="89"/>
      <c r="H5" s="89"/>
      <c r="I5" s="89"/>
      <c r="J5" s="31"/>
      <c r="K5" s="31">
        <v>29</v>
      </c>
      <c r="L5" s="31">
        <f t="shared" si="0"/>
        <v>101.5</v>
      </c>
      <c r="M5" s="31" t="s">
        <v>105</v>
      </c>
      <c r="N5" s="31" t="s">
        <v>106</v>
      </c>
      <c r="O5" s="37" t="s">
        <v>107</v>
      </c>
      <c r="P5" s="31" t="s">
        <v>107</v>
      </c>
      <c r="Q5" s="31" t="s">
        <v>107</v>
      </c>
      <c r="R5" s="31"/>
      <c r="S5" s="31"/>
      <c r="T5" s="31"/>
      <c r="U5" s="31"/>
      <c r="V5" s="31"/>
      <c r="W5" s="31" t="s">
        <v>108</v>
      </c>
      <c r="X5" s="31" t="s">
        <v>271</v>
      </c>
      <c r="Y5" s="31"/>
      <c r="Z5" s="31"/>
      <c r="AA5" s="31"/>
      <c r="AC5" s="11">
        <f t="shared" si="1"/>
        <v>0</v>
      </c>
      <c r="AD5" s="11">
        <f t="shared" si="2"/>
        <v>1</v>
      </c>
      <c r="AE5" s="11">
        <f t="shared" si="3"/>
        <v>1</v>
      </c>
      <c r="AG5" s="11">
        <f t="shared" ref="AG5:AH5" si="16">SUMIFS(AI$3:AI$199,$A$3:$A$199,$A5)</f>
        <v>0</v>
      </c>
      <c r="AH5" s="11">
        <f t="shared" si="16"/>
        <v>1</v>
      </c>
      <c r="AI5" s="11">
        <f t="shared" si="5"/>
        <v>0</v>
      </c>
      <c r="AJ5" s="22">
        <v>1</v>
      </c>
      <c r="AK5" s="22"/>
      <c r="AL5" s="22">
        <f t="shared" ref="AL5:AM5" si="17">SUMIFS(AN$3:AN$199,$A$3:$A$199,$A5)</f>
        <v>1</v>
      </c>
      <c r="AM5" s="22">
        <f t="shared" si="17"/>
        <v>1</v>
      </c>
      <c r="AN5" s="82">
        <f t="shared" si="7"/>
        <v>1</v>
      </c>
      <c r="AO5" s="22">
        <v>1</v>
      </c>
      <c r="AP5" s="22"/>
      <c r="AQ5" s="22">
        <f t="shared" si="8"/>
        <v>0</v>
      </c>
      <c r="AR5" s="22">
        <f t="shared" ref="AR5:AU5" si="18">IF(OR(F5="",F5="TBD",F5="N/A",F5="SDK",F5="SAAS"),0,1)</f>
        <v>0</v>
      </c>
      <c r="AS5" s="22">
        <f t="shared" si="18"/>
        <v>0</v>
      </c>
      <c r="AT5" s="22">
        <f t="shared" si="18"/>
        <v>0</v>
      </c>
      <c r="AU5" s="22">
        <f t="shared" si="18"/>
        <v>0</v>
      </c>
      <c r="AW5" s="22">
        <f t="shared" si="10"/>
        <v>0</v>
      </c>
      <c r="AX5" s="22">
        <f t="shared" ref="AX5:BA5" si="19">IF(OR(F5="",F5="N/A",F5="SDK",F5="SAAS"),0,1)</f>
        <v>0</v>
      </c>
      <c r="AY5" s="22">
        <f t="shared" si="19"/>
        <v>0</v>
      </c>
      <c r="AZ5" s="22">
        <f t="shared" si="19"/>
        <v>0</v>
      </c>
      <c r="BA5" s="22">
        <f t="shared" si="19"/>
        <v>0</v>
      </c>
      <c r="BB5" s="22"/>
      <c r="BC5" s="22"/>
      <c r="BD5" s="22"/>
      <c r="BE5" s="22"/>
      <c r="BF5" s="265"/>
      <c r="BG5" s="22"/>
    </row>
    <row r="6" spans="1:59">
      <c r="A6" s="78" t="s">
        <v>717</v>
      </c>
      <c r="B6" s="78" t="s">
        <v>626</v>
      </c>
      <c r="C6" s="262" t="s">
        <v>672</v>
      </c>
      <c r="D6" s="31"/>
      <c r="E6" s="31"/>
      <c r="F6" s="89"/>
      <c r="G6" s="89"/>
      <c r="H6" s="89"/>
      <c r="I6" s="89"/>
      <c r="J6" s="31"/>
      <c r="K6" s="31">
        <v>50</v>
      </c>
      <c r="L6" s="31">
        <f t="shared" si="0"/>
        <v>175</v>
      </c>
      <c r="M6" s="31" t="s">
        <v>105</v>
      </c>
      <c r="N6" s="31" t="s">
        <v>472</v>
      </c>
      <c r="O6" s="37"/>
      <c r="P6" s="31" t="s">
        <v>107</v>
      </c>
      <c r="Q6" s="31" t="s">
        <v>107</v>
      </c>
      <c r="R6" s="31"/>
      <c r="S6" s="31"/>
      <c r="T6" s="31"/>
      <c r="U6" s="31"/>
      <c r="V6" s="31"/>
      <c r="W6" s="31" t="s">
        <v>181</v>
      </c>
      <c r="X6" s="31" t="s">
        <v>109</v>
      </c>
      <c r="Y6" s="31"/>
      <c r="Z6" s="31"/>
      <c r="AA6" s="31"/>
      <c r="AC6" s="11">
        <f t="shared" si="1"/>
        <v>0</v>
      </c>
      <c r="AD6" s="11">
        <f t="shared" si="2"/>
        <v>1</v>
      </c>
      <c r="AE6" s="11">
        <f t="shared" si="3"/>
        <v>1</v>
      </c>
      <c r="AG6" s="11">
        <f t="shared" ref="AG6:AH6" si="20">SUMIFS(AI$3:AI$199,$A$3:$A$199,$A6)</f>
        <v>0</v>
      </c>
      <c r="AH6" s="11">
        <f t="shared" si="20"/>
        <v>1</v>
      </c>
      <c r="AI6" s="11">
        <f t="shared" si="5"/>
        <v>0</v>
      </c>
      <c r="AJ6" s="22">
        <v>1</v>
      </c>
      <c r="AK6" s="22"/>
      <c r="AL6" s="22">
        <f t="shared" ref="AL6:AM6" si="21">SUMIFS(AN$3:AN$199,$A$3:$A$199,$A6)</f>
        <v>1</v>
      </c>
      <c r="AM6" s="22">
        <f t="shared" si="21"/>
        <v>1</v>
      </c>
      <c r="AN6" s="82">
        <f t="shared" si="7"/>
        <v>1</v>
      </c>
      <c r="AO6" s="22">
        <v>1</v>
      </c>
      <c r="AP6" s="22"/>
      <c r="AQ6" s="22">
        <f t="shared" si="8"/>
        <v>0</v>
      </c>
      <c r="AR6" s="22">
        <f t="shared" ref="AR6:AU6" si="22">IF(OR(F6="",F6="TBD",F6="N/A",F6="SDK",F6="SAAS"),0,1)</f>
        <v>0</v>
      </c>
      <c r="AS6" s="22">
        <f t="shared" si="22"/>
        <v>0</v>
      </c>
      <c r="AT6" s="22">
        <f t="shared" si="22"/>
        <v>0</v>
      </c>
      <c r="AU6" s="22">
        <f t="shared" si="22"/>
        <v>0</v>
      </c>
      <c r="AW6" s="22">
        <f t="shared" si="10"/>
        <v>0</v>
      </c>
      <c r="AX6" s="22">
        <f t="shared" ref="AX6:BA6" si="23">IF(OR(F6="",F6="N/A",F6="SDK",F6="SAAS"),0,1)</f>
        <v>0</v>
      </c>
      <c r="AY6" s="22">
        <f t="shared" si="23"/>
        <v>0</v>
      </c>
      <c r="AZ6" s="22">
        <f t="shared" si="23"/>
        <v>0</v>
      </c>
      <c r="BA6" s="22">
        <f t="shared" si="23"/>
        <v>0</v>
      </c>
      <c r="BB6" s="22"/>
      <c r="BC6" s="22"/>
      <c r="BD6" s="22"/>
      <c r="BE6" s="22"/>
      <c r="BF6" s="265"/>
      <c r="BG6" s="22"/>
    </row>
    <row r="7" spans="1:59">
      <c r="A7" s="78" t="s">
        <v>718</v>
      </c>
      <c r="B7" s="78" t="s">
        <v>626</v>
      </c>
      <c r="C7" s="258" t="s">
        <v>719</v>
      </c>
      <c r="D7" s="31"/>
      <c r="E7" s="31"/>
      <c r="F7" s="89"/>
      <c r="G7" s="89"/>
      <c r="H7" s="89"/>
      <c r="I7" s="89"/>
      <c r="J7" s="31"/>
      <c r="K7" s="31"/>
      <c r="L7" s="31">
        <f t="shared" si="0"/>
        <v>0</v>
      </c>
      <c r="M7" s="31" t="s">
        <v>105</v>
      </c>
      <c r="N7" s="80" t="s">
        <v>343</v>
      </c>
      <c r="O7" s="37"/>
      <c r="P7" s="31" t="s">
        <v>107</v>
      </c>
      <c r="Q7" s="31" t="s">
        <v>107</v>
      </c>
      <c r="R7" s="31" t="s">
        <v>107</v>
      </c>
      <c r="S7" s="171" t="s">
        <v>107</v>
      </c>
      <c r="T7" s="31"/>
      <c r="U7" s="31"/>
      <c r="V7" s="31"/>
      <c r="W7" s="31" t="s">
        <v>181</v>
      </c>
      <c r="X7" s="31" t="s">
        <v>109</v>
      </c>
      <c r="Y7" s="31"/>
      <c r="Z7" s="31"/>
      <c r="AA7" s="31"/>
      <c r="AC7" s="11">
        <f t="shared" si="1"/>
        <v>0</v>
      </c>
      <c r="AD7" s="11">
        <f t="shared" si="2"/>
        <v>1</v>
      </c>
      <c r="AE7" s="11">
        <f t="shared" si="3"/>
        <v>1</v>
      </c>
      <c r="AG7" s="11">
        <f t="shared" ref="AG7:AH7" si="24">SUMIFS(AI$3:AI$199,$A$3:$A$199,$A7)</f>
        <v>0</v>
      </c>
      <c r="AH7" s="11">
        <f t="shared" si="24"/>
        <v>1</v>
      </c>
      <c r="AI7" s="11">
        <f t="shared" si="5"/>
        <v>0</v>
      </c>
      <c r="AJ7" s="22">
        <v>1</v>
      </c>
      <c r="AK7" s="22"/>
      <c r="AL7" s="22">
        <f t="shared" ref="AL7:AM7" si="25">SUMIFS(AN$3:AN$199,$A$3:$A$199,$A7)</f>
        <v>1</v>
      </c>
      <c r="AM7" s="22">
        <f t="shared" si="25"/>
        <v>1</v>
      </c>
      <c r="AN7" s="82">
        <f t="shared" si="7"/>
        <v>1</v>
      </c>
      <c r="AO7" s="22">
        <v>1</v>
      </c>
      <c r="AP7" s="22"/>
      <c r="AQ7" s="22">
        <f t="shared" si="8"/>
        <v>0</v>
      </c>
      <c r="AR7" s="22">
        <f t="shared" ref="AR7:AU7" si="26">IF(OR(F7="",F7="TBD",F7="N/A",F7="SDK",F7="SAAS"),0,1)</f>
        <v>0</v>
      </c>
      <c r="AS7" s="22">
        <f t="shared" si="26"/>
        <v>0</v>
      </c>
      <c r="AT7" s="22">
        <f t="shared" si="26"/>
        <v>0</v>
      </c>
      <c r="AU7" s="22">
        <f t="shared" si="26"/>
        <v>0</v>
      </c>
      <c r="AW7" s="22">
        <f t="shared" si="10"/>
        <v>0</v>
      </c>
      <c r="AX7" s="22">
        <f t="shared" ref="AX7:BA7" si="27">IF(OR(F7="",F7="N/A",F7="SDK",F7="SAAS"),0,1)</f>
        <v>0</v>
      </c>
      <c r="AY7" s="22">
        <f t="shared" si="27"/>
        <v>0</v>
      </c>
      <c r="AZ7" s="22">
        <f t="shared" si="27"/>
        <v>0</v>
      </c>
      <c r="BA7" s="22">
        <f t="shared" si="27"/>
        <v>0</v>
      </c>
      <c r="BB7" s="22"/>
      <c r="BC7" s="22"/>
      <c r="BD7" s="22"/>
      <c r="BE7" s="22"/>
      <c r="BF7" s="265"/>
      <c r="BG7" s="22"/>
    </row>
    <row r="8" spans="1:59">
      <c r="A8" s="78" t="s">
        <v>720</v>
      </c>
      <c r="B8" s="78" t="s">
        <v>626</v>
      </c>
      <c r="C8" s="258" t="s">
        <v>721</v>
      </c>
      <c r="D8" s="31"/>
      <c r="E8" s="31"/>
      <c r="F8" s="89"/>
      <c r="G8" s="89"/>
      <c r="H8" s="89"/>
      <c r="I8" s="89"/>
      <c r="J8" s="31"/>
      <c r="K8" s="31"/>
      <c r="L8" s="31">
        <f t="shared" si="0"/>
        <v>0</v>
      </c>
      <c r="M8" s="31" t="s">
        <v>105</v>
      </c>
      <c r="N8" s="80" t="s">
        <v>343</v>
      </c>
      <c r="O8" s="37"/>
      <c r="P8" s="31" t="s">
        <v>107</v>
      </c>
      <c r="Q8" s="31" t="s">
        <v>107</v>
      </c>
      <c r="R8" s="31" t="s">
        <v>107</v>
      </c>
      <c r="S8" s="31" t="s">
        <v>107</v>
      </c>
      <c r="T8" s="31"/>
      <c r="U8" s="31"/>
      <c r="V8" s="31"/>
      <c r="W8" s="31" t="s">
        <v>108</v>
      </c>
      <c r="X8" s="31" t="s">
        <v>109</v>
      </c>
      <c r="Y8" s="31"/>
      <c r="Z8" s="31"/>
      <c r="AA8" s="31"/>
      <c r="AC8" s="11">
        <f t="shared" si="1"/>
        <v>0</v>
      </c>
      <c r="AD8" s="11">
        <f t="shared" si="2"/>
        <v>1</v>
      </c>
      <c r="AE8" s="11">
        <f t="shared" si="3"/>
        <v>1</v>
      </c>
      <c r="AG8" s="11">
        <f t="shared" ref="AG8:AH8" si="28">SUMIFS(AI$3:AI$199,$A$3:$A$199,$A8)</f>
        <v>0</v>
      </c>
      <c r="AH8" s="11">
        <f t="shared" si="28"/>
        <v>1</v>
      </c>
      <c r="AI8" s="11">
        <f t="shared" si="5"/>
        <v>0</v>
      </c>
      <c r="AJ8" s="22">
        <v>1</v>
      </c>
      <c r="AK8" s="22"/>
      <c r="AL8" s="22">
        <f t="shared" ref="AL8:AM8" si="29">SUMIFS(AN$3:AN$199,$A$3:$A$199,$A8)</f>
        <v>1</v>
      </c>
      <c r="AM8" s="22">
        <f t="shared" si="29"/>
        <v>1</v>
      </c>
      <c r="AN8" s="82">
        <f t="shared" si="7"/>
        <v>1</v>
      </c>
      <c r="AO8" s="22">
        <v>1</v>
      </c>
      <c r="AP8" s="22"/>
      <c r="AQ8" s="22">
        <f t="shared" si="8"/>
        <v>0</v>
      </c>
      <c r="AR8" s="22">
        <f t="shared" ref="AR8:AU8" si="30">IF(OR(F8="",F8="TBD",F8="N/A",F8="SDK",F8="SAAS"),0,1)</f>
        <v>0</v>
      </c>
      <c r="AS8" s="22">
        <f t="shared" si="30"/>
        <v>0</v>
      </c>
      <c r="AT8" s="22">
        <f t="shared" si="30"/>
        <v>0</v>
      </c>
      <c r="AU8" s="22">
        <f t="shared" si="30"/>
        <v>0</v>
      </c>
      <c r="AW8" s="22">
        <f t="shared" si="10"/>
        <v>0</v>
      </c>
      <c r="AX8" s="22">
        <f t="shared" ref="AX8:BA8" si="31">IF(OR(F8="",F8="N/A",F8="SDK",F8="SAAS"),0,1)</f>
        <v>0</v>
      </c>
      <c r="AY8" s="22">
        <f t="shared" si="31"/>
        <v>0</v>
      </c>
      <c r="AZ8" s="22">
        <f t="shared" si="31"/>
        <v>0</v>
      </c>
      <c r="BA8" s="22">
        <f t="shared" si="31"/>
        <v>0</v>
      </c>
      <c r="BB8" s="22"/>
      <c r="BC8" s="22"/>
      <c r="BD8" s="22"/>
      <c r="BE8" s="22"/>
      <c r="BF8" s="265"/>
      <c r="BG8" s="22"/>
    </row>
    <row r="9" spans="1:59">
      <c r="A9" s="78" t="s">
        <v>722</v>
      </c>
      <c r="B9" s="78" t="s">
        <v>626</v>
      </c>
      <c r="C9" s="258" t="s">
        <v>723</v>
      </c>
      <c r="D9" s="31">
        <v>3</v>
      </c>
      <c r="E9" s="31"/>
      <c r="F9" s="89"/>
      <c r="G9" s="89"/>
      <c r="H9" s="89"/>
      <c r="I9" s="89"/>
      <c r="J9" s="31"/>
      <c r="K9" s="31">
        <v>5</v>
      </c>
      <c r="L9" s="31">
        <f t="shared" si="0"/>
        <v>17.5</v>
      </c>
      <c r="M9" s="31" t="s">
        <v>105</v>
      </c>
      <c r="N9" s="31" t="s">
        <v>472</v>
      </c>
      <c r="O9" s="37"/>
      <c r="P9" s="31" t="s">
        <v>107</v>
      </c>
      <c r="Q9" s="31" t="s">
        <v>107</v>
      </c>
      <c r="R9" s="31" t="s">
        <v>107</v>
      </c>
      <c r="S9" s="31" t="s">
        <v>107</v>
      </c>
      <c r="T9" s="31"/>
      <c r="U9" s="31"/>
      <c r="V9" s="31"/>
      <c r="W9" s="31" t="s">
        <v>181</v>
      </c>
      <c r="X9" s="31" t="s">
        <v>271</v>
      </c>
      <c r="Y9" s="31"/>
      <c r="Z9" s="31"/>
      <c r="AA9" s="31"/>
      <c r="AC9" s="11">
        <f t="shared" si="1"/>
        <v>0</v>
      </c>
      <c r="AD9" s="11">
        <f t="shared" si="2"/>
        <v>1</v>
      </c>
      <c r="AE9" s="11">
        <f t="shared" si="3"/>
        <v>1</v>
      </c>
      <c r="AG9" s="11">
        <f t="shared" ref="AG9:AH9" si="32">SUMIFS(AI$3:AI$199,$A$3:$A$199,$A9)</f>
        <v>0</v>
      </c>
      <c r="AH9" s="11">
        <f t="shared" si="32"/>
        <v>1</v>
      </c>
      <c r="AI9" s="11">
        <f t="shared" si="5"/>
        <v>0</v>
      </c>
      <c r="AJ9" s="22">
        <v>1</v>
      </c>
      <c r="AK9" s="22"/>
      <c r="AL9" s="22">
        <f t="shared" ref="AL9:AM9" si="33">SUMIFS(AN$3:AN$199,$A$3:$A$199,$A9)</f>
        <v>1</v>
      </c>
      <c r="AM9" s="22">
        <f t="shared" si="33"/>
        <v>1</v>
      </c>
      <c r="AN9" s="82">
        <f t="shared" si="7"/>
        <v>1</v>
      </c>
      <c r="AO9" s="22">
        <v>1</v>
      </c>
      <c r="AP9" s="22"/>
      <c r="AQ9" s="22">
        <f t="shared" si="8"/>
        <v>0</v>
      </c>
      <c r="AR9" s="22">
        <f t="shared" ref="AR9:AU9" si="34">IF(OR(F9="",F9="TBD",F9="N/A",F9="SDK",F9="SAAS"),0,1)</f>
        <v>0</v>
      </c>
      <c r="AS9" s="22">
        <f t="shared" si="34"/>
        <v>0</v>
      </c>
      <c r="AT9" s="22">
        <f t="shared" si="34"/>
        <v>0</v>
      </c>
      <c r="AU9" s="22">
        <f t="shared" si="34"/>
        <v>0</v>
      </c>
      <c r="AW9" s="22">
        <f t="shared" si="10"/>
        <v>0</v>
      </c>
      <c r="AX9" s="22">
        <f t="shared" ref="AX9:BA9" si="35">IF(OR(F9="",F9="N/A",F9="SDK",F9="SAAS"),0,1)</f>
        <v>0</v>
      </c>
      <c r="AY9" s="22">
        <f t="shared" si="35"/>
        <v>0</v>
      </c>
      <c r="AZ9" s="22">
        <f t="shared" si="35"/>
        <v>0</v>
      </c>
      <c r="BA9" s="22">
        <f t="shared" si="35"/>
        <v>0</v>
      </c>
      <c r="BB9" s="22"/>
      <c r="BC9" s="22"/>
      <c r="BD9" s="22"/>
      <c r="BE9" s="22"/>
      <c r="BF9" s="265"/>
      <c r="BG9" s="22"/>
    </row>
    <row r="10" spans="1:59">
      <c r="A10" s="78" t="s">
        <v>724</v>
      </c>
      <c r="B10" s="78" t="s">
        <v>626</v>
      </c>
      <c r="C10" s="262" t="s">
        <v>725</v>
      </c>
      <c r="D10" s="31"/>
      <c r="E10" s="31"/>
      <c r="F10" s="89"/>
      <c r="G10" s="89"/>
      <c r="H10" s="89"/>
      <c r="I10" s="89"/>
      <c r="J10" s="31"/>
      <c r="K10" s="31">
        <v>33</v>
      </c>
      <c r="L10" s="31">
        <f t="shared" si="0"/>
        <v>115.5</v>
      </c>
      <c r="M10" s="31" t="s">
        <v>105</v>
      </c>
      <c r="N10" s="31" t="s">
        <v>472</v>
      </c>
      <c r="O10" s="37"/>
      <c r="P10" s="31" t="s">
        <v>107</v>
      </c>
      <c r="Q10" s="31"/>
      <c r="R10" s="31" t="s">
        <v>107</v>
      </c>
      <c r="S10" s="31" t="s">
        <v>107</v>
      </c>
      <c r="T10" s="31"/>
      <c r="U10" s="31"/>
      <c r="V10" s="31"/>
      <c r="W10" s="31" t="s">
        <v>181</v>
      </c>
      <c r="X10" s="31" t="s">
        <v>271</v>
      </c>
      <c r="Y10" s="31"/>
      <c r="Z10" s="31"/>
      <c r="AA10" s="31"/>
      <c r="AC10" s="11">
        <f t="shared" si="1"/>
        <v>0</v>
      </c>
      <c r="AD10" s="11">
        <f t="shared" si="2"/>
        <v>1</v>
      </c>
      <c r="AE10" s="11">
        <f t="shared" si="3"/>
        <v>1</v>
      </c>
      <c r="AG10" s="11">
        <f t="shared" ref="AG10:AH10" si="36">SUMIFS(AI$3:AI$199,$A$3:$A$199,$A10)</f>
        <v>0</v>
      </c>
      <c r="AH10" s="11">
        <f t="shared" si="36"/>
        <v>1</v>
      </c>
      <c r="AI10" s="11">
        <f t="shared" si="5"/>
        <v>0</v>
      </c>
      <c r="AJ10" s="22">
        <v>1</v>
      </c>
      <c r="AK10" s="22"/>
      <c r="AL10" s="22">
        <f t="shared" ref="AL10:AM10" si="37">SUMIFS(AN$3:AN$199,$A$3:$A$199,$A10)</f>
        <v>1</v>
      </c>
      <c r="AM10" s="22">
        <f t="shared" si="37"/>
        <v>1</v>
      </c>
      <c r="AN10" s="82">
        <f t="shared" si="7"/>
        <v>1</v>
      </c>
      <c r="AO10" s="22">
        <v>1</v>
      </c>
      <c r="AP10" s="22"/>
      <c r="AQ10" s="22">
        <f t="shared" si="8"/>
        <v>0</v>
      </c>
      <c r="AR10" s="22">
        <f t="shared" ref="AR10:AU10" si="38">IF(OR(F10="",F10="TBD",F10="N/A",F10="SDK",F10="SAAS"),0,1)</f>
        <v>0</v>
      </c>
      <c r="AS10" s="22">
        <f t="shared" si="38"/>
        <v>0</v>
      </c>
      <c r="AT10" s="22">
        <f t="shared" si="38"/>
        <v>0</v>
      </c>
      <c r="AU10" s="22">
        <f t="shared" si="38"/>
        <v>0</v>
      </c>
      <c r="AW10" s="22">
        <f t="shared" si="10"/>
        <v>0</v>
      </c>
      <c r="AX10" s="22">
        <f t="shared" ref="AX10:BA10" si="39">IF(OR(F10="",F10="N/A",F10="SDK",F10="SAAS"),0,1)</f>
        <v>0</v>
      </c>
      <c r="AY10" s="22">
        <f t="shared" si="39"/>
        <v>0</v>
      </c>
      <c r="AZ10" s="22">
        <f t="shared" si="39"/>
        <v>0</v>
      </c>
      <c r="BA10" s="22">
        <f t="shared" si="39"/>
        <v>0</v>
      </c>
      <c r="BB10" s="22"/>
      <c r="BC10" s="22"/>
      <c r="BD10" s="22"/>
      <c r="BE10" s="22"/>
      <c r="BF10" s="265"/>
      <c r="BG10" s="22"/>
    </row>
    <row r="11" spans="1:59">
      <c r="A11" s="78" t="s">
        <v>726</v>
      </c>
      <c r="B11" s="78" t="s">
        <v>626</v>
      </c>
      <c r="C11" s="258" t="s">
        <v>727</v>
      </c>
      <c r="D11" s="31"/>
      <c r="E11" s="31"/>
      <c r="F11" s="89"/>
      <c r="G11" s="89"/>
      <c r="H11" s="89"/>
      <c r="I11" s="89"/>
      <c r="J11" s="31"/>
      <c r="K11" s="31">
        <v>16</v>
      </c>
      <c r="L11" s="31">
        <f t="shared" si="0"/>
        <v>56</v>
      </c>
      <c r="M11" s="31" t="s">
        <v>105</v>
      </c>
      <c r="N11" s="31" t="s">
        <v>472</v>
      </c>
      <c r="O11" s="31"/>
      <c r="P11" s="31" t="s">
        <v>107</v>
      </c>
      <c r="Q11" s="31" t="s">
        <v>107</v>
      </c>
      <c r="R11" s="31" t="s">
        <v>107</v>
      </c>
      <c r="S11" s="31" t="s">
        <v>107</v>
      </c>
      <c r="T11" s="31"/>
      <c r="U11" s="31"/>
      <c r="V11" s="31"/>
      <c r="W11" s="31" t="s">
        <v>181</v>
      </c>
      <c r="X11" s="31" t="s">
        <v>109</v>
      </c>
      <c r="Y11" s="31"/>
      <c r="Z11" s="31"/>
      <c r="AA11" s="31"/>
      <c r="AC11" s="11">
        <f t="shared" si="1"/>
        <v>0</v>
      </c>
      <c r="AD11" s="11">
        <f t="shared" si="2"/>
        <v>1</v>
      </c>
      <c r="AE11" s="11">
        <f t="shared" si="3"/>
        <v>1</v>
      </c>
      <c r="AG11" s="11">
        <f t="shared" ref="AG11:AH11" si="40">SUMIFS(AI$3:AI$199,$A$3:$A$199,$A11)</f>
        <v>0</v>
      </c>
      <c r="AH11" s="11">
        <f t="shared" si="40"/>
        <v>1</v>
      </c>
      <c r="AI11" s="11">
        <f t="shared" si="5"/>
        <v>0</v>
      </c>
      <c r="AJ11" s="22">
        <v>1</v>
      </c>
      <c r="AK11" s="22"/>
      <c r="AL11" s="22">
        <f t="shared" ref="AL11:AM11" si="41">SUMIFS(AN$3:AN$199,$A$3:$A$199,$A11)</f>
        <v>1</v>
      </c>
      <c r="AM11" s="22">
        <f t="shared" si="41"/>
        <v>1</v>
      </c>
      <c r="AN11" s="82">
        <f t="shared" si="7"/>
        <v>1</v>
      </c>
      <c r="AO11" s="22">
        <v>1</v>
      </c>
      <c r="AP11" s="22"/>
      <c r="AQ11" s="22">
        <f t="shared" si="8"/>
        <v>0</v>
      </c>
      <c r="AR11" s="22">
        <f t="shared" ref="AR11:AU11" si="42">IF(OR(F11="",F11="TBD",F11="N/A",F11="SDK",F11="SAAS"),0,1)</f>
        <v>0</v>
      </c>
      <c r="AS11" s="22">
        <f t="shared" si="42"/>
        <v>0</v>
      </c>
      <c r="AT11" s="22">
        <f t="shared" si="42"/>
        <v>0</v>
      </c>
      <c r="AU11" s="22">
        <f t="shared" si="42"/>
        <v>0</v>
      </c>
      <c r="AW11" s="22">
        <f t="shared" si="10"/>
        <v>0</v>
      </c>
      <c r="AX11" s="22">
        <f t="shared" ref="AX11:BA11" si="43">IF(OR(F11="",F11="N/A",F11="SDK",F11="SAAS"),0,1)</f>
        <v>0</v>
      </c>
      <c r="AY11" s="22">
        <f t="shared" si="43"/>
        <v>0</v>
      </c>
      <c r="AZ11" s="22">
        <f t="shared" si="43"/>
        <v>0</v>
      </c>
      <c r="BA11" s="22">
        <f t="shared" si="43"/>
        <v>0</v>
      </c>
      <c r="BB11" s="22"/>
      <c r="BC11" s="22"/>
      <c r="BD11" s="22"/>
      <c r="BE11" s="22"/>
      <c r="BF11" s="265"/>
      <c r="BG11" s="22"/>
    </row>
    <row r="12" spans="1:59">
      <c r="A12" s="78" t="s">
        <v>728</v>
      </c>
      <c r="B12" s="78" t="s">
        <v>626</v>
      </c>
      <c r="C12" s="262" t="s">
        <v>666</v>
      </c>
      <c r="D12" s="31"/>
      <c r="E12" s="31"/>
      <c r="F12" s="89"/>
      <c r="G12" s="89"/>
      <c r="H12" s="89"/>
      <c r="I12" s="89"/>
      <c r="J12" s="31"/>
      <c r="K12" s="31">
        <v>15</v>
      </c>
      <c r="L12" s="31"/>
      <c r="M12" s="31" t="s">
        <v>105</v>
      </c>
      <c r="N12" s="31" t="s">
        <v>472</v>
      </c>
      <c r="O12" s="37"/>
      <c r="P12" s="31" t="s">
        <v>107</v>
      </c>
      <c r="Q12" s="31"/>
      <c r="R12" s="31"/>
      <c r="S12" s="31"/>
      <c r="T12" s="31"/>
      <c r="U12" s="31"/>
      <c r="V12" s="31"/>
      <c r="W12" s="31" t="s">
        <v>181</v>
      </c>
      <c r="X12" s="31" t="s">
        <v>109</v>
      </c>
      <c r="Y12" s="31"/>
      <c r="Z12" s="31"/>
      <c r="AA12" s="31"/>
      <c r="AC12" s="11">
        <f t="shared" si="1"/>
        <v>0</v>
      </c>
      <c r="AD12" s="11">
        <f t="shared" si="2"/>
        <v>1</v>
      </c>
      <c r="AE12" s="11">
        <f t="shared" si="3"/>
        <v>1</v>
      </c>
      <c r="AG12" s="11">
        <f t="shared" ref="AG12:AH12" si="44">SUMIFS(AI$3:AI$199,$A$3:$A$199,$A12)</f>
        <v>0</v>
      </c>
      <c r="AH12" s="11">
        <f t="shared" si="44"/>
        <v>1</v>
      </c>
      <c r="AI12" s="11">
        <f t="shared" si="5"/>
        <v>0</v>
      </c>
      <c r="AJ12" s="22">
        <v>1</v>
      </c>
      <c r="AK12" s="22"/>
      <c r="AL12" s="22">
        <f t="shared" ref="AL12:AM12" si="45">SUMIFS(AN$3:AN$199,$A$3:$A$199,$A12)</f>
        <v>1</v>
      </c>
      <c r="AM12" s="22">
        <f t="shared" si="45"/>
        <v>1</v>
      </c>
      <c r="AN12" s="82">
        <f t="shared" si="7"/>
        <v>1</v>
      </c>
      <c r="AO12" s="22">
        <v>1</v>
      </c>
      <c r="AP12" s="22"/>
      <c r="AQ12" s="22">
        <f t="shared" si="8"/>
        <v>0</v>
      </c>
      <c r="AR12" s="22">
        <f t="shared" ref="AR12:AU12" si="46">IF(OR(F12="",F12="TBD",F12="N/A",F12="SDK",F12="SAAS"),0,1)</f>
        <v>0</v>
      </c>
      <c r="AS12" s="22">
        <f t="shared" si="46"/>
        <v>0</v>
      </c>
      <c r="AT12" s="22">
        <f t="shared" si="46"/>
        <v>0</v>
      </c>
      <c r="AU12" s="22">
        <f t="shared" si="46"/>
        <v>0</v>
      </c>
      <c r="AW12" s="22">
        <f t="shared" si="10"/>
        <v>0</v>
      </c>
      <c r="AX12" s="22">
        <f t="shared" ref="AX12:BA12" si="47">IF(OR(F12="",F12="N/A",F12="SDK",F12="SAAS"),0,1)</f>
        <v>0</v>
      </c>
      <c r="AY12" s="22">
        <f t="shared" si="47"/>
        <v>0</v>
      </c>
      <c r="AZ12" s="22">
        <f t="shared" si="47"/>
        <v>0</v>
      </c>
      <c r="BA12" s="22">
        <f t="shared" si="47"/>
        <v>0</v>
      </c>
      <c r="BB12" s="22"/>
      <c r="BC12" s="22"/>
      <c r="BD12" s="22"/>
      <c r="BE12" s="22"/>
      <c r="BF12" s="265"/>
      <c r="BG12" s="22"/>
    </row>
    <row r="13" spans="1:59">
      <c r="A13" s="78" t="s">
        <v>729</v>
      </c>
      <c r="B13" s="78" t="s">
        <v>626</v>
      </c>
      <c r="C13" s="259" t="s">
        <v>555</v>
      </c>
      <c r="D13" s="31"/>
      <c r="E13" s="31"/>
      <c r="F13" s="89"/>
      <c r="G13" s="89"/>
      <c r="H13" s="89"/>
      <c r="I13" s="89"/>
      <c r="J13" s="31"/>
      <c r="K13" s="31"/>
      <c r="L13" s="31"/>
      <c r="M13" s="31" t="s">
        <v>105</v>
      </c>
      <c r="N13" s="31" t="s">
        <v>106</v>
      </c>
      <c r="O13" s="37" t="s">
        <v>107</v>
      </c>
      <c r="P13" s="31" t="s">
        <v>107</v>
      </c>
      <c r="Q13" s="31"/>
      <c r="R13" s="31"/>
      <c r="S13" s="31"/>
      <c r="T13" s="31"/>
      <c r="U13" s="31"/>
      <c r="V13" s="31"/>
      <c r="W13" s="31" t="s">
        <v>108</v>
      </c>
      <c r="X13" s="31" t="s">
        <v>109</v>
      </c>
      <c r="Y13" s="31"/>
      <c r="Z13" s="31"/>
      <c r="AA13" s="31"/>
      <c r="AC13" s="11">
        <f t="shared" si="1"/>
        <v>0</v>
      </c>
      <c r="AD13" s="11">
        <f t="shared" si="2"/>
        <v>1</v>
      </c>
      <c r="AE13" s="11">
        <f t="shared" si="3"/>
        <v>1</v>
      </c>
      <c r="AG13" s="11">
        <f t="shared" ref="AG13:AH13" si="48">SUMIFS(AI$3:AI$199,$A$3:$A$199,$A13)</f>
        <v>0</v>
      </c>
      <c r="AH13" s="11">
        <f t="shared" si="48"/>
        <v>1</v>
      </c>
      <c r="AI13" s="11">
        <f t="shared" si="5"/>
        <v>0</v>
      </c>
      <c r="AJ13" s="22">
        <v>1</v>
      </c>
      <c r="AK13" s="22"/>
      <c r="AL13" s="22">
        <f t="shared" ref="AL13:AM13" si="49">SUMIFS(AN$3:AN$199,$A$3:$A$199,$A13)</f>
        <v>1</v>
      </c>
      <c r="AM13" s="22">
        <f t="shared" si="49"/>
        <v>1</v>
      </c>
      <c r="AN13" s="82">
        <f t="shared" si="7"/>
        <v>1</v>
      </c>
      <c r="AO13" s="22">
        <v>1</v>
      </c>
      <c r="AP13" s="22"/>
      <c r="AQ13" s="22">
        <f t="shared" si="8"/>
        <v>0</v>
      </c>
      <c r="AR13" s="22">
        <f t="shared" ref="AR13:AU13" si="50">IF(OR(F13="",F13="TBD",F13="N/A",F13="SDK",F13="SAAS"),0,1)</f>
        <v>0</v>
      </c>
      <c r="AS13" s="22">
        <f t="shared" si="50"/>
        <v>0</v>
      </c>
      <c r="AT13" s="22">
        <f t="shared" si="50"/>
        <v>0</v>
      </c>
      <c r="AU13" s="22">
        <f t="shared" si="50"/>
        <v>0</v>
      </c>
      <c r="AW13" s="22">
        <f t="shared" si="10"/>
        <v>0</v>
      </c>
      <c r="AX13" s="22">
        <f t="shared" ref="AX13:BA13" si="51">IF(OR(F13="",F13="N/A",F13="SDK",F13="SAAS"),0,1)</f>
        <v>0</v>
      </c>
      <c r="AY13" s="22">
        <f t="shared" si="51"/>
        <v>0</v>
      </c>
      <c r="AZ13" s="22">
        <f t="shared" si="51"/>
        <v>0</v>
      </c>
      <c r="BA13" s="22">
        <f t="shared" si="51"/>
        <v>0</v>
      </c>
      <c r="BB13" s="22"/>
      <c r="BC13" s="22"/>
      <c r="BD13" s="22"/>
      <c r="BE13" s="22"/>
      <c r="BF13" s="22"/>
      <c r="BG13" s="22"/>
    </row>
    <row r="14" spans="1:59">
      <c r="A14" s="78" t="s">
        <v>730</v>
      </c>
      <c r="B14" s="78" t="s">
        <v>626</v>
      </c>
      <c r="C14" s="262" t="s">
        <v>671</v>
      </c>
      <c r="D14" s="31"/>
      <c r="E14" s="31"/>
      <c r="F14" s="89"/>
      <c r="G14" s="89">
        <v>0</v>
      </c>
      <c r="H14" s="89"/>
      <c r="I14" s="89"/>
      <c r="J14" s="31"/>
      <c r="K14" s="31">
        <v>28</v>
      </c>
      <c r="L14" s="31"/>
      <c r="M14" s="31" t="s">
        <v>105</v>
      </c>
      <c r="N14" s="31" t="s">
        <v>472</v>
      </c>
      <c r="O14" s="37"/>
      <c r="P14" s="31" t="s">
        <v>107</v>
      </c>
      <c r="Q14" s="31" t="s">
        <v>107</v>
      </c>
      <c r="R14" s="31"/>
      <c r="S14" s="31"/>
      <c r="T14" s="31"/>
      <c r="U14" s="31"/>
      <c r="V14" s="31"/>
      <c r="W14" s="31" t="s">
        <v>108</v>
      </c>
      <c r="X14" s="31" t="s">
        <v>271</v>
      </c>
      <c r="Y14" s="31"/>
      <c r="Z14" s="31"/>
      <c r="AA14" s="31"/>
      <c r="AC14" s="11">
        <f t="shared" si="1"/>
        <v>1</v>
      </c>
      <c r="AD14" s="11">
        <f t="shared" si="2"/>
        <v>1</v>
      </c>
      <c r="AE14" s="11">
        <f t="shared" si="3"/>
        <v>1</v>
      </c>
      <c r="AG14" s="11">
        <f t="shared" ref="AG14:AH14" si="52">SUMIFS(AI$3:AI$199,$A$3:$A$199,$A14)</f>
        <v>1</v>
      </c>
      <c r="AH14" s="11">
        <f t="shared" si="52"/>
        <v>1</v>
      </c>
      <c r="AI14" s="11">
        <f t="shared" si="5"/>
        <v>1</v>
      </c>
      <c r="AJ14" s="22">
        <v>1</v>
      </c>
      <c r="AK14" s="22"/>
      <c r="AL14" s="22">
        <f t="shared" ref="AL14:AM14" si="53">SUMIFS(AN$3:AN$199,$A$3:$A$199,$A14)</f>
        <v>1</v>
      </c>
      <c r="AM14" s="22">
        <f t="shared" si="53"/>
        <v>1</v>
      </c>
      <c r="AN14" s="82">
        <f t="shared" si="7"/>
        <v>1</v>
      </c>
      <c r="AO14" s="22">
        <v>1</v>
      </c>
      <c r="AP14" s="22"/>
      <c r="AQ14" s="22">
        <f t="shared" si="8"/>
        <v>1</v>
      </c>
      <c r="AR14" s="22">
        <f t="shared" ref="AR14:AU14" si="54">IF(OR(F14="",F14="TBD",F14="N/A",F14="SDK",F14="SAAS"),0,1)</f>
        <v>0</v>
      </c>
      <c r="AS14" s="22">
        <f t="shared" si="54"/>
        <v>1</v>
      </c>
      <c r="AT14" s="22">
        <f t="shared" si="54"/>
        <v>0</v>
      </c>
      <c r="AU14" s="22">
        <f t="shared" si="54"/>
        <v>0</v>
      </c>
      <c r="AW14" s="22">
        <f t="shared" si="10"/>
        <v>1</v>
      </c>
      <c r="AX14" s="22">
        <f t="shared" ref="AX14:BA14" si="55">IF(OR(F14="",F14="N/A",F14="SDK",F14="SAAS"),0,1)</f>
        <v>0</v>
      </c>
      <c r="AY14" s="22">
        <f t="shared" si="55"/>
        <v>1</v>
      </c>
      <c r="AZ14" s="22">
        <f t="shared" si="55"/>
        <v>0</v>
      </c>
      <c r="BA14" s="22">
        <f t="shared" si="55"/>
        <v>0</v>
      </c>
      <c r="BB14" s="22"/>
      <c r="BC14" s="22"/>
      <c r="BD14" s="22"/>
      <c r="BE14" s="22"/>
      <c r="BF14" s="265"/>
      <c r="BG14" s="22"/>
    </row>
    <row r="15" spans="1:59">
      <c r="A15" s="78" t="s">
        <v>731</v>
      </c>
      <c r="B15" s="78" t="s">
        <v>626</v>
      </c>
      <c r="C15" s="262" t="s">
        <v>669</v>
      </c>
      <c r="D15" s="31"/>
      <c r="E15" s="31"/>
      <c r="F15" s="89"/>
      <c r="G15" s="89"/>
      <c r="H15" s="89"/>
      <c r="I15" s="89"/>
      <c r="J15" s="31"/>
      <c r="K15" s="31">
        <v>20</v>
      </c>
      <c r="L15" s="31"/>
      <c r="M15" s="31" t="s">
        <v>105</v>
      </c>
      <c r="N15" s="31" t="s">
        <v>472</v>
      </c>
      <c r="O15" s="37"/>
      <c r="P15" s="31" t="s">
        <v>107</v>
      </c>
      <c r="Q15" s="31" t="s">
        <v>107</v>
      </c>
      <c r="R15" s="31"/>
      <c r="S15" s="31"/>
      <c r="T15" s="31"/>
      <c r="U15" s="31"/>
      <c r="V15" s="31"/>
      <c r="W15" s="31" t="s">
        <v>108</v>
      </c>
      <c r="X15" s="31" t="s">
        <v>271</v>
      </c>
      <c r="Y15" s="31"/>
      <c r="Z15" s="31"/>
      <c r="AA15" s="31"/>
      <c r="AC15" s="11">
        <f t="shared" si="1"/>
        <v>0</v>
      </c>
      <c r="AD15" s="11">
        <f t="shared" si="2"/>
        <v>1</v>
      </c>
      <c r="AE15" s="11">
        <f t="shared" si="3"/>
        <v>1</v>
      </c>
      <c r="AG15" s="11">
        <f t="shared" ref="AG15:AH15" si="56">SUMIFS(AI$3:AI$199,$A$3:$A$199,$A15)</f>
        <v>0</v>
      </c>
      <c r="AH15" s="11">
        <f t="shared" si="56"/>
        <v>1</v>
      </c>
      <c r="AI15" s="11">
        <f t="shared" si="5"/>
        <v>0</v>
      </c>
      <c r="AJ15" s="22">
        <v>1</v>
      </c>
      <c r="AK15" s="22"/>
      <c r="AL15" s="22">
        <f t="shared" ref="AL15:AM15" si="57">SUMIFS(AN$3:AN$199,$A$3:$A$199,$A15)</f>
        <v>1</v>
      </c>
      <c r="AM15" s="22">
        <f t="shared" si="57"/>
        <v>1</v>
      </c>
      <c r="AN15" s="82">
        <f t="shared" si="7"/>
        <v>1</v>
      </c>
      <c r="AO15" s="22">
        <v>1</v>
      </c>
      <c r="AP15" s="22"/>
      <c r="AQ15" s="22">
        <f t="shared" si="8"/>
        <v>0</v>
      </c>
      <c r="AR15" s="22">
        <f t="shared" ref="AR15:AU15" si="58">IF(OR(F15="",F15="TBD",F15="N/A",F15="SDK",F15="SAAS"),0,1)</f>
        <v>0</v>
      </c>
      <c r="AS15" s="22">
        <f t="shared" si="58"/>
        <v>0</v>
      </c>
      <c r="AT15" s="22">
        <f t="shared" si="58"/>
        <v>0</v>
      </c>
      <c r="AU15" s="22">
        <f t="shared" si="58"/>
        <v>0</v>
      </c>
      <c r="AW15" s="22">
        <f t="shared" si="10"/>
        <v>0</v>
      </c>
      <c r="AX15" s="22">
        <f t="shared" ref="AX15:BA15" si="59">IF(OR(F15="",F15="N/A",F15="SDK",F15="SAAS"),0,1)</f>
        <v>0</v>
      </c>
      <c r="AY15" s="22">
        <f t="shared" si="59"/>
        <v>0</v>
      </c>
      <c r="AZ15" s="22">
        <f t="shared" si="59"/>
        <v>0</v>
      </c>
      <c r="BA15" s="22">
        <f t="shared" si="59"/>
        <v>0</v>
      </c>
      <c r="BB15" s="22"/>
      <c r="BC15" s="22"/>
      <c r="BD15" s="22"/>
      <c r="BE15" s="22"/>
      <c r="BF15" s="265"/>
      <c r="BG15" s="22"/>
    </row>
    <row r="16" spans="1:59">
      <c r="A16" s="78" t="s">
        <v>732</v>
      </c>
      <c r="B16" s="78" t="s">
        <v>626</v>
      </c>
      <c r="C16" s="259" t="s">
        <v>733</v>
      </c>
      <c r="D16" s="31"/>
      <c r="E16" s="31"/>
      <c r="F16" s="89"/>
      <c r="G16" s="89"/>
      <c r="H16" s="89"/>
      <c r="I16" s="89"/>
      <c r="J16" s="31"/>
      <c r="K16" s="31">
        <v>30</v>
      </c>
      <c r="L16" s="31"/>
      <c r="M16" s="31" t="s">
        <v>105</v>
      </c>
      <c r="N16" s="31" t="s">
        <v>472</v>
      </c>
      <c r="O16" s="37"/>
      <c r="P16" s="31" t="s">
        <v>107</v>
      </c>
      <c r="Q16" s="31" t="s">
        <v>107</v>
      </c>
      <c r="R16" s="31"/>
      <c r="S16" s="31"/>
      <c r="T16" s="31"/>
      <c r="U16" s="31"/>
      <c r="V16" s="31"/>
      <c r="W16" s="31" t="s">
        <v>108</v>
      </c>
      <c r="X16" s="31" t="s">
        <v>271</v>
      </c>
      <c r="Y16" s="31"/>
      <c r="Z16" s="31"/>
      <c r="AA16" s="31"/>
      <c r="AC16" s="11">
        <f t="shared" si="1"/>
        <v>0</v>
      </c>
      <c r="AD16" s="11">
        <f t="shared" si="2"/>
        <v>1</v>
      </c>
      <c r="AE16" s="11">
        <f t="shared" si="3"/>
        <v>1</v>
      </c>
      <c r="AG16" s="11">
        <f t="shared" ref="AG16:AH16" si="60">SUMIFS(AI$3:AI$199,$A$3:$A$199,$A16)</f>
        <v>0</v>
      </c>
      <c r="AH16" s="11">
        <f t="shared" si="60"/>
        <v>1</v>
      </c>
      <c r="AI16" s="11">
        <f t="shared" si="5"/>
        <v>0</v>
      </c>
      <c r="AJ16" s="22">
        <v>1</v>
      </c>
      <c r="AK16" s="22"/>
      <c r="AL16" s="22">
        <f t="shared" ref="AL16:AM16" si="61">SUMIFS(AN$3:AN$199,$A$3:$A$199,$A16)</f>
        <v>1</v>
      </c>
      <c r="AM16" s="22">
        <f t="shared" si="61"/>
        <v>1</v>
      </c>
      <c r="AN16" s="82">
        <f t="shared" si="7"/>
        <v>1</v>
      </c>
      <c r="AO16" s="22">
        <v>1</v>
      </c>
      <c r="AP16" s="22"/>
      <c r="AQ16" s="22">
        <f t="shared" si="8"/>
        <v>0</v>
      </c>
      <c r="AR16" s="22">
        <f t="shared" ref="AR16:AU16" si="62">IF(OR(F16="",F16="TBD",F16="N/A",F16="SDK",F16="SAAS"),0,1)</f>
        <v>0</v>
      </c>
      <c r="AS16" s="22">
        <f t="shared" si="62"/>
        <v>0</v>
      </c>
      <c r="AT16" s="22">
        <f t="shared" si="62"/>
        <v>0</v>
      </c>
      <c r="AU16" s="22">
        <f t="shared" si="62"/>
        <v>0</v>
      </c>
      <c r="AW16" s="22">
        <f t="shared" si="10"/>
        <v>0</v>
      </c>
      <c r="AX16" s="22">
        <f t="shared" ref="AX16:BA16" si="63">IF(OR(F16="",F16="N/A",F16="SDK",F16="SAAS"),0,1)</f>
        <v>0</v>
      </c>
      <c r="AY16" s="22">
        <f t="shared" si="63"/>
        <v>0</v>
      </c>
      <c r="AZ16" s="22">
        <f t="shared" si="63"/>
        <v>0</v>
      </c>
      <c r="BA16" s="22">
        <f t="shared" si="63"/>
        <v>0</v>
      </c>
      <c r="BB16" s="22"/>
      <c r="BC16" s="22"/>
      <c r="BD16" s="22"/>
      <c r="BE16" s="22"/>
      <c r="BF16" s="265"/>
      <c r="BG16" s="22"/>
    </row>
    <row r="17" spans="1:59">
      <c r="A17" s="78" t="s">
        <v>734</v>
      </c>
      <c r="B17" s="78" t="s">
        <v>626</v>
      </c>
      <c r="C17" s="262" t="s">
        <v>735</v>
      </c>
      <c r="D17" s="31"/>
      <c r="E17" s="31"/>
      <c r="F17" s="89"/>
      <c r="G17" s="89"/>
      <c r="H17" s="89"/>
      <c r="I17" s="89"/>
      <c r="J17" s="31"/>
      <c r="K17" s="31"/>
      <c r="L17" s="31"/>
      <c r="M17" s="31" t="s">
        <v>105</v>
      </c>
      <c r="N17" s="80" t="s">
        <v>343</v>
      </c>
      <c r="O17" s="37" t="s">
        <v>107</v>
      </c>
      <c r="P17" s="171" t="s">
        <v>107</v>
      </c>
      <c r="Q17" s="171" t="s">
        <v>107</v>
      </c>
      <c r="R17" s="171" t="s">
        <v>107</v>
      </c>
      <c r="S17" s="31"/>
      <c r="T17" s="31"/>
      <c r="U17" s="31"/>
      <c r="V17" s="31"/>
      <c r="W17" s="31" t="s">
        <v>181</v>
      </c>
      <c r="X17" s="31" t="s">
        <v>109</v>
      </c>
      <c r="Y17" s="31"/>
      <c r="Z17" s="31"/>
      <c r="AA17" s="31"/>
      <c r="AC17" s="11">
        <f t="shared" si="1"/>
        <v>0</v>
      </c>
      <c r="AD17" s="11">
        <f t="shared" si="2"/>
        <v>1</v>
      </c>
      <c r="AE17" s="11">
        <f t="shared" si="3"/>
        <v>1</v>
      </c>
      <c r="AG17" s="11">
        <f t="shared" ref="AG17:AH17" si="64">SUMIFS(AI$3:AI$199,$A$3:$A$199,$A17)</f>
        <v>0</v>
      </c>
      <c r="AH17" s="11">
        <f t="shared" si="64"/>
        <v>1</v>
      </c>
      <c r="AI17" s="11">
        <f t="shared" si="5"/>
        <v>0</v>
      </c>
      <c r="AJ17" s="22">
        <v>1</v>
      </c>
      <c r="AK17" s="22"/>
      <c r="AL17" s="22">
        <f t="shared" ref="AL17:AM17" si="65">SUMIFS(AN$3:AN$199,$A$3:$A$199,$A17)</f>
        <v>1</v>
      </c>
      <c r="AM17" s="22">
        <f t="shared" si="65"/>
        <v>1</v>
      </c>
      <c r="AN17" s="82">
        <f t="shared" si="7"/>
        <v>1</v>
      </c>
      <c r="AO17" s="22">
        <v>1</v>
      </c>
      <c r="AP17" s="22"/>
      <c r="AQ17" s="22">
        <f t="shared" si="8"/>
        <v>0</v>
      </c>
      <c r="AR17" s="22">
        <f t="shared" ref="AR17:AU17" si="66">IF(OR(F17="",F17="TBD",F17="N/A",F17="SDK",F17="SAAS"),0,1)</f>
        <v>0</v>
      </c>
      <c r="AS17" s="22">
        <f t="shared" si="66"/>
        <v>0</v>
      </c>
      <c r="AT17" s="22">
        <f t="shared" si="66"/>
        <v>0</v>
      </c>
      <c r="AU17" s="22">
        <f t="shared" si="66"/>
        <v>0</v>
      </c>
      <c r="AW17" s="22">
        <f t="shared" si="10"/>
        <v>0</v>
      </c>
      <c r="AX17" s="22">
        <f t="shared" ref="AX17:BA17" si="67">IF(OR(F17="",F17="N/A",F17="SDK",F17="SAAS"),0,1)</f>
        <v>0</v>
      </c>
      <c r="AY17" s="22">
        <f t="shared" si="67"/>
        <v>0</v>
      </c>
      <c r="AZ17" s="22">
        <f t="shared" si="67"/>
        <v>0</v>
      </c>
      <c r="BA17" s="22">
        <f t="shared" si="67"/>
        <v>0</v>
      </c>
      <c r="BB17" s="22"/>
      <c r="BC17" s="22"/>
      <c r="BD17" s="22"/>
      <c r="BE17" s="22"/>
      <c r="BF17" s="265"/>
      <c r="BG17" s="22"/>
    </row>
    <row r="18" spans="1:59">
      <c r="A18" s="78" t="s">
        <v>736</v>
      </c>
      <c r="B18" s="78" t="s">
        <v>626</v>
      </c>
      <c r="C18" s="259" t="s">
        <v>737</v>
      </c>
      <c r="D18" s="31"/>
      <c r="E18" s="31"/>
      <c r="F18" s="89"/>
      <c r="G18" s="89"/>
      <c r="H18" s="89"/>
      <c r="I18" s="89"/>
      <c r="J18" s="31"/>
      <c r="K18" s="31"/>
      <c r="L18" s="31"/>
      <c r="M18" s="31" t="s">
        <v>105</v>
      </c>
      <c r="N18" s="31" t="s">
        <v>106</v>
      </c>
      <c r="O18" s="37" t="s">
        <v>107</v>
      </c>
      <c r="P18" s="31" t="s">
        <v>107</v>
      </c>
      <c r="Q18" s="31" t="s">
        <v>107</v>
      </c>
      <c r="R18" s="31" t="s">
        <v>107</v>
      </c>
      <c r="S18" s="31" t="s">
        <v>107</v>
      </c>
      <c r="T18" s="31"/>
      <c r="U18" s="31"/>
      <c r="V18" s="31"/>
      <c r="W18" s="31" t="s">
        <v>181</v>
      </c>
      <c r="X18" s="31" t="s">
        <v>109</v>
      </c>
      <c r="Y18" s="31"/>
      <c r="Z18" s="31"/>
      <c r="AA18" s="31"/>
      <c r="AC18" s="11">
        <f t="shared" si="1"/>
        <v>0</v>
      </c>
      <c r="AD18" s="11">
        <f t="shared" si="2"/>
        <v>1</v>
      </c>
      <c r="AE18" s="11">
        <f t="shared" si="3"/>
        <v>1</v>
      </c>
      <c r="AG18" s="11">
        <f t="shared" ref="AG18:AH18" si="68">SUMIFS(AI$3:AI$199,$A$3:$A$199,$A18)</f>
        <v>0</v>
      </c>
      <c r="AH18" s="11">
        <f t="shared" si="68"/>
        <v>1</v>
      </c>
      <c r="AI18" s="11">
        <f t="shared" si="5"/>
        <v>0</v>
      </c>
      <c r="AJ18" s="22">
        <v>1</v>
      </c>
      <c r="AK18" s="22"/>
      <c r="AL18" s="22">
        <f t="shared" ref="AL18:AM18" si="69">SUMIFS(AN$3:AN$199,$A$3:$A$199,$A18)</f>
        <v>1</v>
      </c>
      <c r="AM18" s="22">
        <f t="shared" si="69"/>
        <v>1</v>
      </c>
      <c r="AN18" s="82">
        <f t="shared" si="7"/>
        <v>1</v>
      </c>
      <c r="AO18" s="22">
        <v>1</v>
      </c>
      <c r="AP18" s="22"/>
      <c r="AQ18" s="22">
        <f t="shared" si="8"/>
        <v>0</v>
      </c>
      <c r="AR18" s="22">
        <f t="shared" ref="AR18:AU18" si="70">IF(OR(F18="",F18="TBD",F18="N/A",F18="SDK",F18="SAAS"),0,1)</f>
        <v>0</v>
      </c>
      <c r="AS18" s="22">
        <f t="shared" si="70"/>
        <v>0</v>
      </c>
      <c r="AT18" s="22">
        <f t="shared" si="70"/>
        <v>0</v>
      </c>
      <c r="AU18" s="22">
        <f t="shared" si="70"/>
        <v>0</v>
      </c>
      <c r="AW18" s="22">
        <f t="shared" si="10"/>
        <v>0</v>
      </c>
      <c r="AX18" s="22">
        <f t="shared" ref="AX18:BA18" si="71">IF(OR(F18="",F18="N/A",F18="SDK",F18="SAAS"),0,1)</f>
        <v>0</v>
      </c>
      <c r="AY18" s="22">
        <f t="shared" si="71"/>
        <v>0</v>
      </c>
      <c r="AZ18" s="22">
        <f t="shared" si="71"/>
        <v>0</v>
      </c>
      <c r="BA18" s="22">
        <f t="shared" si="71"/>
        <v>0</v>
      </c>
      <c r="BB18" s="22"/>
      <c r="BC18" s="22"/>
      <c r="BD18" s="22"/>
      <c r="BE18" s="22"/>
      <c r="BF18" s="265"/>
      <c r="BG18" s="22"/>
    </row>
    <row r="19" spans="1:59">
      <c r="A19" s="78" t="s">
        <v>738</v>
      </c>
      <c r="B19" s="78" t="s">
        <v>626</v>
      </c>
      <c r="C19" s="259" t="s">
        <v>739</v>
      </c>
      <c r="D19" s="31"/>
      <c r="E19" s="31"/>
      <c r="F19" s="89"/>
      <c r="G19" s="89"/>
      <c r="H19" s="89"/>
      <c r="I19" s="89"/>
      <c r="J19" s="31"/>
      <c r="K19" s="31">
        <v>18</v>
      </c>
      <c r="L19" s="31"/>
      <c r="M19" s="31" t="s">
        <v>105</v>
      </c>
      <c r="N19" s="31" t="s">
        <v>472</v>
      </c>
      <c r="O19" s="37"/>
      <c r="P19" s="31" t="s">
        <v>107</v>
      </c>
      <c r="Q19" s="31" t="s">
        <v>107</v>
      </c>
      <c r="R19" s="31"/>
      <c r="S19" s="31"/>
      <c r="T19" s="31"/>
      <c r="U19" s="31"/>
      <c r="V19" s="31"/>
      <c r="W19" s="31" t="s">
        <v>108</v>
      </c>
      <c r="X19" s="31" t="s">
        <v>271</v>
      </c>
      <c r="Y19" s="31"/>
      <c r="Z19" s="31"/>
      <c r="AA19" s="31"/>
      <c r="AC19" s="11">
        <f t="shared" si="1"/>
        <v>0</v>
      </c>
      <c r="AD19" s="11">
        <f t="shared" si="2"/>
        <v>1</v>
      </c>
      <c r="AE19" s="11">
        <f t="shared" si="3"/>
        <v>1</v>
      </c>
      <c r="AG19" s="11">
        <f t="shared" ref="AG19:AH19" si="72">SUMIFS(AI$3:AI$199,$A$3:$A$199,$A19)</f>
        <v>0</v>
      </c>
      <c r="AH19" s="11">
        <f t="shared" si="72"/>
        <v>1</v>
      </c>
      <c r="AI19" s="11">
        <f t="shared" si="5"/>
        <v>0</v>
      </c>
      <c r="AJ19" s="22">
        <v>1</v>
      </c>
      <c r="AK19" s="22"/>
      <c r="AL19" s="22">
        <f t="shared" ref="AL19:AM19" si="73">SUMIFS(AN$3:AN$199,$A$3:$A$199,$A19)</f>
        <v>1</v>
      </c>
      <c r="AM19" s="22">
        <f t="shared" si="73"/>
        <v>1</v>
      </c>
      <c r="AN19" s="82">
        <f t="shared" si="7"/>
        <v>1</v>
      </c>
      <c r="AO19" s="22">
        <v>1</v>
      </c>
      <c r="AP19" s="22"/>
      <c r="AQ19" s="22">
        <f t="shared" si="8"/>
        <v>0</v>
      </c>
      <c r="AR19" s="22">
        <f t="shared" ref="AR19:AU19" si="74">IF(OR(F19="",F19="TBD",F19="N/A",F19="SDK",F19="SAAS"),0,1)</f>
        <v>0</v>
      </c>
      <c r="AS19" s="22">
        <f t="shared" si="74"/>
        <v>0</v>
      </c>
      <c r="AT19" s="22">
        <f t="shared" si="74"/>
        <v>0</v>
      </c>
      <c r="AU19" s="22">
        <f t="shared" si="74"/>
        <v>0</v>
      </c>
      <c r="AW19" s="22">
        <f t="shared" si="10"/>
        <v>0</v>
      </c>
      <c r="AX19" s="22">
        <f t="shared" ref="AX19:BA19" si="75">IF(OR(F19="",F19="N/A",F19="SDK",F19="SAAS"),0,1)</f>
        <v>0</v>
      </c>
      <c r="AY19" s="22">
        <f t="shared" si="75"/>
        <v>0</v>
      </c>
      <c r="AZ19" s="22">
        <f t="shared" si="75"/>
        <v>0</v>
      </c>
      <c r="BA19" s="22">
        <f t="shared" si="75"/>
        <v>0</v>
      </c>
      <c r="BB19" s="22"/>
      <c r="BC19" s="22"/>
      <c r="BD19" s="22"/>
      <c r="BE19" s="22"/>
      <c r="BF19" s="265"/>
      <c r="BG19" s="22"/>
    </row>
    <row r="20" spans="1:59">
      <c r="A20" s="78" t="s">
        <v>740</v>
      </c>
      <c r="B20" s="78" t="s">
        <v>626</v>
      </c>
      <c r="C20" s="259" t="s">
        <v>741</v>
      </c>
      <c r="D20" s="31"/>
      <c r="E20" s="31"/>
      <c r="F20" s="89"/>
      <c r="G20" s="89"/>
      <c r="H20" s="89"/>
      <c r="I20" s="89"/>
      <c r="J20" s="31"/>
      <c r="K20" s="31"/>
      <c r="L20" s="31"/>
      <c r="M20" s="31" t="s">
        <v>105</v>
      </c>
      <c r="N20" s="31" t="s">
        <v>106</v>
      </c>
      <c r="O20" s="37" t="s">
        <v>107</v>
      </c>
      <c r="P20" s="31" t="s">
        <v>107</v>
      </c>
      <c r="Q20" s="31" t="s">
        <v>107</v>
      </c>
      <c r="R20" s="31" t="s">
        <v>107</v>
      </c>
      <c r="S20" s="31" t="s">
        <v>107</v>
      </c>
      <c r="T20" s="31"/>
      <c r="U20" s="31"/>
      <c r="V20" s="31"/>
      <c r="W20" s="31" t="s">
        <v>181</v>
      </c>
      <c r="X20" s="31" t="s">
        <v>109</v>
      </c>
      <c r="Y20" s="31"/>
      <c r="Z20" s="31"/>
      <c r="AA20" s="31"/>
      <c r="AC20" s="11">
        <f t="shared" si="1"/>
        <v>0</v>
      </c>
      <c r="AD20" s="11">
        <f t="shared" si="2"/>
        <v>1</v>
      </c>
      <c r="AE20" s="11">
        <f t="shared" si="3"/>
        <v>1</v>
      </c>
      <c r="AG20" s="11">
        <f t="shared" ref="AG20:AH20" si="76">SUMIFS(AI$3:AI$199,$A$3:$A$199,$A20)</f>
        <v>0</v>
      </c>
      <c r="AH20" s="11">
        <f t="shared" si="76"/>
        <v>1</v>
      </c>
      <c r="AI20" s="11">
        <f t="shared" si="5"/>
        <v>0</v>
      </c>
      <c r="AJ20" s="22">
        <v>1</v>
      </c>
      <c r="AK20" s="22"/>
      <c r="AL20" s="22">
        <f t="shared" ref="AL20:AM20" si="77">SUMIFS(AN$3:AN$199,$A$3:$A$199,$A20)</f>
        <v>1</v>
      </c>
      <c r="AM20" s="22">
        <f t="shared" si="77"/>
        <v>1</v>
      </c>
      <c r="AN20" s="82">
        <f t="shared" si="7"/>
        <v>1</v>
      </c>
      <c r="AO20" s="22">
        <v>1</v>
      </c>
      <c r="AP20" s="22"/>
      <c r="AQ20" s="22">
        <f t="shared" si="8"/>
        <v>0</v>
      </c>
      <c r="AR20" s="22">
        <f t="shared" ref="AR20:AU20" si="78">IF(OR(F20="",F20="TBD",F20="N/A",F20="SDK",F20="SAAS"),0,1)</f>
        <v>0</v>
      </c>
      <c r="AS20" s="22">
        <f t="shared" si="78"/>
        <v>0</v>
      </c>
      <c r="AT20" s="22">
        <f t="shared" si="78"/>
        <v>0</v>
      </c>
      <c r="AU20" s="22">
        <f t="shared" si="78"/>
        <v>0</v>
      </c>
      <c r="AW20" s="22">
        <f t="shared" si="10"/>
        <v>0</v>
      </c>
      <c r="AX20" s="22">
        <f t="shared" ref="AX20:BA20" si="79">IF(OR(F20="",F20="N/A",F20="SDK",F20="SAAS"),0,1)</f>
        <v>0</v>
      </c>
      <c r="AY20" s="22">
        <f t="shared" si="79"/>
        <v>0</v>
      </c>
      <c r="AZ20" s="22">
        <f t="shared" si="79"/>
        <v>0</v>
      </c>
      <c r="BA20" s="22">
        <f t="shared" si="79"/>
        <v>0</v>
      </c>
      <c r="BB20" s="22"/>
      <c r="BC20" s="22"/>
      <c r="BD20" s="22"/>
      <c r="BE20" s="22"/>
      <c r="BF20" s="265"/>
      <c r="BG20" s="22"/>
    </row>
    <row r="21" spans="1:59">
      <c r="A21" s="78" t="s">
        <v>742</v>
      </c>
      <c r="B21" s="78" t="s">
        <v>626</v>
      </c>
      <c r="C21" s="262" t="s">
        <v>681</v>
      </c>
      <c r="D21" s="31"/>
      <c r="E21" s="31"/>
      <c r="F21" s="89"/>
      <c r="G21" s="89"/>
      <c r="H21" s="89"/>
      <c r="I21" s="89"/>
      <c r="J21" s="31"/>
      <c r="K21" s="31">
        <v>23</v>
      </c>
      <c r="L21" s="31"/>
      <c r="M21" s="31" t="s">
        <v>105</v>
      </c>
      <c r="N21" s="31" t="s">
        <v>472</v>
      </c>
      <c r="O21" s="37"/>
      <c r="P21" s="31" t="s">
        <v>107</v>
      </c>
      <c r="Q21" s="31" t="s">
        <v>107</v>
      </c>
      <c r="R21" s="31" t="s">
        <v>107</v>
      </c>
      <c r="S21" s="31" t="s">
        <v>107</v>
      </c>
      <c r="T21" s="31"/>
      <c r="U21" s="31"/>
      <c r="V21" s="31"/>
      <c r="W21" s="31" t="s">
        <v>181</v>
      </c>
      <c r="X21" s="31" t="s">
        <v>109</v>
      </c>
      <c r="Y21" s="31"/>
      <c r="Z21" s="31"/>
      <c r="AA21" s="31"/>
      <c r="AC21" s="11">
        <f t="shared" si="1"/>
        <v>0</v>
      </c>
      <c r="AD21" s="11">
        <f t="shared" si="2"/>
        <v>1</v>
      </c>
      <c r="AE21" s="11">
        <f t="shared" si="3"/>
        <v>1</v>
      </c>
      <c r="AG21" s="11">
        <f t="shared" ref="AG21:AH21" si="80">SUMIFS(AI$3:AI$199,$A$3:$A$199,$A21)</f>
        <v>0</v>
      </c>
      <c r="AH21" s="11">
        <f t="shared" si="80"/>
        <v>1</v>
      </c>
      <c r="AI21" s="11">
        <f t="shared" si="5"/>
        <v>0</v>
      </c>
      <c r="AJ21" s="22">
        <v>1</v>
      </c>
      <c r="AK21" s="22"/>
      <c r="AL21" s="22">
        <f t="shared" ref="AL21:AM21" si="81">SUMIFS(AN$3:AN$199,$A$3:$A$199,$A21)</f>
        <v>1</v>
      </c>
      <c r="AM21" s="22">
        <f t="shared" si="81"/>
        <v>1</v>
      </c>
      <c r="AN21" s="82">
        <f t="shared" si="7"/>
        <v>1</v>
      </c>
      <c r="AO21" s="22">
        <v>1</v>
      </c>
      <c r="AP21" s="22"/>
      <c r="AQ21" s="22">
        <f t="shared" si="8"/>
        <v>0</v>
      </c>
      <c r="AR21" s="22">
        <f t="shared" ref="AR21:AU21" si="82">IF(OR(F21="",F21="TBD",F21="N/A",F21="SDK",F21="SAAS"),0,1)</f>
        <v>0</v>
      </c>
      <c r="AS21" s="22">
        <f t="shared" si="82"/>
        <v>0</v>
      </c>
      <c r="AT21" s="22">
        <f t="shared" si="82"/>
        <v>0</v>
      </c>
      <c r="AU21" s="22">
        <f t="shared" si="82"/>
        <v>0</v>
      </c>
      <c r="AW21" s="22">
        <f t="shared" si="10"/>
        <v>0</v>
      </c>
      <c r="AX21" s="22">
        <f t="shared" ref="AX21:BA21" si="83">IF(OR(F21="",F21="N/A",F21="SDK",F21="SAAS"),0,1)</f>
        <v>0</v>
      </c>
      <c r="AY21" s="22">
        <f t="shared" si="83"/>
        <v>0</v>
      </c>
      <c r="AZ21" s="22">
        <f t="shared" si="83"/>
        <v>0</v>
      </c>
      <c r="BA21" s="22">
        <f t="shared" si="83"/>
        <v>0</v>
      </c>
      <c r="BB21" s="22"/>
      <c r="BC21" s="22"/>
      <c r="BD21" s="22"/>
      <c r="BE21" s="22"/>
      <c r="BF21" s="265"/>
      <c r="BG21" s="22"/>
    </row>
    <row r="22" spans="1:59">
      <c r="A22" s="78" t="s">
        <v>743</v>
      </c>
      <c r="B22" s="78" t="s">
        <v>626</v>
      </c>
      <c r="C22" s="259" t="s">
        <v>744</v>
      </c>
      <c r="D22" s="31"/>
      <c r="E22" s="31"/>
      <c r="F22" s="89"/>
      <c r="G22" s="89"/>
      <c r="H22" s="89"/>
      <c r="I22" s="89"/>
      <c r="J22" s="31"/>
      <c r="K22" s="31"/>
      <c r="L22" s="31"/>
      <c r="M22" s="31" t="s">
        <v>105</v>
      </c>
      <c r="N22" s="31" t="s">
        <v>106</v>
      </c>
      <c r="O22" s="37" t="s">
        <v>107</v>
      </c>
      <c r="P22" s="31" t="s">
        <v>107</v>
      </c>
      <c r="Q22" s="31" t="s">
        <v>107</v>
      </c>
      <c r="R22" s="31" t="s">
        <v>107</v>
      </c>
      <c r="S22" s="31" t="s">
        <v>107</v>
      </c>
      <c r="T22" s="31"/>
      <c r="U22" s="31"/>
      <c r="V22" s="31"/>
      <c r="W22" s="31" t="s">
        <v>181</v>
      </c>
      <c r="X22" s="31" t="s">
        <v>109</v>
      </c>
      <c r="Y22" s="31"/>
      <c r="Z22" s="31"/>
      <c r="AA22" s="31"/>
      <c r="AC22" s="11">
        <f t="shared" si="1"/>
        <v>0</v>
      </c>
      <c r="AD22" s="11">
        <f t="shared" si="2"/>
        <v>1</v>
      </c>
      <c r="AE22" s="11">
        <f t="shared" si="3"/>
        <v>1</v>
      </c>
      <c r="AG22" s="11">
        <f t="shared" ref="AG22:AH22" si="84">SUMIFS(AI$3:AI$199,$A$3:$A$199,$A22)</f>
        <v>0</v>
      </c>
      <c r="AH22" s="11">
        <f t="shared" si="84"/>
        <v>1</v>
      </c>
      <c r="AI22" s="11">
        <f t="shared" si="5"/>
        <v>0</v>
      </c>
      <c r="AJ22" s="22">
        <v>1</v>
      </c>
      <c r="AK22" s="22"/>
      <c r="AL22" s="22">
        <f t="shared" ref="AL22:AM22" si="85">SUMIFS(AN$3:AN$199,$A$3:$A$199,$A22)</f>
        <v>1</v>
      </c>
      <c r="AM22" s="22">
        <f t="shared" si="85"/>
        <v>1</v>
      </c>
      <c r="AN22" s="82">
        <f t="shared" si="7"/>
        <v>1</v>
      </c>
      <c r="AO22" s="22">
        <v>1</v>
      </c>
      <c r="AP22" s="22"/>
      <c r="AQ22" s="22">
        <f t="shared" si="8"/>
        <v>0</v>
      </c>
      <c r="AR22" s="22">
        <f t="shared" ref="AR22:AU22" si="86">IF(OR(F22="",F22="TBD",F22="N/A",F22="SDK",F22="SAAS"),0,1)</f>
        <v>0</v>
      </c>
      <c r="AS22" s="22">
        <f t="shared" si="86"/>
        <v>0</v>
      </c>
      <c r="AT22" s="22">
        <f t="shared" si="86"/>
        <v>0</v>
      </c>
      <c r="AU22" s="22">
        <f t="shared" si="86"/>
        <v>0</v>
      </c>
      <c r="AW22" s="22">
        <f t="shared" si="10"/>
        <v>0</v>
      </c>
      <c r="AX22" s="22">
        <f t="shared" ref="AX22:BA22" si="87">IF(OR(F22="",F22="N/A",F22="SDK",F22="SAAS"),0,1)</f>
        <v>0</v>
      </c>
      <c r="AY22" s="22">
        <f t="shared" si="87"/>
        <v>0</v>
      </c>
      <c r="AZ22" s="22">
        <f t="shared" si="87"/>
        <v>0</v>
      </c>
      <c r="BA22" s="22">
        <f t="shared" si="87"/>
        <v>0</v>
      </c>
      <c r="BB22" s="22"/>
      <c r="BC22" s="22"/>
      <c r="BD22" s="22"/>
      <c r="BE22" s="22"/>
      <c r="BF22" s="265"/>
      <c r="BG22" s="22"/>
    </row>
    <row r="23" spans="1:59">
      <c r="A23" s="78" t="s">
        <v>745</v>
      </c>
      <c r="B23" s="78" t="s">
        <v>626</v>
      </c>
      <c r="C23" s="259" t="s">
        <v>746</v>
      </c>
      <c r="D23" s="31"/>
      <c r="E23" s="31"/>
      <c r="F23" s="89"/>
      <c r="G23" s="89"/>
      <c r="H23" s="89"/>
      <c r="I23" s="89"/>
      <c r="J23" s="31"/>
      <c r="K23" s="31">
        <v>50</v>
      </c>
      <c r="L23" s="31"/>
      <c r="M23" s="31" t="s">
        <v>105</v>
      </c>
      <c r="N23" s="31" t="s">
        <v>472</v>
      </c>
      <c r="O23" s="37"/>
      <c r="P23" s="31" t="s">
        <v>107</v>
      </c>
      <c r="Q23" s="31"/>
      <c r="R23" s="31" t="s">
        <v>107</v>
      </c>
      <c r="S23" s="31" t="s">
        <v>107</v>
      </c>
      <c r="T23" s="31"/>
      <c r="U23" s="31"/>
      <c r="V23" s="31"/>
      <c r="W23" s="31" t="s">
        <v>181</v>
      </c>
      <c r="X23" s="31" t="s">
        <v>271</v>
      </c>
      <c r="Y23" s="31"/>
      <c r="Z23" s="31"/>
      <c r="AA23" s="31"/>
      <c r="AC23" s="11">
        <f t="shared" si="1"/>
        <v>0</v>
      </c>
      <c r="AD23" s="11">
        <f t="shared" si="2"/>
        <v>1</v>
      </c>
      <c r="AE23" s="11">
        <f t="shared" si="3"/>
        <v>1</v>
      </c>
      <c r="AG23" s="11">
        <f t="shared" ref="AG23:AH23" si="88">SUMIFS(AI$3:AI$199,$A$3:$A$199,$A23)</f>
        <v>0</v>
      </c>
      <c r="AH23" s="11">
        <f t="shared" si="88"/>
        <v>1</v>
      </c>
      <c r="AI23" s="11">
        <f t="shared" si="5"/>
        <v>0</v>
      </c>
      <c r="AJ23" s="22">
        <v>1</v>
      </c>
      <c r="AK23" s="22"/>
      <c r="AL23" s="22">
        <f t="shared" ref="AL23:AM23" si="89">SUMIFS(AN$3:AN$199,$A$3:$A$199,$A23)</f>
        <v>1</v>
      </c>
      <c r="AM23" s="22">
        <f t="shared" si="89"/>
        <v>1</v>
      </c>
      <c r="AN23" s="82">
        <f t="shared" si="7"/>
        <v>1</v>
      </c>
      <c r="AO23" s="22">
        <v>1</v>
      </c>
      <c r="AP23" s="22"/>
      <c r="AQ23" s="22">
        <f t="shared" si="8"/>
        <v>0</v>
      </c>
      <c r="AR23" s="22">
        <f t="shared" ref="AR23:AU23" si="90">IF(OR(F23="",F23="TBD",F23="N/A",F23="SDK",F23="SAAS"),0,1)</f>
        <v>0</v>
      </c>
      <c r="AS23" s="22">
        <f t="shared" si="90"/>
        <v>0</v>
      </c>
      <c r="AT23" s="22">
        <f t="shared" si="90"/>
        <v>0</v>
      </c>
      <c r="AU23" s="22">
        <f t="shared" si="90"/>
        <v>0</v>
      </c>
      <c r="AW23" s="22">
        <f t="shared" si="10"/>
        <v>0</v>
      </c>
      <c r="AX23" s="22">
        <f t="shared" ref="AX23:BA23" si="91">IF(OR(F23="",F23="N/A",F23="SDK",F23="SAAS"),0,1)</f>
        <v>0</v>
      </c>
      <c r="AY23" s="22">
        <f t="shared" si="91"/>
        <v>0</v>
      </c>
      <c r="AZ23" s="22">
        <f t="shared" si="91"/>
        <v>0</v>
      </c>
      <c r="BA23" s="22">
        <f t="shared" si="91"/>
        <v>0</v>
      </c>
      <c r="BB23" s="22"/>
      <c r="BC23" s="22"/>
      <c r="BD23" s="22"/>
      <c r="BE23" s="22"/>
      <c r="BF23" s="265"/>
      <c r="BG23" s="22"/>
    </row>
    <row r="24" spans="1:59">
      <c r="A24" s="78" t="s">
        <v>747</v>
      </c>
      <c r="B24" s="78" t="s">
        <v>626</v>
      </c>
      <c r="C24" s="262" t="s">
        <v>677</v>
      </c>
      <c r="D24" s="31"/>
      <c r="E24" s="31"/>
      <c r="F24" s="89"/>
      <c r="G24" s="89"/>
      <c r="H24" s="89"/>
      <c r="I24" s="89"/>
      <c r="J24" s="31"/>
      <c r="K24" s="31">
        <v>28</v>
      </c>
      <c r="L24" s="31"/>
      <c r="M24" s="31" t="s">
        <v>105</v>
      </c>
      <c r="N24" s="31" t="s">
        <v>472</v>
      </c>
      <c r="O24" s="37"/>
      <c r="P24" s="31" t="s">
        <v>107</v>
      </c>
      <c r="Q24" s="31" t="s">
        <v>107</v>
      </c>
      <c r="R24" s="31" t="s">
        <v>107</v>
      </c>
      <c r="S24" s="31" t="s">
        <v>107</v>
      </c>
      <c r="T24" s="31"/>
      <c r="U24" s="31"/>
      <c r="V24" s="31"/>
      <c r="W24" s="31" t="s">
        <v>181</v>
      </c>
      <c r="X24" s="31" t="s">
        <v>271</v>
      </c>
      <c r="Y24" s="31"/>
      <c r="Z24" s="31"/>
      <c r="AA24" s="31"/>
      <c r="AC24" s="11">
        <f t="shared" si="1"/>
        <v>0</v>
      </c>
      <c r="AD24" s="11">
        <f t="shared" si="2"/>
        <v>1</v>
      </c>
      <c r="AE24" s="11">
        <f t="shared" si="3"/>
        <v>1</v>
      </c>
      <c r="AG24" s="11">
        <f t="shared" ref="AG24:AH24" si="92">SUMIFS(AI$3:AI$199,$A$3:$A$199,$A24)</f>
        <v>0</v>
      </c>
      <c r="AH24" s="11">
        <f t="shared" si="92"/>
        <v>1</v>
      </c>
      <c r="AI24" s="11">
        <f t="shared" si="5"/>
        <v>0</v>
      </c>
      <c r="AJ24" s="22">
        <v>1</v>
      </c>
      <c r="AK24" s="22"/>
      <c r="AL24" s="22">
        <f t="shared" ref="AL24:AM24" si="93">SUMIFS(AN$3:AN$199,$A$3:$A$199,$A24)</f>
        <v>1</v>
      </c>
      <c r="AM24" s="22">
        <f t="shared" si="93"/>
        <v>1</v>
      </c>
      <c r="AN24" s="82">
        <f t="shared" si="7"/>
        <v>1</v>
      </c>
      <c r="AO24" s="22">
        <v>1</v>
      </c>
      <c r="AP24" s="22"/>
      <c r="AQ24" s="22">
        <f t="shared" si="8"/>
        <v>0</v>
      </c>
      <c r="AR24" s="22">
        <f t="shared" ref="AR24:AU24" si="94">IF(OR(F24="",F24="TBD",F24="N/A",F24="SDK",F24="SAAS"),0,1)</f>
        <v>0</v>
      </c>
      <c r="AS24" s="22">
        <f t="shared" si="94"/>
        <v>0</v>
      </c>
      <c r="AT24" s="22">
        <f t="shared" si="94"/>
        <v>0</v>
      </c>
      <c r="AU24" s="22">
        <f t="shared" si="94"/>
        <v>0</v>
      </c>
      <c r="AW24" s="22">
        <f t="shared" si="10"/>
        <v>0</v>
      </c>
      <c r="AX24" s="22">
        <f t="shared" ref="AX24:BA24" si="95">IF(OR(F24="",F24="N/A",F24="SDK",F24="SAAS"),0,1)</f>
        <v>0</v>
      </c>
      <c r="AY24" s="22">
        <f t="shared" si="95"/>
        <v>0</v>
      </c>
      <c r="AZ24" s="22">
        <f t="shared" si="95"/>
        <v>0</v>
      </c>
      <c r="BA24" s="22">
        <f t="shared" si="95"/>
        <v>0</v>
      </c>
      <c r="BB24" s="22"/>
      <c r="BC24" s="22"/>
      <c r="BD24" s="22"/>
      <c r="BE24" s="22"/>
      <c r="BF24" s="265"/>
      <c r="BG24" s="22"/>
    </row>
    <row r="25" spans="1:59">
      <c r="A25" s="78" t="s">
        <v>748</v>
      </c>
      <c r="B25" s="78" t="s">
        <v>626</v>
      </c>
      <c r="C25" s="262" t="s">
        <v>692</v>
      </c>
      <c r="D25" s="31"/>
      <c r="E25" s="31"/>
      <c r="F25" s="89"/>
      <c r="G25" s="89"/>
      <c r="H25" s="89"/>
      <c r="I25" s="89"/>
      <c r="J25" s="31"/>
      <c r="K25" s="31">
        <v>30</v>
      </c>
      <c r="L25" s="31"/>
      <c r="M25" s="31" t="s">
        <v>105</v>
      </c>
      <c r="N25" s="31" t="s">
        <v>472</v>
      </c>
      <c r="O25" s="31"/>
      <c r="P25" s="31" t="s">
        <v>107</v>
      </c>
      <c r="Q25" s="31"/>
      <c r="R25" s="31"/>
      <c r="S25" s="31"/>
      <c r="T25" s="31"/>
      <c r="U25" s="31"/>
      <c r="V25" s="31"/>
      <c r="W25" s="31" t="s">
        <v>181</v>
      </c>
      <c r="X25" s="31" t="s">
        <v>109</v>
      </c>
      <c r="Y25" s="31"/>
      <c r="Z25" s="31"/>
      <c r="AA25" s="31"/>
      <c r="AC25" s="11">
        <f t="shared" si="1"/>
        <v>0</v>
      </c>
      <c r="AD25" s="11">
        <f t="shared" si="2"/>
        <v>1</v>
      </c>
      <c r="AE25" s="11">
        <f t="shared" si="3"/>
        <v>1</v>
      </c>
      <c r="AG25" s="11">
        <f t="shared" ref="AG25:AH25" si="96">SUMIFS(AI$3:AI$199,$A$3:$A$199,$A25)</f>
        <v>0</v>
      </c>
      <c r="AH25" s="11">
        <f t="shared" si="96"/>
        <v>1</v>
      </c>
      <c r="AI25" s="11">
        <f t="shared" si="5"/>
        <v>0</v>
      </c>
      <c r="AJ25" s="22">
        <v>1</v>
      </c>
      <c r="AK25" s="22"/>
      <c r="AL25" s="22">
        <f t="shared" ref="AL25:AM25" si="97">SUMIFS(AN$3:AN$199,$A$3:$A$199,$A25)</f>
        <v>1</v>
      </c>
      <c r="AM25" s="22">
        <f t="shared" si="97"/>
        <v>1</v>
      </c>
      <c r="AN25" s="82">
        <f t="shared" si="7"/>
        <v>1</v>
      </c>
      <c r="AO25" s="22">
        <v>1</v>
      </c>
      <c r="AP25" s="22"/>
      <c r="AQ25" s="22">
        <f t="shared" si="8"/>
        <v>0</v>
      </c>
      <c r="AR25" s="22">
        <f t="shared" ref="AR25:AU25" si="98">IF(OR(F25="",F25="TBD",F25="N/A",F25="SDK",F25="SAAS"),0,1)</f>
        <v>0</v>
      </c>
      <c r="AS25" s="22">
        <f t="shared" si="98"/>
        <v>0</v>
      </c>
      <c r="AT25" s="22">
        <f t="shared" si="98"/>
        <v>0</v>
      </c>
      <c r="AU25" s="22">
        <f t="shared" si="98"/>
        <v>0</v>
      </c>
      <c r="AW25" s="22">
        <f t="shared" si="10"/>
        <v>0</v>
      </c>
      <c r="AX25" s="22">
        <f t="shared" ref="AX25:BA25" si="99">IF(OR(F25="",F25="N/A",F25="SDK",F25="SAAS"),0,1)</f>
        <v>0</v>
      </c>
      <c r="AY25" s="22">
        <f t="shared" si="99"/>
        <v>0</v>
      </c>
      <c r="AZ25" s="22">
        <f t="shared" si="99"/>
        <v>0</v>
      </c>
      <c r="BA25" s="22">
        <f t="shared" si="99"/>
        <v>0</v>
      </c>
      <c r="BB25" s="22"/>
      <c r="BC25" s="22"/>
      <c r="BD25" s="22"/>
      <c r="BE25" s="22"/>
      <c r="BF25" s="265"/>
      <c r="BG25" s="22"/>
    </row>
    <row r="26" spans="1:59">
      <c r="A26" s="78" t="s">
        <v>749</v>
      </c>
      <c r="B26" s="78" t="s">
        <v>626</v>
      </c>
      <c r="C26" s="262" t="s">
        <v>696</v>
      </c>
      <c r="D26" s="31"/>
      <c r="E26" s="31"/>
      <c r="F26" s="89"/>
      <c r="G26" s="89"/>
      <c r="H26" s="89"/>
      <c r="I26" s="89"/>
      <c r="J26" s="31"/>
      <c r="K26" s="31">
        <v>3</v>
      </c>
      <c r="L26" s="31"/>
      <c r="M26" s="31" t="s">
        <v>105</v>
      </c>
      <c r="N26" s="31" t="s">
        <v>472</v>
      </c>
      <c r="O26" s="31"/>
      <c r="P26" s="31" t="s">
        <v>107</v>
      </c>
      <c r="Q26" s="31"/>
      <c r="R26" s="31"/>
      <c r="S26" s="31"/>
      <c r="T26" s="31"/>
      <c r="U26" s="31"/>
      <c r="V26" s="31"/>
      <c r="W26" s="31" t="s">
        <v>181</v>
      </c>
      <c r="X26" s="31" t="s">
        <v>109</v>
      </c>
      <c r="Y26" s="31"/>
      <c r="Z26" s="31"/>
      <c r="AA26" s="31"/>
      <c r="AC26" s="11">
        <f t="shared" si="1"/>
        <v>0</v>
      </c>
      <c r="AD26" s="11">
        <f t="shared" si="2"/>
        <v>1</v>
      </c>
      <c r="AE26" s="11">
        <f t="shared" si="3"/>
        <v>1</v>
      </c>
      <c r="AG26" s="11">
        <f t="shared" ref="AG26:AH26" si="100">SUMIFS(AI$3:AI$199,$A$3:$A$199,$A26)</f>
        <v>0</v>
      </c>
      <c r="AH26" s="11">
        <f t="shared" si="100"/>
        <v>1</v>
      </c>
      <c r="AI26" s="11">
        <f t="shared" si="5"/>
        <v>0</v>
      </c>
      <c r="AJ26" s="22">
        <v>1</v>
      </c>
      <c r="AK26" s="22"/>
      <c r="AL26" s="22">
        <f t="shared" ref="AL26:AM26" si="101">SUMIFS(AN$3:AN$199,$A$3:$A$199,$A26)</f>
        <v>1</v>
      </c>
      <c r="AM26" s="22">
        <f t="shared" si="101"/>
        <v>1</v>
      </c>
      <c r="AN26" s="82">
        <f t="shared" si="7"/>
        <v>1</v>
      </c>
      <c r="AO26" s="22">
        <v>1</v>
      </c>
      <c r="AP26" s="22"/>
      <c r="AQ26" s="22">
        <f t="shared" si="8"/>
        <v>0</v>
      </c>
      <c r="AR26" s="22">
        <f t="shared" ref="AR26:AU26" si="102">IF(OR(F26="",F26="TBD",F26="N/A",F26="SDK",F26="SAAS"),0,1)</f>
        <v>0</v>
      </c>
      <c r="AS26" s="22">
        <f t="shared" si="102"/>
        <v>0</v>
      </c>
      <c r="AT26" s="22">
        <f t="shared" si="102"/>
        <v>0</v>
      </c>
      <c r="AU26" s="22">
        <f t="shared" si="102"/>
        <v>0</v>
      </c>
      <c r="AW26" s="22">
        <f t="shared" si="10"/>
        <v>0</v>
      </c>
      <c r="AX26" s="22">
        <f t="shared" ref="AX26:BA26" si="103">IF(OR(F26="",F26="N/A",F26="SDK",F26="SAAS"),0,1)</f>
        <v>0</v>
      </c>
      <c r="AY26" s="22">
        <f t="shared" si="103"/>
        <v>0</v>
      </c>
      <c r="AZ26" s="22">
        <f t="shared" si="103"/>
        <v>0</v>
      </c>
      <c r="BA26" s="22">
        <f t="shared" si="103"/>
        <v>0</v>
      </c>
      <c r="BB26" s="22"/>
      <c r="BC26" s="22"/>
      <c r="BD26" s="22"/>
      <c r="BE26" s="22"/>
      <c r="BF26" s="265"/>
      <c r="BG26" s="22"/>
    </row>
    <row r="27" spans="1:59">
      <c r="A27" s="78" t="s">
        <v>750</v>
      </c>
      <c r="B27" s="78" t="s">
        <v>626</v>
      </c>
      <c r="C27" s="259" t="s">
        <v>751</v>
      </c>
      <c r="D27" s="31"/>
      <c r="E27" s="31"/>
      <c r="F27" s="89"/>
      <c r="G27" s="89"/>
      <c r="H27" s="89"/>
      <c r="I27" s="89"/>
      <c r="J27" s="31"/>
      <c r="K27" s="31">
        <v>23</v>
      </c>
      <c r="L27" s="31"/>
      <c r="M27" s="31" t="s">
        <v>105</v>
      </c>
      <c r="N27" s="31" t="s">
        <v>472</v>
      </c>
      <c r="O27" s="31"/>
      <c r="P27" s="31" t="s">
        <v>107</v>
      </c>
      <c r="Q27" s="31" t="s">
        <v>107</v>
      </c>
      <c r="R27" s="31" t="s">
        <v>107</v>
      </c>
      <c r="S27" s="31"/>
      <c r="T27" s="31" t="s">
        <v>107</v>
      </c>
      <c r="U27" s="31"/>
      <c r="V27" s="31"/>
      <c r="W27" s="31" t="s">
        <v>108</v>
      </c>
      <c r="X27" s="31" t="s">
        <v>109</v>
      </c>
      <c r="Y27" s="31"/>
      <c r="Z27" s="31"/>
      <c r="AA27" s="31"/>
      <c r="AC27" s="11">
        <f t="shared" si="1"/>
        <v>0</v>
      </c>
      <c r="AD27" s="11">
        <f t="shared" si="2"/>
        <v>1</v>
      </c>
      <c r="AE27" s="11">
        <f t="shared" si="3"/>
        <v>1</v>
      </c>
      <c r="AG27" s="11">
        <f t="shared" ref="AG27:AH27" si="104">SUMIFS(AI$3:AI$199,$A$3:$A$199,$A27)</f>
        <v>0</v>
      </c>
      <c r="AH27" s="11">
        <f t="shared" si="104"/>
        <v>1</v>
      </c>
      <c r="AI27" s="11">
        <f t="shared" si="5"/>
        <v>0</v>
      </c>
      <c r="AJ27" s="22">
        <v>1</v>
      </c>
      <c r="AK27" s="22"/>
      <c r="AL27" s="22">
        <f t="shared" ref="AL27:AM27" si="105">SUMIFS(AN$3:AN$199,$A$3:$A$199,$A27)</f>
        <v>1</v>
      </c>
      <c r="AM27" s="22">
        <f t="shared" si="105"/>
        <v>1</v>
      </c>
      <c r="AN27" s="82">
        <f t="shared" si="7"/>
        <v>1</v>
      </c>
      <c r="AO27" s="22">
        <v>1</v>
      </c>
      <c r="AP27" s="22"/>
      <c r="AQ27" s="22">
        <f t="shared" si="8"/>
        <v>0</v>
      </c>
      <c r="AR27" s="22">
        <f t="shared" ref="AR27:AU27" si="106">IF(OR(F27="",F27="TBD",F27="N/A",F27="SDK",F27="SAAS"),0,1)</f>
        <v>0</v>
      </c>
      <c r="AS27" s="22">
        <f t="shared" si="106"/>
        <v>0</v>
      </c>
      <c r="AT27" s="22">
        <f t="shared" si="106"/>
        <v>0</v>
      </c>
      <c r="AU27" s="22">
        <f t="shared" si="106"/>
        <v>0</v>
      </c>
      <c r="AW27" s="22">
        <f t="shared" si="10"/>
        <v>0</v>
      </c>
      <c r="AX27" s="22">
        <f t="shared" ref="AX27:BA27" si="107">IF(OR(F27="",F27="N/A",F27="SDK",F27="SAAS"),0,1)</f>
        <v>0</v>
      </c>
      <c r="AY27" s="22">
        <f t="shared" si="107"/>
        <v>0</v>
      </c>
      <c r="AZ27" s="22">
        <f t="shared" si="107"/>
        <v>0</v>
      </c>
      <c r="BA27" s="22">
        <f t="shared" si="107"/>
        <v>0</v>
      </c>
      <c r="BB27" s="22"/>
      <c r="BC27" s="22"/>
      <c r="BD27" s="22"/>
      <c r="BE27" s="22"/>
      <c r="BF27" s="265"/>
      <c r="BG27" s="22"/>
    </row>
    <row r="28" spans="1:59">
      <c r="B28" s="11"/>
      <c r="C28" s="90"/>
      <c r="BG28" s="22"/>
    </row>
    <row r="29" spans="1:59">
      <c r="B29" s="11"/>
      <c r="C29" s="90"/>
      <c r="BG29" s="22"/>
    </row>
    <row r="30" spans="1:59">
      <c r="B30" s="11"/>
      <c r="C30" s="90"/>
      <c r="BG30" s="22"/>
    </row>
    <row r="31" spans="1:59">
      <c r="B31" s="11"/>
      <c r="C31" s="90"/>
      <c r="BG31" s="22"/>
    </row>
    <row r="32" spans="1:59">
      <c r="B32" s="11"/>
      <c r="C32" s="90"/>
      <c r="BG32" s="22"/>
    </row>
    <row r="33" spans="2:59">
      <c r="B33" s="11"/>
      <c r="C33" s="90"/>
      <c r="J33" s="11" t="s">
        <v>291</v>
      </c>
      <c r="K33" s="11">
        <f>SUMIF(W3:W27,"Sí",K3:K27)</f>
        <v>206</v>
      </c>
      <c r="BG33" s="22"/>
    </row>
    <row r="34" spans="2:59">
      <c r="B34" s="11"/>
      <c r="C34" s="90"/>
      <c r="J34" s="11" t="s">
        <v>292</v>
      </c>
      <c r="K34" s="11">
        <v>3.5</v>
      </c>
      <c r="BG34" s="22"/>
    </row>
    <row r="35" spans="2:59">
      <c r="B35" s="11"/>
      <c r="C35" s="90"/>
      <c r="J35" s="11" t="s">
        <v>293</v>
      </c>
      <c r="K35" s="101">
        <f>K33*K34</f>
        <v>721</v>
      </c>
      <c r="BG35" s="22"/>
    </row>
    <row r="36" spans="2:59">
      <c r="B36" s="11"/>
      <c r="C36" s="90"/>
      <c r="BG36" s="22"/>
    </row>
    <row r="37" spans="2:59">
      <c r="B37" s="11"/>
      <c r="C37" s="90"/>
      <c r="BG37" s="22"/>
    </row>
    <row r="38" spans="2:59">
      <c r="B38" s="11"/>
      <c r="C38" s="90"/>
      <c r="BG38" s="22"/>
    </row>
    <row r="39" spans="2:59">
      <c r="B39" s="11"/>
      <c r="C39" s="90"/>
      <c r="BG39" s="22"/>
    </row>
    <row r="40" spans="2:59">
      <c r="B40" s="11"/>
      <c r="C40" s="90"/>
      <c r="BG40" s="22"/>
    </row>
    <row r="41" spans="2:59">
      <c r="B41" s="11"/>
      <c r="C41" s="90"/>
      <c r="BG41" s="22"/>
    </row>
    <row r="42" spans="2:59">
      <c r="B42" s="11"/>
      <c r="C42" s="90"/>
      <c r="BG42" s="22"/>
    </row>
    <row r="43" spans="2:59">
      <c r="B43" s="11"/>
      <c r="C43" s="90"/>
      <c r="BG43" s="22"/>
    </row>
    <row r="44" spans="2:59">
      <c r="B44" s="11"/>
      <c r="C44" s="90"/>
      <c r="BG44" s="22"/>
    </row>
    <row r="45" spans="2:59">
      <c r="B45" s="11"/>
      <c r="C45" s="90"/>
      <c r="BG45" s="22"/>
    </row>
    <row r="46" spans="2:59">
      <c r="B46" s="11"/>
      <c r="C46" s="90"/>
      <c r="BG46" s="22"/>
    </row>
    <row r="47" spans="2:59">
      <c r="B47" s="11"/>
      <c r="C47" s="90"/>
      <c r="BG47" s="22"/>
    </row>
    <row r="48" spans="2:59">
      <c r="B48" s="11"/>
      <c r="C48" s="90"/>
      <c r="BG48" s="22"/>
    </row>
    <row r="49" spans="2:59">
      <c r="B49" s="11"/>
      <c r="C49" s="90"/>
      <c r="BG49" s="22"/>
    </row>
    <row r="50" spans="2:59">
      <c r="B50" s="11"/>
      <c r="C50" s="90"/>
      <c r="BG50" s="22"/>
    </row>
    <row r="51" spans="2:59">
      <c r="B51" s="11"/>
      <c r="C51" s="90"/>
      <c r="BG51" s="22"/>
    </row>
    <row r="52" spans="2:59">
      <c r="B52" s="11"/>
      <c r="C52" s="90"/>
      <c r="BG52" s="22"/>
    </row>
    <row r="53" spans="2:59">
      <c r="B53" s="11"/>
      <c r="C53" s="90"/>
      <c r="BG53" s="22"/>
    </row>
    <row r="54" spans="2:59">
      <c r="B54" s="11"/>
      <c r="C54" s="90"/>
      <c r="BG54" s="22"/>
    </row>
    <row r="55" spans="2:59">
      <c r="B55" s="11"/>
      <c r="C55" s="90"/>
      <c r="BG55" s="22"/>
    </row>
    <row r="56" spans="2:59">
      <c r="B56" s="11"/>
      <c r="C56" s="90"/>
      <c r="BG56" s="22"/>
    </row>
    <row r="57" spans="2:59">
      <c r="B57" s="11"/>
      <c r="C57" s="90"/>
    </row>
    <row r="58" spans="2:59">
      <c r="B58" s="11"/>
      <c r="C58" s="90"/>
    </row>
    <row r="59" spans="2:59">
      <c r="B59" s="11"/>
      <c r="C59" s="90"/>
    </row>
    <row r="60" spans="2:59">
      <c r="B60" s="11"/>
      <c r="C60" s="90"/>
    </row>
    <row r="61" spans="2:59">
      <c r="B61" s="11"/>
      <c r="C61" s="90"/>
    </row>
    <row r="62" spans="2:59">
      <c r="B62" s="11"/>
      <c r="C62" s="90"/>
    </row>
    <row r="63" spans="2:59">
      <c r="B63" s="11"/>
      <c r="C63" s="90"/>
    </row>
    <row r="64" spans="2:59">
      <c r="B64" s="11"/>
      <c r="C64" s="90"/>
    </row>
    <row r="65" spans="2:3">
      <c r="B65" s="11"/>
      <c r="C65" s="90"/>
    </row>
    <row r="66" spans="2:3">
      <c r="B66" s="11"/>
      <c r="C66" s="90"/>
    </row>
    <row r="67" spans="2:3">
      <c r="B67" s="11"/>
      <c r="C67" s="90"/>
    </row>
    <row r="68" spans="2:3">
      <c r="B68" s="11"/>
      <c r="C68" s="90"/>
    </row>
    <row r="69" spans="2:3">
      <c r="B69" s="11"/>
      <c r="C69" s="90"/>
    </row>
    <row r="70" spans="2:3">
      <c r="B70" s="11"/>
      <c r="C70" s="90"/>
    </row>
    <row r="71" spans="2:3">
      <c r="B71" s="11"/>
      <c r="C71" s="90"/>
    </row>
    <row r="72" spans="2:3">
      <c r="B72" s="11"/>
      <c r="C72" s="90"/>
    </row>
    <row r="73" spans="2:3">
      <c r="B73" s="11"/>
      <c r="C73" s="90"/>
    </row>
    <row r="74" spans="2:3">
      <c r="B74" s="11"/>
      <c r="C74" s="90"/>
    </row>
    <row r="75" spans="2:3">
      <c r="B75" s="11"/>
      <c r="C75" s="90"/>
    </row>
    <row r="76" spans="2:3">
      <c r="B76" s="11"/>
      <c r="C76" s="90"/>
    </row>
    <row r="77" spans="2:3">
      <c r="B77" s="11"/>
      <c r="C77" s="90"/>
    </row>
    <row r="78" spans="2:3">
      <c r="B78" s="11"/>
      <c r="C78" s="90"/>
    </row>
    <row r="79" spans="2:3">
      <c r="B79" s="11"/>
      <c r="C79" s="90"/>
    </row>
    <row r="80" spans="2:3">
      <c r="B80" s="11"/>
      <c r="C80" s="90"/>
    </row>
    <row r="81" spans="2:3">
      <c r="B81" s="11"/>
      <c r="C81" s="90"/>
    </row>
    <row r="82" spans="2:3">
      <c r="B82" s="11"/>
      <c r="C82" s="90"/>
    </row>
    <row r="83" spans="2:3">
      <c r="B83" s="11"/>
      <c r="C83" s="90"/>
    </row>
    <row r="84" spans="2:3">
      <c r="B84" s="11"/>
      <c r="C84" s="90"/>
    </row>
    <row r="85" spans="2:3">
      <c r="B85" s="11"/>
      <c r="C85" s="90"/>
    </row>
    <row r="86" spans="2:3">
      <c r="B86" s="11"/>
      <c r="C86" s="90"/>
    </row>
    <row r="87" spans="2:3">
      <c r="B87" s="11"/>
      <c r="C87" s="90"/>
    </row>
    <row r="88" spans="2:3">
      <c r="B88" s="11"/>
      <c r="C88" s="90"/>
    </row>
    <row r="89" spans="2:3">
      <c r="B89" s="11"/>
      <c r="C89" s="90"/>
    </row>
    <row r="90" spans="2:3">
      <c r="B90" s="11"/>
      <c r="C90" s="90"/>
    </row>
    <row r="91" spans="2:3">
      <c r="B91" s="11"/>
      <c r="C91" s="90"/>
    </row>
    <row r="92" spans="2:3">
      <c r="B92" s="11"/>
      <c r="C92" s="90"/>
    </row>
    <row r="93" spans="2:3">
      <c r="B93" s="11"/>
      <c r="C93" s="90"/>
    </row>
    <row r="94" spans="2:3">
      <c r="B94" s="11"/>
      <c r="C94" s="90"/>
    </row>
    <row r="95" spans="2:3">
      <c r="B95" s="11"/>
      <c r="C95" s="90"/>
    </row>
    <row r="96" spans="2:3">
      <c r="B96" s="11"/>
      <c r="C96" s="90"/>
    </row>
    <row r="97" spans="2:3">
      <c r="B97" s="11"/>
      <c r="C97" s="90"/>
    </row>
    <row r="98" spans="2:3">
      <c r="B98" s="11"/>
      <c r="C98" s="90"/>
    </row>
    <row r="99" spans="2:3">
      <c r="B99" s="11"/>
      <c r="C99" s="90"/>
    </row>
    <row r="100" spans="2:3">
      <c r="B100" s="11"/>
      <c r="C100" s="90"/>
    </row>
    <row r="101" spans="2:3">
      <c r="B101" s="11"/>
      <c r="C101" s="90"/>
    </row>
    <row r="102" spans="2:3">
      <c r="B102" s="11"/>
      <c r="C102" s="90"/>
    </row>
    <row r="103" spans="2:3">
      <c r="B103" s="11"/>
      <c r="C103" s="90"/>
    </row>
    <row r="104" spans="2:3">
      <c r="B104" s="11"/>
      <c r="C104" s="90"/>
    </row>
    <row r="105" spans="2:3">
      <c r="B105" s="11"/>
      <c r="C105" s="90"/>
    </row>
    <row r="106" spans="2:3">
      <c r="B106" s="11"/>
      <c r="C106" s="90"/>
    </row>
    <row r="107" spans="2:3">
      <c r="B107" s="11"/>
      <c r="C107" s="90"/>
    </row>
    <row r="108" spans="2:3">
      <c r="B108" s="11"/>
      <c r="C108" s="90"/>
    </row>
    <row r="109" spans="2:3">
      <c r="B109" s="11"/>
      <c r="C109" s="90"/>
    </row>
    <row r="110" spans="2:3">
      <c r="B110" s="11"/>
      <c r="C110" s="90"/>
    </row>
    <row r="111" spans="2:3">
      <c r="B111" s="11"/>
      <c r="C111" s="90"/>
    </row>
    <row r="112" spans="2:3">
      <c r="B112" s="11"/>
      <c r="C112" s="90"/>
    </row>
    <row r="113" spans="2:3">
      <c r="B113" s="11"/>
      <c r="C113" s="90"/>
    </row>
    <row r="114" spans="2:3">
      <c r="B114" s="11"/>
      <c r="C114" s="90"/>
    </row>
    <row r="115" spans="2:3">
      <c r="B115" s="11"/>
      <c r="C115" s="90"/>
    </row>
    <row r="116" spans="2:3">
      <c r="B116" s="11"/>
      <c r="C116" s="90"/>
    </row>
    <row r="117" spans="2:3">
      <c r="B117" s="11"/>
      <c r="C117" s="90"/>
    </row>
    <row r="118" spans="2:3">
      <c r="B118" s="11"/>
      <c r="C118" s="90"/>
    </row>
    <row r="119" spans="2:3">
      <c r="B119" s="11"/>
      <c r="C119" s="90"/>
    </row>
    <row r="120" spans="2:3">
      <c r="B120" s="11"/>
      <c r="C120" s="90"/>
    </row>
    <row r="121" spans="2:3">
      <c r="B121" s="11"/>
      <c r="C121" s="90"/>
    </row>
    <row r="122" spans="2:3">
      <c r="B122" s="11"/>
      <c r="C122" s="90"/>
    </row>
    <row r="123" spans="2:3">
      <c r="B123" s="11"/>
      <c r="C123" s="90"/>
    </row>
    <row r="124" spans="2:3">
      <c r="B124" s="11"/>
      <c r="C124" s="90"/>
    </row>
    <row r="125" spans="2:3">
      <c r="B125" s="11"/>
      <c r="C125" s="90"/>
    </row>
    <row r="126" spans="2:3">
      <c r="B126" s="11"/>
      <c r="C126" s="90"/>
    </row>
    <row r="127" spans="2:3">
      <c r="B127" s="11"/>
      <c r="C127" s="90"/>
    </row>
    <row r="128" spans="2:3">
      <c r="B128" s="11"/>
      <c r="C128" s="90"/>
    </row>
    <row r="129" spans="2:3">
      <c r="B129" s="11"/>
      <c r="C129" s="90"/>
    </row>
    <row r="130" spans="2:3">
      <c r="B130" s="11"/>
      <c r="C130" s="90"/>
    </row>
    <row r="131" spans="2:3">
      <c r="B131" s="11"/>
      <c r="C131" s="90"/>
    </row>
    <row r="132" spans="2:3">
      <c r="B132" s="11"/>
      <c r="C132" s="90"/>
    </row>
    <row r="133" spans="2:3">
      <c r="B133" s="11"/>
      <c r="C133" s="90"/>
    </row>
    <row r="134" spans="2:3">
      <c r="B134" s="11"/>
      <c r="C134" s="90"/>
    </row>
    <row r="135" spans="2:3">
      <c r="B135" s="11"/>
      <c r="C135" s="90"/>
    </row>
    <row r="136" spans="2:3">
      <c r="B136" s="11"/>
      <c r="C136" s="90"/>
    </row>
    <row r="137" spans="2:3">
      <c r="B137" s="11"/>
      <c r="C137" s="90"/>
    </row>
    <row r="138" spans="2:3">
      <c r="B138" s="11"/>
      <c r="C138" s="90"/>
    </row>
    <row r="139" spans="2:3">
      <c r="B139" s="11"/>
      <c r="C139" s="90"/>
    </row>
    <row r="140" spans="2:3">
      <c r="B140" s="11"/>
      <c r="C140" s="90"/>
    </row>
    <row r="141" spans="2:3">
      <c r="B141" s="11"/>
      <c r="C141" s="90"/>
    </row>
    <row r="142" spans="2:3">
      <c r="B142" s="11"/>
      <c r="C142" s="90"/>
    </row>
    <row r="143" spans="2:3">
      <c r="B143" s="11"/>
      <c r="C143" s="90"/>
    </row>
    <row r="144" spans="2:3">
      <c r="B144" s="11"/>
      <c r="C144" s="90"/>
    </row>
    <row r="145" spans="2:3">
      <c r="B145" s="11"/>
      <c r="C145" s="90"/>
    </row>
    <row r="146" spans="2:3">
      <c r="B146" s="11"/>
      <c r="C146" s="90"/>
    </row>
    <row r="147" spans="2:3">
      <c r="B147" s="11"/>
      <c r="C147" s="90"/>
    </row>
    <row r="148" spans="2:3">
      <c r="B148" s="11"/>
      <c r="C148" s="90"/>
    </row>
    <row r="149" spans="2:3">
      <c r="B149" s="11"/>
      <c r="C149" s="90"/>
    </row>
    <row r="150" spans="2:3">
      <c r="B150" s="11"/>
      <c r="C150" s="90"/>
    </row>
    <row r="151" spans="2:3">
      <c r="B151" s="11"/>
      <c r="C151" s="90"/>
    </row>
    <row r="152" spans="2:3">
      <c r="B152" s="11"/>
      <c r="C152" s="90"/>
    </row>
    <row r="153" spans="2:3">
      <c r="B153" s="11"/>
      <c r="C153" s="90"/>
    </row>
    <row r="154" spans="2:3">
      <c r="B154" s="11"/>
      <c r="C154" s="90"/>
    </row>
    <row r="155" spans="2:3">
      <c r="B155" s="11"/>
      <c r="C155" s="90"/>
    </row>
    <row r="156" spans="2:3">
      <c r="B156" s="11"/>
      <c r="C156" s="90"/>
    </row>
    <row r="157" spans="2:3">
      <c r="B157" s="11"/>
      <c r="C157" s="90"/>
    </row>
    <row r="158" spans="2:3">
      <c r="B158" s="11"/>
      <c r="C158" s="90"/>
    </row>
    <row r="159" spans="2:3">
      <c r="B159" s="11"/>
      <c r="C159" s="90"/>
    </row>
    <row r="160" spans="2:3">
      <c r="B160" s="11"/>
      <c r="C160" s="90"/>
    </row>
    <row r="161" spans="2:3">
      <c r="B161" s="11"/>
      <c r="C161" s="90"/>
    </row>
    <row r="162" spans="2:3">
      <c r="B162" s="11"/>
      <c r="C162" s="90"/>
    </row>
    <row r="163" spans="2:3">
      <c r="B163" s="11"/>
      <c r="C163" s="90"/>
    </row>
    <row r="164" spans="2:3">
      <c r="B164" s="11"/>
      <c r="C164" s="90"/>
    </row>
    <row r="165" spans="2:3">
      <c r="B165" s="11"/>
      <c r="C165" s="90"/>
    </row>
    <row r="166" spans="2:3">
      <c r="B166" s="11"/>
      <c r="C166" s="90"/>
    </row>
    <row r="167" spans="2:3">
      <c r="B167" s="11"/>
      <c r="C167" s="90"/>
    </row>
    <row r="168" spans="2:3">
      <c r="B168" s="11"/>
      <c r="C168" s="90"/>
    </row>
    <row r="169" spans="2:3">
      <c r="B169" s="11"/>
      <c r="C169" s="90"/>
    </row>
    <row r="170" spans="2:3">
      <c r="B170" s="11"/>
      <c r="C170" s="90"/>
    </row>
    <row r="171" spans="2:3">
      <c r="B171" s="11"/>
      <c r="C171" s="90"/>
    </row>
    <row r="172" spans="2:3">
      <c r="B172" s="11"/>
      <c r="C172" s="90"/>
    </row>
    <row r="173" spans="2:3">
      <c r="B173" s="11"/>
      <c r="C173" s="90"/>
    </row>
    <row r="174" spans="2:3">
      <c r="B174" s="11"/>
      <c r="C174" s="90"/>
    </row>
    <row r="175" spans="2:3">
      <c r="B175" s="11"/>
      <c r="C175" s="90"/>
    </row>
    <row r="176" spans="2:3">
      <c r="B176" s="11"/>
      <c r="C176" s="90"/>
    </row>
    <row r="177" spans="2:3">
      <c r="B177" s="11"/>
      <c r="C177" s="90"/>
    </row>
    <row r="178" spans="2:3">
      <c r="B178" s="11"/>
      <c r="C178" s="90"/>
    </row>
    <row r="179" spans="2:3">
      <c r="B179" s="11"/>
      <c r="C179" s="90"/>
    </row>
    <row r="180" spans="2:3">
      <c r="B180" s="11"/>
      <c r="C180" s="90"/>
    </row>
    <row r="181" spans="2:3">
      <c r="B181" s="11"/>
      <c r="C181" s="90"/>
    </row>
    <row r="182" spans="2:3">
      <c r="B182" s="11"/>
      <c r="C182" s="90"/>
    </row>
    <row r="183" spans="2:3">
      <c r="B183" s="11"/>
      <c r="C183" s="90"/>
    </row>
    <row r="184" spans="2:3">
      <c r="B184" s="11"/>
      <c r="C184" s="90"/>
    </row>
    <row r="185" spans="2:3">
      <c r="B185" s="11"/>
      <c r="C185" s="90"/>
    </row>
    <row r="186" spans="2:3">
      <c r="B186" s="11"/>
      <c r="C186" s="90"/>
    </row>
    <row r="187" spans="2:3">
      <c r="B187" s="11"/>
      <c r="C187" s="90"/>
    </row>
    <row r="188" spans="2:3">
      <c r="B188" s="11"/>
      <c r="C188" s="90"/>
    </row>
    <row r="189" spans="2:3">
      <c r="B189" s="11"/>
      <c r="C189" s="90"/>
    </row>
    <row r="190" spans="2:3">
      <c r="B190" s="11"/>
      <c r="C190" s="90"/>
    </row>
    <row r="191" spans="2:3">
      <c r="B191" s="11"/>
      <c r="C191" s="90"/>
    </row>
    <row r="192" spans="2:3">
      <c r="B192" s="11"/>
      <c r="C192" s="90"/>
    </row>
    <row r="193" spans="2:3">
      <c r="B193" s="11"/>
      <c r="C193" s="90"/>
    </row>
    <row r="194" spans="2:3">
      <c r="B194" s="11"/>
      <c r="C194" s="90"/>
    </row>
    <row r="195" spans="2:3">
      <c r="B195" s="11"/>
      <c r="C195" s="90"/>
    </row>
    <row r="196" spans="2:3">
      <c r="B196" s="11"/>
      <c r="C196" s="90"/>
    </row>
    <row r="197" spans="2:3">
      <c r="B197" s="11"/>
      <c r="C197" s="90"/>
    </row>
    <row r="198" spans="2:3">
      <c r="B198" s="11"/>
      <c r="C198" s="90"/>
    </row>
    <row r="199" spans="2:3">
      <c r="B199" s="11"/>
      <c r="C199" s="90"/>
    </row>
    <row r="200" spans="2:3">
      <c r="B200" s="11"/>
      <c r="C200" s="90"/>
    </row>
    <row r="201" spans="2:3">
      <c r="B201" s="11"/>
      <c r="C201" s="90"/>
    </row>
    <row r="202" spans="2:3">
      <c r="B202" s="11"/>
      <c r="C202" s="90"/>
    </row>
    <row r="203" spans="2:3">
      <c r="B203" s="11"/>
      <c r="C203" s="90"/>
    </row>
    <row r="204" spans="2:3">
      <c r="B204" s="11"/>
      <c r="C204" s="90"/>
    </row>
    <row r="205" spans="2:3">
      <c r="B205" s="11"/>
      <c r="C205" s="90"/>
    </row>
    <row r="206" spans="2:3">
      <c r="B206" s="11"/>
      <c r="C206" s="90"/>
    </row>
    <row r="207" spans="2:3">
      <c r="B207" s="11"/>
      <c r="C207" s="90"/>
    </row>
    <row r="208" spans="2:3">
      <c r="B208" s="11"/>
      <c r="C208" s="90"/>
    </row>
    <row r="209" spans="2:3">
      <c r="B209" s="11"/>
      <c r="C209" s="90"/>
    </row>
    <row r="210" spans="2:3">
      <c r="B210" s="11"/>
      <c r="C210" s="90"/>
    </row>
    <row r="211" spans="2:3">
      <c r="B211" s="11"/>
      <c r="C211" s="90"/>
    </row>
    <row r="212" spans="2:3">
      <c r="B212" s="11"/>
      <c r="C212" s="90"/>
    </row>
    <row r="213" spans="2:3">
      <c r="B213" s="11"/>
      <c r="C213" s="90"/>
    </row>
    <row r="214" spans="2:3">
      <c r="B214" s="11"/>
      <c r="C214" s="90"/>
    </row>
    <row r="215" spans="2:3">
      <c r="B215" s="11"/>
      <c r="C215" s="90"/>
    </row>
    <row r="216" spans="2:3">
      <c r="B216" s="11"/>
      <c r="C216" s="90"/>
    </row>
    <row r="217" spans="2:3">
      <c r="B217" s="11"/>
      <c r="C217" s="90"/>
    </row>
    <row r="218" spans="2:3">
      <c r="B218" s="11"/>
      <c r="C218" s="90"/>
    </row>
    <row r="219" spans="2:3">
      <c r="B219" s="11"/>
      <c r="C219" s="90"/>
    </row>
    <row r="220" spans="2:3">
      <c r="B220" s="11"/>
      <c r="C220" s="90"/>
    </row>
    <row r="221" spans="2:3">
      <c r="B221" s="11"/>
      <c r="C221" s="90"/>
    </row>
    <row r="222" spans="2:3">
      <c r="B222" s="11"/>
      <c r="C222" s="90"/>
    </row>
    <row r="223" spans="2:3">
      <c r="B223" s="11"/>
      <c r="C223" s="90"/>
    </row>
    <row r="224" spans="2:3">
      <c r="B224" s="11"/>
      <c r="C224" s="90"/>
    </row>
    <row r="225" spans="2:3">
      <c r="B225" s="11"/>
      <c r="C225" s="90"/>
    </row>
    <row r="226" spans="2:3">
      <c r="B226" s="11"/>
      <c r="C226" s="90"/>
    </row>
    <row r="227" spans="2:3">
      <c r="B227" s="11"/>
      <c r="C227" s="90"/>
    </row>
    <row r="228" spans="2:3">
      <c r="B228" s="11"/>
      <c r="C228" s="90"/>
    </row>
    <row r="229" spans="2:3">
      <c r="B229" s="11"/>
      <c r="C229" s="90"/>
    </row>
    <row r="230" spans="2:3">
      <c r="B230" s="11"/>
      <c r="C230" s="90"/>
    </row>
    <row r="231" spans="2:3">
      <c r="B231" s="11"/>
      <c r="C231" s="90"/>
    </row>
    <row r="232" spans="2:3">
      <c r="B232" s="11"/>
      <c r="C232" s="90"/>
    </row>
    <row r="233" spans="2:3">
      <c r="B233" s="11"/>
      <c r="C233" s="90"/>
    </row>
    <row r="234" spans="2:3">
      <c r="B234" s="11"/>
      <c r="C234" s="90"/>
    </row>
    <row r="235" spans="2:3">
      <c r="B235" s="11"/>
      <c r="C235" s="90"/>
    </row>
    <row r="236" spans="2:3">
      <c r="B236" s="11"/>
      <c r="C236" s="90"/>
    </row>
    <row r="237" spans="2:3">
      <c r="B237" s="11"/>
      <c r="C237" s="90"/>
    </row>
    <row r="238" spans="2:3">
      <c r="B238" s="11"/>
      <c r="C238" s="90"/>
    </row>
    <row r="239" spans="2:3">
      <c r="B239" s="11"/>
      <c r="C239" s="90"/>
    </row>
    <row r="240" spans="2:3">
      <c r="B240" s="11"/>
      <c r="C240" s="90"/>
    </row>
    <row r="241" spans="2:3">
      <c r="B241" s="11"/>
      <c r="C241" s="90"/>
    </row>
    <row r="242" spans="2:3">
      <c r="B242" s="11"/>
      <c r="C242" s="90"/>
    </row>
    <row r="243" spans="2:3">
      <c r="B243" s="11"/>
      <c r="C243" s="90"/>
    </row>
    <row r="244" spans="2:3">
      <c r="B244" s="11"/>
      <c r="C244" s="90"/>
    </row>
    <row r="245" spans="2:3">
      <c r="B245" s="11"/>
      <c r="C245" s="90"/>
    </row>
    <row r="246" spans="2:3">
      <c r="B246" s="11"/>
      <c r="C246" s="90"/>
    </row>
    <row r="247" spans="2:3">
      <c r="B247" s="11"/>
      <c r="C247" s="90"/>
    </row>
    <row r="248" spans="2:3">
      <c r="B248" s="11"/>
      <c r="C248" s="90"/>
    </row>
    <row r="249" spans="2:3">
      <c r="B249" s="11"/>
      <c r="C249" s="90"/>
    </row>
    <row r="250" spans="2:3">
      <c r="B250" s="11"/>
      <c r="C250" s="90"/>
    </row>
    <row r="251" spans="2:3">
      <c r="B251" s="11"/>
      <c r="C251" s="90"/>
    </row>
    <row r="252" spans="2:3">
      <c r="B252" s="11"/>
      <c r="C252" s="90"/>
    </row>
    <row r="253" spans="2:3">
      <c r="B253" s="11"/>
      <c r="C253" s="90"/>
    </row>
    <row r="254" spans="2:3">
      <c r="B254" s="11"/>
      <c r="C254" s="90"/>
    </row>
    <row r="255" spans="2:3">
      <c r="B255" s="11"/>
      <c r="C255" s="90"/>
    </row>
    <row r="256" spans="2:3">
      <c r="B256" s="11"/>
      <c r="C256" s="90"/>
    </row>
    <row r="257" spans="2:3">
      <c r="B257" s="11"/>
      <c r="C257" s="90"/>
    </row>
    <row r="258" spans="2:3">
      <c r="B258" s="11"/>
      <c r="C258" s="90"/>
    </row>
    <row r="259" spans="2:3">
      <c r="B259" s="11"/>
      <c r="C259" s="90"/>
    </row>
    <row r="260" spans="2:3">
      <c r="B260" s="11"/>
      <c r="C260" s="90"/>
    </row>
    <row r="261" spans="2:3">
      <c r="B261" s="11"/>
      <c r="C261" s="90"/>
    </row>
    <row r="262" spans="2:3">
      <c r="B262" s="11"/>
      <c r="C262" s="90"/>
    </row>
    <row r="263" spans="2:3">
      <c r="B263" s="11"/>
      <c r="C263" s="90"/>
    </row>
    <row r="264" spans="2:3">
      <c r="B264" s="11"/>
      <c r="C264" s="90"/>
    </row>
    <row r="265" spans="2:3">
      <c r="B265" s="11"/>
      <c r="C265" s="90"/>
    </row>
    <row r="266" spans="2:3">
      <c r="B266" s="11"/>
      <c r="C266" s="90"/>
    </row>
    <row r="267" spans="2:3">
      <c r="B267" s="11"/>
      <c r="C267" s="90"/>
    </row>
    <row r="268" spans="2:3">
      <c r="B268" s="11"/>
      <c r="C268" s="90"/>
    </row>
    <row r="269" spans="2:3">
      <c r="B269" s="11"/>
      <c r="C269" s="90"/>
    </row>
    <row r="270" spans="2:3">
      <c r="B270" s="11"/>
      <c r="C270" s="90"/>
    </row>
    <row r="271" spans="2:3">
      <c r="B271" s="11"/>
      <c r="C271" s="90"/>
    </row>
    <row r="272" spans="2:3">
      <c r="B272" s="11"/>
      <c r="C272" s="90"/>
    </row>
    <row r="273" spans="2:3">
      <c r="B273" s="11"/>
      <c r="C273" s="90"/>
    </row>
    <row r="274" spans="2:3">
      <c r="B274" s="11"/>
      <c r="C274" s="90"/>
    </row>
    <row r="275" spans="2:3">
      <c r="B275" s="11"/>
      <c r="C275" s="90"/>
    </row>
    <row r="276" spans="2:3">
      <c r="B276" s="11"/>
      <c r="C276" s="90"/>
    </row>
    <row r="277" spans="2:3">
      <c r="B277" s="11"/>
      <c r="C277" s="90"/>
    </row>
    <row r="278" spans="2:3">
      <c r="B278" s="11"/>
      <c r="C278" s="90"/>
    </row>
    <row r="279" spans="2:3">
      <c r="B279" s="11"/>
      <c r="C279" s="90"/>
    </row>
    <row r="280" spans="2:3">
      <c r="B280" s="11"/>
      <c r="C280" s="90"/>
    </row>
    <row r="281" spans="2:3">
      <c r="B281" s="11"/>
      <c r="C281" s="90"/>
    </row>
    <row r="282" spans="2:3">
      <c r="B282" s="11"/>
      <c r="C282" s="90"/>
    </row>
    <row r="283" spans="2:3">
      <c r="B283" s="11"/>
      <c r="C283" s="90"/>
    </row>
    <row r="284" spans="2:3">
      <c r="B284" s="11"/>
      <c r="C284" s="90"/>
    </row>
    <row r="285" spans="2:3">
      <c r="B285" s="11"/>
      <c r="C285" s="90"/>
    </row>
    <row r="286" spans="2:3">
      <c r="B286" s="11"/>
      <c r="C286" s="90"/>
    </row>
    <row r="287" spans="2:3">
      <c r="B287" s="11"/>
      <c r="C287" s="90"/>
    </row>
    <row r="288" spans="2:3">
      <c r="B288" s="11"/>
      <c r="C288" s="90"/>
    </row>
    <row r="289" spans="2:3">
      <c r="B289" s="11"/>
      <c r="C289" s="90"/>
    </row>
    <row r="290" spans="2:3">
      <c r="B290" s="11"/>
      <c r="C290" s="90"/>
    </row>
    <row r="291" spans="2:3">
      <c r="B291" s="11"/>
      <c r="C291" s="90"/>
    </row>
    <row r="292" spans="2:3">
      <c r="B292" s="11"/>
      <c r="C292" s="90"/>
    </row>
    <row r="293" spans="2:3">
      <c r="B293" s="11"/>
      <c r="C293" s="90"/>
    </row>
    <row r="294" spans="2:3">
      <c r="B294" s="11"/>
      <c r="C294" s="90"/>
    </row>
    <row r="295" spans="2:3">
      <c r="B295" s="11"/>
      <c r="C295" s="90"/>
    </row>
    <row r="296" spans="2:3">
      <c r="B296" s="11"/>
      <c r="C296" s="90"/>
    </row>
    <row r="297" spans="2:3">
      <c r="B297" s="11"/>
      <c r="C297" s="90"/>
    </row>
    <row r="298" spans="2:3">
      <c r="B298" s="11"/>
      <c r="C298" s="90"/>
    </row>
    <row r="299" spans="2:3">
      <c r="B299" s="11"/>
      <c r="C299" s="90"/>
    </row>
    <row r="300" spans="2:3">
      <c r="B300" s="11"/>
      <c r="C300" s="90"/>
    </row>
    <row r="301" spans="2:3">
      <c r="B301" s="11"/>
      <c r="C301" s="90"/>
    </row>
    <row r="302" spans="2:3">
      <c r="B302" s="11"/>
      <c r="C302" s="90"/>
    </row>
    <row r="303" spans="2:3">
      <c r="B303" s="11"/>
      <c r="C303" s="90"/>
    </row>
    <row r="304" spans="2:3">
      <c r="B304" s="11"/>
      <c r="C304" s="90"/>
    </row>
    <row r="305" spans="2:3">
      <c r="B305" s="11"/>
      <c r="C305" s="90"/>
    </row>
    <row r="306" spans="2:3">
      <c r="B306" s="11"/>
      <c r="C306" s="90"/>
    </row>
    <row r="307" spans="2:3">
      <c r="B307" s="11"/>
      <c r="C307" s="90"/>
    </row>
    <row r="308" spans="2:3">
      <c r="B308" s="11"/>
      <c r="C308" s="90"/>
    </row>
    <row r="309" spans="2:3">
      <c r="B309" s="11"/>
      <c r="C309" s="90"/>
    </row>
    <row r="310" spans="2:3">
      <c r="B310" s="11"/>
      <c r="C310" s="90"/>
    </row>
    <row r="311" spans="2:3">
      <c r="B311" s="11"/>
      <c r="C311" s="90"/>
    </row>
    <row r="312" spans="2:3">
      <c r="B312" s="11"/>
      <c r="C312" s="90"/>
    </row>
    <row r="313" spans="2:3">
      <c r="B313" s="11"/>
      <c r="C313" s="90"/>
    </row>
    <row r="314" spans="2:3">
      <c r="B314" s="11"/>
      <c r="C314" s="90"/>
    </row>
    <row r="315" spans="2:3">
      <c r="B315" s="11"/>
      <c r="C315" s="90"/>
    </row>
    <row r="316" spans="2:3">
      <c r="B316" s="11"/>
      <c r="C316" s="90"/>
    </row>
    <row r="317" spans="2:3">
      <c r="B317" s="11"/>
      <c r="C317" s="90"/>
    </row>
    <row r="318" spans="2:3">
      <c r="B318" s="11"/>
      <c r="C318" s="90"/>
    </row>
    <row r="319" spans="2:3">
      <c r="B319" s="11"/>
      <c r="C319" s="90"/>
    </row>
    <row r="320" spans="2:3">
      <c r="B320" s="11"/>
      <c r="C320" s="90"/>
    </row>
    <row r="321" spans="2:3">
      <c r="B321" s="11"/>
      <c r="C321" s="90"/>
    </row>
    <row r="322" spans="2:3">
      <c r="B322" s="11"/>
      <c r="C322" s="90"/>
    </row>
    <row r="323" spans="2:3">
      <c r="B323" s="11"/>
      <c r="C323" s="90"/>
    </row>
    <row r="324" spans="2:3">
      <c r="B324" s="11"/>
      <c r="C324" s="90"/>
    </row>
    <row r="325" spans="2:3">
      <c r="B325" s="11"/>
      <c r="C325" s="90"/>
    </row>
    <row r="326" spans="2:3">
      <c r="B326" s="11"/>
      <c r="C326" s="90"/>
    </row>
    <row r="327" spans="2:3">
      <c r="B327" s="11"/>
      <c r="C327" s="90"/>
    </row>
    <row r="328" spans="2:3">
      <c r="B328" s="11"/>
      <c r="C328" s="90"/>
    </row>
    <row r="329" spans="2:3">
      <c r="B329" s="11"/>
      <c r="C329" s="90"/>
    </row>
    <row r="330" spans="2:3">
      <c r="B330" s="11"/>
      <c r="C330" s="90"/>
    </row>
    <row r="331" spans="2:3">
      <c r="B331" s="11"/>
      <c r="C331" s="90"/>
    </row>
    <row r="332" spans="2:3">
      <c r="B332" s="11"/>
      <c r="C332" s="90"/>
    </row>
    <row r="333" spans="2:3">
      <c r="B333" s="11"/>
      <c r="C333" s="90"/>
    </row>
    <row r="334" spans="2:3">
      <c r="B334" s="11"/>
      <c r="C334" s="90"/>
    </row>
    <row r="335" spans="2:3">
      <c r="B335" s="11"/>
      <c r="C335" s="90"/>
    </row>
    <row r="336" spans="2:3">
      <c r="B336" s="11"/>
      <c r="C336" s="90"/>
    </row>
    <row r="337" spans="2:3">
      <c r="B337" s="11"/>
      <c r="C337" s="90"/>
    </row>
    <row r="338" spans="2:3">
      <c r="B338" s="11"/>
      <c r="C338" s="90"/>
    </row>
    <row r="339" spans="2:3">
      <c r="B339" s="11"/>
      <c r="C339" s="90"/>
    </row>
    <row r="340" spans="2:3">
      <c r="B340" s="11"/>
      <c r="C340" s="90"/>
    </row>
    <row r="341" spans="2:3">
      <c r="B341" s="11"/>
      <c r="C341" s="90"/>
    </row>
    <row r="342" spans="2:3">
      <c r="B342" s="11"/>
      <c r="C342" s="90"/>
    </row>
    <row r="343" spans="2:3">
      <c r="B343" s="11"/>
      <c r="C343" s="90"/>
    </row>
    <row r="344" spans="2:3">
      <c r="B344" s="11"/>
      <c r="C344" s="90"/>
    </row>
    <row r="345" spans="2:3">
      <c r="B345" s="11"/>
      <c r="C345" s="90"/>
    </row>
    <row r="346" spans="2:3">
      <c r="B346" s="11"/>
      <c r="C346" s="90"/>
    </row>
    <row r="347" spans="2:3">
      <c r="B347" s="11"/>
      <c r="C347" s="90"/>
    </row>
    <row r="348" spans="2:3">
      <c r="B348" s="11"/>
      <c r="C348" s="90"/>
    </row>
    <row r="349" spans="2:3">
      <c r="B349" s="11"/>
      <c r="C349" s="90"/>
    </row>
    <row r="350" spans="2:3">
      <c r="B350" s="11"/>
      <c r="C350" s="90"/>
    </row>
    <row r="351" spans="2:3">
      <c r="B351" s="11"/>
      <c r="C351" s="90"/>
    </row>
    <row r="352" spans="2:3">
      <c r="B352" s="11"/>
      <c r="C352" s="90"/>
    </row>
    <row r="353" spans="2:3">
      <c r="B353" s="11"/>
      <c r="C353" s="90"/>
    </row>
    <row r="354" spans="2:3">
      <c r="B354" s="11"/>
      <c r="C354" s="90"/>
    </row>
    <row r="355" spans="2:3">
      <c r="B355" s="11"/>
      <c r="C355" s="90"/>
    </row>
    <row r="356" spans="2:3">
      <c r="B356" s="11"/>
      <c r="C356" s="90"/>
    </row>
    <row r="357" spans="2:3">
      <c r="B357" s="11"/>
      <c r="C357" s="90"/>
    </row>
    <row r="358" spans="2:3">
      <c r="B358" s="11"/>
      <c r="C358" s="90"/>
    </row>
    <row r="359" spans="2:3">
      <c r="B359" s="11"/>
      <c r="C359" s="90"/>
    </row>
    <row r="360" spans="2:3">
      <c r="B360" s="11"/>
      <c r="C360" s="90"/>
    </row>
    <row r="361" spans="2:3">
      <c r="B361" s="11"/>
      <c r="C361" s="90"/>
    </row>
    <row r="362" spans="2:3">
      <c r="B362" s="11"/>
      <c r="C362" s="90"/>
    </row>
    <row r="363" spans="2:3">
      <c r="B363" s="11"/>
      <c r="C363" s="90"/>
    </row>
    <row r="364" spans="2:3">
      <c r="B364" s="11"/>
      <c r="C364" s="90"/>
    </row>
    <row r="365" spans="2:3">
      <c r="B365" s="11"/>
      <c r="C365" s="90"/>
    </row>
    <row r="366" spans="2:3">
      <c r="B366" s="11"/>
      <c r="C366" s="90"/>
    </row>
    <row r="367" spans="2:3">
      <c r="B367" s="11"/>
      <c r="C367" s="90"/>
    </row>
    <row r="368" spans="2:3">
      <c r="B368" s="11"/>
      <c r="C368" s="90"/>
    </row>
    <row r="369" spans="2:3">
      <c r="B369" s="11"/>
      <c r="C369" s="90"/>
    </row>
    <row r="370" spans="2:3">
      <c r="B370" s="11"/>
      <c r="C370" s="90"/>
    </row>
    <row r="371" spans="2:3">
      <c r="B371" s="11"/>
      <c r="C371" s="90"/>
    </row>
    <row r="372" spans="2:3">
      <c r="B372" s="11"/>
      <c r="C372" s="90"/>
    </row>
    <row r="373" spans="2:3">
      <c r="B373" s="11"/>
      <c r="C373" s="90"/>
    </row>
    <row r="374" spans="2:3">
      <c r="B374" s="11"/>
      <c r="C374" s="90"/>
    </row>
    <row r="375" spans="2:3">
      <c r="B375" s="11"/>
      <c r="C375" s="90"/>
    </row>
    <row r="376" spans="2:3">
      <c r="B376" s="11"/>
      <c r="C376" s="90"/>
    </row>
    <row r="377" spans="2:3">
      <c r="B377" s="11"/>
      <c r="C377" s="90"/>
    </row>
    <row r="378" spans="2:3">
      <c r="B378" s="11"/>
      <c r="C378" s="90"/>
    </row>
    <row r="379" spans="2:3">
      <c r="B379" s="11"/>
      <c r="C379" s="90"/>
    </row>
    <row r="380" spans="2:3">
      <c r="B380" s="11"/>
      <c r="C380" s="90"/>
    </row>
    <row r="381" spans="2:3">
      <c r="B381" s="11"/>
      <c r="C381" s="90"/>
    </row>
    <row r="382" spans="2:3">
      <c r="B382" s="11"/>
      <c r="C382" s="90"/>
    </row>
    <row r="383" spans="2:3">
      <c r="B383" s="11"/>
      <c r="C383" s="90"/>
    </row>
    <row r="384" spans="2:3">
      <c r="B384" s="11"/>
      <c r="C384" s="90"/>
    </row>
    <row r="385" spans="2:3">
      <c r="B385" s="11"/>
      <c r="C385" s="90"/>
    </row>
    <row r="386" spans="2:3">
      <c r="B386" s="11"/>
      <c r="C386" s="90"/>
    </row>
    <row r="387" spans="2:3">
      <c r="B387" s="11"/>
      <c r="C387" s="90"/>
    </row>
    <row r="388" spans="2:3">
      <c r="B388" s="11"/>
      <c r="C388" s="90"/>
    </row>
    <row r="389" spans="2:3">
      <c r="B389" s="11"/>
      <c r="C389" s="90"/>
    </row>
    <row r="390" spans="2:3">
      <c r="B390" s="11"/>
      <c r="C390" s="90"/>
    </row>
    <row r="391" spans="2:3">
      <c r="B391" s="11"/>
      <c r="C391" s="90"/>
    </row>
    <row r="392" spans="2:3">
      <c r="B392" s="11"/>
      <c r="C392" s="90"/>
    </row>
    <row r="393" spans="2:3">
      <c r="B393" s="11"/>
      <c r="C393" s="90"/>
    </row>
    <row r="394" spans="2:3">
      <c r="B394" s="11"/>
      <c r="C394" s="90"/>
    </row>
    <row r="395" spans="2:3">
      <c r="B395" s="11"/>
      <c r="C395" s="90"/>
    </row>
    <row r="396" spans="2:3">
      <c r="B396" s="11"/>
      <c r="C396" s="90"/>
    </row>
    <row r="397" spans="2:3">
      <c r="B397" s="11"/>
      <c r="C397" s="90"/>
    </row>
    <row r="398" spans="2:3">
      <c r="B398" s="11"/>
      <c r="C398" s="90"/>
    </row>
    <row r="399" spans="2:3">
      <c r="B399" s="11"/>
      <c r="C399" s="90"/>
    </row>
    <row r="400" spans="2:3">
      <c r="B400" s="11"/>
      <c r="C400" s="90"/>
    </row>
    <row r="401" spans="2:3">
      <c r="B401" s="11"/>
      <c r="C401" s="90"/>
    </row>
    <row r="402" spans="2:3">
      <c r="B402" s="11"/>
      <c r="C402" s="90"/>
    </row>
    <row r="403" spans="2:3">
      <c r="B403" s="11"/>
      <c r="C403" s="90"/>
    </row>
    <row r="404" spans="2:3">
      <c r="B404" s="11"/>
      <c r="C404" s="90"/>
    </row>
    <row r="405" spans="2:3">
      <c r="B405" s="11"/>
      <c r="C405" s="90"/>
    </row>
    <row r="406" spans="2:3">
      <c r="B406" s="11"/>
      <c r="C406" s="90"/>
    </row>
    <row r="407" spans="2:3">
      <c r="B407" s="11"/>
      <c r="C407" s="90"/>
    </row>
    <row r="408" spans="2:3">
      <c r="B408" s="11"/>
      <c r="C408" s="90"/>
    </row>
    <row r="409" spans="2:3">
      <c r="B409" s="11"/>
      <c r="C409" s="90"/>
    </row>
    <row r="410" spans="2:3">
      <c r="B410" s="11"/>
      <c r="C410" s="90"/>
    </row>
    <row r="411" spans="2:3">
      <c r="B411" s="11"/>
      <c r="C411" s="90"/>
    </row>
    <row r="412" spans="2:3">
      <c r="B412" s="11"/>
      <c r="C412" s="90"/>
    </row>
    <row r="413" spans="2:3">
      <c r="B413" s="11"/>
      <c r="C413" s="90"/>
    </row>
    <row r="414" spans="2:3">
      <c r="B414" s="11"/>
      <c r="C414" s="90"/>
    </row>
    <row r="415" spans="2:3">
      <c r="B415" s="11"/>
      <c r="C415" s="90"/>
    </row>
    <row r="416" spans="2:3">
      <c r="B416" s="11"/>
      <c r="C416" s="90"/>
    </row>
    <row r="417" spans="2:3">
      <c r="B417" s="11"/>
      <c r="C417" s="90"/>
    </row>
    <row r="418" spans="2:3">
      <c r="B418" s="11"/>
      <c r="C418" s="90"/>
    </row>
    <row r="419" spans="2:3">
      <c r="B419" s="11"/>
      <c r="C419" s="90"/>
    </row>
    <row r="420" spans="2:3">
      <c r="B420" s="11"/>
      <c r="C420" s="90"/>
    </row>
    <row r="421" spans="2:3">
      <c r="B421" s="11"/>
      <c r="C421" s="90"/>
    </row>
    <row r="422" spans="2:3">
      <c r="B422" s="11"/>
      <c r="C422" s="90"/>
    </row>
    <row r="423" spans="2:3">
      <c r="B423" s="11"/>
      <c r="C423" s="90"/>
    </row>
    <row r="424" spans="2:3">
      <c r="B424" s="11"/>
      <c r="C424" s="90"/>
    </row>
    <row r="425" spans="2:3">
      <c r="B425" s="11"/>
      <c r="C425" s="90"/>
    </row>
    <row r="426" spans="2:3">
      <c r="B426" s="11"/>
      <c r="C426" s="90"/>
    </row>
    <row r="427" spans="2:3">
      <c r="B427" s="11"/>
      <c r="C427" s="90"/>
    </row>
    <row r="428" spans="2:3">
      <c r="B428" s="11"/>
      <c r="C428" s="90"/>
    </row>
    <row r="429" spans="2:3">
      <c r="B429" s="11"/>
      <c r="C429" s="90"/>
    </row>
    <row r="430" spans="2:3">
      <c r="B430" s="11"/>
      <c r="C430" s="90"/>
    </row>
    <row r="431" spans="2:3">
      <c r="B431" s="11"/>
      <c r="C431" s="90"/>
    </row>
    <row r="432" spans="2:3">
      <c r="B432" s="11"/>
      <c r="C432" s="90"/>
    </row>
    <row r="433" spans="2:3">
      <c r="B433" s="11"/>
      <c r="C433" s="90"/>
    </row>
    <row r="434" spans="2:3">
      <c r="B434" s="11"/>
      <c r="C434" s="90"/>
    </row>
    <row r="435" spans="2:3">
      <c r="B435" s="11"/>
      <c r="C435" s="90"/>
    </row>
    <row r="436" spans="2:3">
      <c r="B436" s="11"/>
      <c r="C436" s="90"/>
    </row>
    <row r="437" spans="2:3">
      <c r="B437" s="11"/>
      <c r="C437" s="90"/>
    </row>
    <row r="438" spans="2:3">
      <c r="B438" s="11"/>
      <c r="C438" s="90"/>
    </row>
    <row r="439" spans="2:3">
      <c r="B439" s="11"/>
      <c r="C439" s="90"/>
    </row>
    <row r="440" spans="2:3">
      <c r="B440" s="11"/>
      <c r="C440" s="90"/>
    </row>
    <row r="441" spans="2:3">
      <c r="B441" s="11"/>
      <c r="C441" s="90"/>
    </row>
    <row r="442" spans="2:3">
      <c r="B442" s="11"/>
      <c r="C442" s="90"/>
    </row>
    <row r="443" spans="2:3">
      <c r="B443" s="11"/>
      <c r="C443" s="90"/>
    </row>
    <row r="444" spans="2:3">
      <c r="B444" s="11"/>
      <c r="C444" s="90"/>
    </row>
    <row r="445" spans="2:3">
      <c r="B445" s="11"/>
      <c r="C445" s="90"/>
    </row>
    <row r="446" spans="2:3">
      <c r="B446" s="11"/>
      <c r="C446" s="90"/>
    </row>
    <row r="447" spans="2:3">
      <c r="B447" s="11"/>
      <c r="C447" s="90"/>
    </row>
    <row r="448" spans="2:3">
      <c r="B448" s="11"/>
      <c r="C448" s="90"/>
    </row>
    <row r="449" spans="2:3">
      <c r="B449" s="11"/>
      <c r="C449" s="90"/>
    </row>
    <row r="450" spans="2:3">
      <c r="B450" s="11"/>
      <c r="C450" s="90"/>
    </row>
    <row r="451" spans="2:3">
      <c r="B451" s="11"/>
      <c r="C451" s="90"/>
    </row>
    <row r="452" spans="2:3">
      <c r="B452" s="11"/>
      <c r="C452" s="90"/>
    </row>
    <row r="453" spans="2:3">
      <c r="B453" s="11"/>
      <c r="C453" s="90"/>
    </row>
    <row r="454" spans="2:3">
      <c r="B454" s="11"/>
      <c r="C454" s="90"/>
    </row>
    <row r="455" spans="2:3">
      <c r="B455" s="11"/>
      <c r="C455" s="90"/>
    </row>
    <row r="456" spans="2:3">
      <c r="B456" s="11"/>
      <c r="C456" s="90"/>
    </row>
    <row r="457" spans="2:3">
      <c r="B457" s="11"/>
      <c r="C457" s="90"/>
    </row>
    <row r="458" spans="2:3">
      <c r="B458" s="11"/>
      <c r="C458" s="90"/>
    </row>
    <row r="459" spans="2:3">
      <c r="B459" s="11"/>
      <c r="C459" s="90"/>
    </row>
    <row r="460" spans="2:3">
      <c r="B460" s="11"/>
      <c r="C460" s="90"/>
    </row>
    <row r="461" spans="2:3">
      <c r="B461" s="11"/>
      <c r="C461" s="90"/>
    </row>
    <row r="462" spans="2:3">
      <c r="B462" s="11"/>
      <c r="C462" s="90"/>
    </row>
    <row r="463" spans="2:3">
      <c r="B463" s="11"/>
      <c r="C463" s="90"/>
    </row>
    <row r="464" spans="2:3">
      <c r="B464" s="11"/>
      <c r="C464" s="90"/>
    </row>
    <row r="465" spans="2:3">
      <c r="B465" s="11"/>
      <c r="C465" s="90"/>
    </row>
    <row r="466" spans="2:3">
      <c r="B466" s="11"/>
      <c r="C466" s="90"/>
    </row>
    <row r="467" spans="2:3">
      <c r="B467" s="11"/>
      <c r="C467" s="90"/>
    </row>
    <row r="468" spans="2:3">
      <c r="B468" s="11"/>
      <c r="C468" s="90"/>
    </row>
    <row r="469" spans="2:3">
      <c r="B469" s="11"/>
      <c r="C469" s="90"/>
    </row>
    <row r="470" spans="2:3">
      <c r="B470" s="11"/>
      <c r="C470" s="90"/>
    </row>
    <row r="471" spans="2:3">
      <c r="B471" s="11"/>
      <c r="C471" s="90"/>
    </row>
    <row r="472" spans="2:3">
      <c r="B472" s="11"/>
      <c r="C472" s="90"/>
    </row>
    <row r="473" spans="2:3">
      <c r="B473" s="11"/>
      <c r="C473" s="90"/>
    </row>
    <row r="474" spans="2:3">
      <c r="B474" s="11"/>
      <c r="C474" s="90"/>
    </row>
    <row r="475" spans="2:3">
      <c r="B475" s="11"/>
      <c r="C475" s="90"/>
    </row>
    <row r="476" spans="2:3">
      <c r="B476" s="11"/>
      <c r="C476" s="90"/>
    </row>
    <row r="477" spans="2:3">
      <c r="B477" s="11"/>
      <c r="C477" s="90"/>
    </row>
    <row r="478" spans="2:3">
      <c r="B478" s="11"/>
      <c r="C478" s="90"/>
    </row>
    <row r="479" spans="2:3">
      <c r="B479" s="11"/>
      <c r="C479" s="90"/>
    </row>
    <row r="480" spans="2:3">
      <c r="B480" s="11"/>
      <c r="C480" s="90"/>
    </row>
    <row r="481" spans="2:3">
      <c r="B481" s="11"/>
      <c r="C481" s="90"/>
    </row>
    <row r="482" spans="2:3">
      <c r="B482" s="11"/>
      <c r="C482" s="90"/>
    </row>
    <row r="483" spans="2:3">
      <c r="B483" s="11"/>
      <c r="C483" s="90"/>
    </row>
    <row r="484" spans="2:3">
      <c r="B484" s="11"/>
      <c r="C484" s="90"/>
    </row>
    <row r="485" spans="2:3">
      <c r="B485" s="11"/>
      <c r="C485" s="90"/>
    </row>
    <row r="486" spans="2:3">
      <c r="B486" s="11"/>
      <c r="C486" s="90"/>
    </row>
    <row r="487" spans="2:3">
      <c r="B487" s="11"/>
      <c r="C487" s="90"/>
    </row>
    <row r="488" spans="2:3">
      <c r="B488" s="11"/>
      <c r="C488" s="90"/>
    </row>
    <row r="489" spans="2:3">
      <c r="B489" s="11"/>
      <c r="C489" s="90"/>
    </row>
    <row r="490" spans="2:3">
      <c r="B490" s="11"/>
      <c r="C490" s="90"/>
    </row>
    <row r="491" spans="2:3">
      <c r="B491" s="11"/>
      <c r="C491" s="90"/>
    </row>
    <row r="492" spans="2:3">
      <c r="B492" s="11"/>
      <c r="C492" s="90"/>
    </row>
    <row r="493" spans="2:3">
      <c r="B493" s="11"/>
      <c r="C493" s="90"/>
    </row>
    <row r="494" spans="2:3">
      <c r="B494" s="11"/>
      <c r="C494" s="90"/>
    </row>
    <row r="495" spans="2:3">
      <c r="B495" s="11"/>
      <c r="C495" s="90"/>
    </row>
    <row r="496" spans="2:3">
      <c r="B496" s="11"/>
      <c r="C496" s="90"/>
    </row>
    <row r="497" spans="2:3">
      <c r="B497" s="11"/>
      <c r="C497" s="90"/>
    </row>
    <row r="498" spans="2:3">
      <c r="B498" s="11"/>
      <c r="C498" s="90"/>
    </row>
    <row r="499" spans="2:3">
      <c r="B499" s="11"/>
      <c r="C499" s="90"/>
    </row>
    <row r="500" spans="2:3">
      <c r="B500" s="11"/>
      <c r="C500" s="90"/>
    </row>
    <row r="501" spans="2:3">
      <c r="B501" s="11"/>
      <c r="C501" s="90"/>
    </row>
    <row r="502" spans="2:3">
      <c r="B502" s="11"/>
      <c r="C502" s="90"/>
    </row>
    <row r="503" spans="2:3">
      <c r="B503" s="11"/>
      <c r="C503" s="90"/>
    </row>
    <row r="504" spans="2:3">
      <c r="B504" s="11"/>
      <c r="C504" s="90"/>
    </row>
    <row r="505" spans="2:3">
      <c r="B505" s="11"/>
      <c r="C505" s="90"/>
    </row>
    <row r="506" spans="2:3">
      <c r="B506" s="11"/>
      <c r="C506" s="90"/>
    </row>
    <row r="507" spans="2:3">
      <c r="B507" s="11"/>
      <c r="C507" s="90"/>
    </row>
    <row r="508" spans="2:3">
      <c r="B508" s="11"/>
      <c r="C508" s="90"/>
    </row>
    <row r="509" spans="2:3">
      <c r="B509" s="11"/>
      <c r="C509" s="90"/>
    </row>
    <row r="510" spans="2:3">
      <c r="B510" s="11"/>
      <c r="C510" s="90"/>
    </row>
    <row r="511" spans="2:3">
      <c r="B511" s="11"/>
      <c r="C511" s="90"/>
    </row>
    <row r="512" spans="2:3">
      <c r="B512" s="11"/>
      <c r="C512" s="90"/>
    </row>
    <row r="513" spans="2:3">
      <c r="B513" s="11"/>
      <c r="C513" s="90"/>
    </row>
    <row r="514" spans="2:3">
      <c r="B514" s="11"/>
      <c r="C514" s="90"/>
    </row>
    <row r="515" spans="2:3">
      <c r="B515" s="11"/>
      <c r="C515" s="90"/>
    </row>
    <row r="516" spans="2:3">
      <c r="B516" s="11"/>
      <c r="C516" s="90"/>
    </row>
    <row r="517" spans="2:3">
      <c r="B517" s="11"/>
      <c r="C517" s="90"/>
    </row>
    <row r="518" spans="2:3">
      <c r="B518" s="11"/>
      <c r="C518" s="90"/>
    </row>
    <row r="519" spans="2:3">
      <c r="B519" s="11"/>
      <c r="C519" s="90"/>
    </row>
    <row r="520" spans="2:3">
      <c r="B520" s="11"/>
      <c r="C520" s="90"/>
    </row>
    <row r="521" spans="2:3">
      <c r="B521" s="11"/>
      <c r="C521" s="90"/>
    </row>
    <row r="522" spans="2:3">
      <c r="B522" s="11"/>
      <c r="C522" s="90"/>
    </row>
    <row r="523" spans="2:3">
      <c r="B523" s="11"/>
      <c r="C523" s="90"/>
    </row>
    <row r="524" spans="2:3">
      <c r="B524" s="11"/>
      <c r="C524" s="90"/>
    </row>
    <row r="525" spans="2:3">
      <c r="B525" s="11"/>
      <c r="C525" s="90"/>
    </row>
    <row r="526" spans="2:3">
      <c r="B526" s="11"/>
      <c r="C526" s="90"/>
    </row>
    <row r="527" spans="2:3">
      <c r="B527" s="11"/>
      <c r="C527" s="90"/>
    </row>
    <row r="528" spans="2:3">
      <c r="B528" s="11"/>
      <c r="C528" s="90"/>
    </row>
    <row r="529" spans="2:3">
      <c r="B529" s="11"/>
      <c r="C529" s="90"/>
    </row>
    <row r="530" spans="2:3">
      <c r="B530" s="11"/>
      <c r="C530" s="90"/>
    </row>
    <row r="531" spans="2:3">
      <c r="B531" s="11"/>
      <c r="C531" s="90"/>
    </row>
    <row r="532" spans="2:3">
      <c r="B532" s="11"/>
      <c r="C532" s="90"/>
    </row>
    <row r="533" spans="2:3">
      <c r="B533" s="11"/>
      <c r="C533" s="90"/>
    </row>
    <row r="534" spans="2:3">
      <c r="B534" s="11"/>
      <c r="C534" s="90"/>
    </row>
    <row r="535" spans="2:3">
      <c r="B535" s="11"/>
      <c r="C535" s="90"/>
    </row>
    <row r="536" spans="2:3">
      <c r="B536" s="11"/>
      <c r="C536" s="90"/>
    </row>
    <row r="537" spans="2:3">
      <c r="B537" s="11"/>
      <c r="C537" s="90"/>
    </row>
    <row r="538" spans="2:3">
      <c r="B538" s="11"/>
      <c r="C538" s="90"/>
    </row>
    <row r="539" spans="2:3">
      <c r="B539" s="11"/>
      <c r="C539" s="90"/>
    </row>
    <row r="540" spans="2:3">
      <c r="B540" s="11"/>
      <c r="C540" s="90"/>
    </row>
    <row r="541" spans="2:3">
      <c r="B541" s="11"/>
      <c r="C541" s="90"/>
    </row>
    <row r="542" spans="2:3">
      <c r="B542" s="11"/>
      <c r="C542" s="90"/>
    </row>
    <row r="543" spans="2:3">
      <c r="B543" s="11"/>
      <c r="C543" s="90"/>
    </row>
    <row r="544" spans="2:3">
      <c r="B544" s="11"/>
      <c r="C544" s="90"/>
    </row>
    <row r="545" spans="2:3">
      <c r="B545" s="11"/>
      <c r="C545" s="90"/>
    </row>
    <row r="546" spans="2:3">
      <c r="B546" s="11"/>
      <c r="C546" s="90"/>
    </row>
    <row r="547" spans="2:3">
      <c r="B547" s="11"/>
      <c r="C547" s="90"/>
    </row>
    <row r="548" spans="2:3">
      <c r="B548" s="11"/>
      <c r="C548" s="90"/>
    </row>
    <row r="549" spans="2:3">
      <c r="B549" s="11"/>
      <c r="C549" s="90"/>
    </row>
    <row r="550" spans="2:3">
      <c r="B550" s="11"/>
      <c r="C550" s="90"/>
    </row>
    <row r="551" spans="2:3">
      <c r="B551" s="11"/>
      <c r="C551" s="90"/>
    </row>
    <row r="552" spans="2:3">
      <c r="B552" s="11"/>
      <c r="C552" s="90"/>
    </row>
    <row r="553" spans="2:3">
      <c r="B553" s="11"/>
      <c r="C553" s="90"/>
    </row>
    <row r="554" spans="2:3">
      <c r="B554" s="11"/>
      <c r="C554" s="90"/>
    </row>
    <row r="555" spans="2:3">
      <c r="B555" s="11"/>
      <c r="C555" s="90"/>
    </row>
    <row r="556" spans="2:3">
      <c r="B556" s="11"/>
      <c r="C556" s="90"/>
    </row>
    <row r="557" spans="2:3">
      <c r="B557" s="11"/>
      <c r="C557" s="90"/>
    </row>
    <row r="558" spans="2:3">
      <c r="B558" s="11"/>
      <c r="C558" s="90"/>
    </row>
    <row r="559" spans="2:3">
      <c r="B559" s="11"/>
      <c r="C559" s="90"/>
    </row>
    <row r="560" spans="2:3">
      <c r="B560" s="11"/>
      <c r="C560" s="90"/>
    </row>
    <row r="561" spans="2:3">
      <c r="B561" s="11"/>
      <c r="C561" s="90"/>
    </row>
    <row r="562" spans="2:3">
      <c r="B562" s="11"/>
      <c r="C562" s="90"/>
    </row>
    <row r="563" spans="2:3">
      <c r="B563" s="11"/>
      <c r="C563" s="90"/>
    </row>
    <row r="564" spans="2:3">
      <c r="B564" s="11"/>
      <c r="C564" s="90"/>
    </row>
    <row r="565" spans="2:3">
      <c r="B565" s="11"/>
      <c r="C565" s="90"/>
    </row>
    <row r="566" spans="2:3">
      <c r="B566" s="11"/>
      <c r="C566" s="90"/>
    </row>
    <row r="567" spans="2:3">
      <c r="B567" s="11"/>
      <c r="C567" s="90"/>
    </row>
    <row r="568" spans="2:3">
      <c r="B568" s="11"/>
      <c r="C568" s="90"/>
    </row>
    <row r="569" spans="2:3">
      <c r="B569" s="11"/>
      <c r="C569" s="90"/>
    </row>
    <row r="570" spans="2:3">
      <c r="B570" s="11"/>
      <c r="C570" s="90"/>
    </row>
    <row r="571" spans="2:3">
      <c r="B571" s="11"/>
      <c r="C571" s="90"/>
    </row>
    <row r="572" spans="2:3">
      <c r="B572" s="11"/>
      <c r="C572" s="90"/>
    </row>
    <row r="573" spans="2:3">
      <c r="B573" s="11"/>
      <c r="C573" s="90"/>
    </row>
    <row r="574" spans="2:3">
      <c r="B574" s="11"/>
      <c r="C574" s="90"/>
    </row>
    <row r="575" spans="2:3">
      <c r="B575" s="11"/>
      <c r="C575" s="90"/>
    </row>
    <row r="576" spans="2:3">
      <c r="B576" s="11"/>
      <c r="C576" s="90"/>
    </row>
    <row r="577" spans="2:3">
      <c r="B577" s="11"/>
      <c r="C577" s="90"/>
    </row>
    <row r="578" spans="2:3">
      <c r="B578" s="11"/>
      <c r="C578" s="90"/>
    </row>
    <row r="579" spans="2:3">
      <c r="B579" s="11"/>
      <c r="C579" s="90"/>
    </row>
    <row r="580" spans="2:3">
      <c r="B580" s="11"/>
      <c r="C580" s="90"/>
    </row>
    <row r="581" spans="2:3">
      <c r="B581" s="11"/>
      <c r="C581" s="90"/>
    </row>
    <row r="582" spans="2:3">
      <c r="B582" s="11"/>
      <c r="C582" s="90"/>
    </row>
    <row r="583" spans="2:3">
      <c r="B583" s="11"/>
      <c r="C583" s="90"/>
    </row>
    <row r="584" spans="2:3">
      <c r="B584" s="11"/>
      <c r="C584" s="90"/>
    </row>
    <row r="585" spans="2:3">
      <c r="B585" s="11"/>
      <c r="C585" s="90"/>
    </row>
    <row r="586" spans="2:3">
      <c r="B586" s="11"/>
      <c r="C586" s="90"/>
    </row>
    <row r="587" spans="2:3">
      <c r="B587" s="11"/>
      <c r="C587" s="90"/>
    </row>
    <row r="588" spans="2:3">
      <c r="B588" s="11"/>
      <c r="C588" s="90"/>
    </row>
    <row r="589" spans="2:3">
      <c r="B589" s="11"/>
      <c r="C589" s="90"/>
    </row>
    <row r="590" spans="2:3">
      <c r="B590" s="11"/>
      <c r="C590" s="90"/>
    </row>
    <row r="591" spans="2:3">
      <c r="B591" s="11"/>
      <c r="C591" s="90"/>
    </row>
    <row r="592" spans="2:3">
      <c r="B592" s="11"/>
      <c r="C592" s="90"/>
    </row>
    <row r="593" spans="2:3">
      <c r="B593" s="11"/>
      <c r="C593" s="90"/>
    </row>
    <row r="594" spans="2:3">
      <c r="B594" s="11"/>
      <c r="C594" s="90"/>
    </row>
    <row r="595" spans="2:3">
      <c r="B595" s="11"/>
      <c r="C595" s="90"/>
    </row>
    <row r="596" spans="2:3">
      <c r="B596" s="11"/>
      <c r="C596" s="90"/>
    </row>
    <row r="597" spans="2:3">
      <c r="B597" s="11"/>
      <c r="C597" s="90"/>
    </row>
    <row r="598" spans="2:3">
      <c r="B598" s="11"/>
      <c r="C598" s="90"/>
    </row>
    <row r="599" spans="2:3">
      <c r="B599" s="11"/>
      <c r="C599" s="90"/>
    </row>
    <row r="600" spans="2:3">
      <c r="B600" s="11"/>
      <c r="C600" s="90"/>
    </row>
    <row r="601" spans="2:3">
      <c r="B601" s="11"/>
      <c r="C601" s="90"/>
    </row>
    <row r="602" spans="2:3">
      <c r="B602" s="11"/>
      <c r="C602" s="90"/>
    </row>
    <row r="603" spans="2:3">
      <c r="B603" s="11"/>
      <c r="C603" s="90"/>
    </row>
    <row r="604" spans="2:3">
      <c r="B604" s="11"/>
      <c r="C604" s="90"/>
    </row>
    <row r="605" spans="2:3">
      <c r="B605" s="11"/>
      <c r="C605" s="90"/>
    </row>
    <row r="606" spans="2:3">
      <c r="B606" s="11"/>
      <c r="C606" s="90"/>
    </row>
    <row r="607" spans="2:3">
      <c r="B607" s="11"/>
      <c r="C607" s="90"/>
    </row>
    <row r="608" spans="2:3">
      <c r="B608" s="11"/>
      <c r="C608" s="90"/>
    </row>
    <row r="609" spans="2:3">
      <c r="B609" s="11"/>
      <c r="C609" s="90"/>
    </row>
    <row r="610" spans="2:3">
      <c r="B610" s="11"/>
      <c r="C610" s="90"/>
    </row>
    <row r="611" spans="2:3">
      <c r="B611" s="11"/>
      <c r="C611" s="90"/>
    </row>
    <row r="612" spans="2:3">
      <c r="B612" s="11"/>
      <c r="C612" s="90"/>
    </row>
    <row r="613" spans="2:3">
      <c r="B613" s="11"/>
      <c r="C613" s="90"/>
    </row>
    <row r="614" spans="2:3">
      <c r="B614" s="11"/>
      <c r="C614" s="90"/>
    </row>
    <row r="615" spans="2:3">
      <c r="B615" s="11"/>
      <c r="C615" s="90"/>
    </row>
    <row r="616" spans="2:3">
      <c r="B616" s="11"/>
      <c r="C616" s="90"/>
    </row>
    <row r="617" spans="2:3">
      <c r="B617" s="11"/>
      <c r="C617" s="90"/>
    </row>
    <row r="618" spans="2:3">
      <c r="B618" s="11"/>
      <c r="C618" s="90"/>
    </row>
    <row r="619" spans="2:3">
      <c r="B619" s="11"/>
      <c r="C619" s="90"/>
    </row>
    <row r="620" spans="2:3">
      <c r="B620" s="11"/>
      <c r="C620" s="90"/>
    </row>
    <row r="621" spans="2:3">
      <c r="B621" s="11"/>
      <c r="C621" s="90"/>
    </row>
    <row r="622" spans="2:3">
      <c r="B622" s="11"/>
      <c r="C622" s="90"/>
    </row>
    <row r="623" spans="2:3">
      <c r="B623" s="11"/>
      <c r="C623" s="90"/>
    </row>
    <row r="624" spans="2:3">
      <c r="B624" s="11"/>
      <c r="C624" s="90"/>
    </row>
    <row r="625" spans="2:3">
      <c r="B625" s="11"/>
      <c r="C625" s="90"/>
    </row>
    <row r="626" spans="2:3">
      <c r="B626" s="11"/>
      <c r="C626" s="90"/>
    </row>
    <row r="627" spans="2:3">
      <c r="B627" s="11"/>
      <c r="C627" s="90"/>
    </row>
    <row r="628" spans="2:3">
      <c r="B628" s="11"/>
      <c r="C628" s="90"/>
    </row>
    <row r="629" spans="2:3">
      <c r="B629" s="11"/>
      <c r="C629" s="90"/>
    </row>
    <row r="630" spans="2:3">
      <c r="B630" s="11"/>
      <c r="C630" s="90"/>
    </row>
    <row r="631" spans="2:3">
      <c r="B631" s="11"/>
      <c r="C631" s="90"/>
    </row>
    <row r="632" spans="2:3">
      <c r="B632" s="11"/>
      <c r="C632" s="90"/>
    </row>
    <row r="633" spans="2:3">
      <c r="B633" s="11"/>
      <c r="C633" s="90"/>
    </row>
    <row r="634" spans="2:3">
      <c r="B634" s="11"/>
      <c r="C634" s="90"/>
    </row>
    <row r="635" spans="2:3">
      <c r="B635" s="11"/>
      <c r="C635" s="90"/>
    </row>
    <row r="636" spans="2:3">
      <c r="B636" s="11"/>
      <c r="C636" s="90"/>
    </row>
    <row r="637" spans="2:3">
      <c r="B637" s="11"/>
      <c r="C637" s="90"/>
    </row>
    <row r="638" spans="2:3">
      <c r="B638" s="11"/>
      <c r="C638" s="90"/>
    </row>
    <row r="639" spans="2:3">
      <c r="B639" s="11"/>
      <c r="C639" s="90"/>
    </row>
    <row r="640" spans="2:3">
      <c r="B640" s="11"/>
      <c r="C640" s="90"/>
    </row>
    <row r="641" spans="2:3">
      <c r="B641" s="11"/>
      <c r="C641" s="90"/>
    </row>
    <row r="642" spans="2:3">
      <c r="B642" s="11"/>
      <c r="C642" s="90"/>
    </row>
    <row r="643" spans="2:3">
      <c r="B643" s="11"/>
      <c r="C643" s="90"/>
    </row>
    <row r="644" spans="2:3">
      <c r="B644" s="11"/>
      <c r="C644" s="90"/>
    </row>
    <row r="645" spans="2:3">
      <c r="B645" s="11"/>
      <c r="C645" s="90"/>
    </row>
    <row r="646" spans="2:3">
      <c r="B646" s="11"/>
      <c r="C646" s="90"/>
    </row>
    <row r="647" spans="2:3">
      <c r="B647" s="11"/>
      <c r="C647" s="90"/>
    </row>
    <row r="648" spans="2:3">
      <c r="B648" s="11"/>
      <c r="C648" s="90"/>
    </row>
    <row r="649" spans="2:3">
      <c r="B649" s="11"/>
      <c r="C649" s="90"/>
    </row>
    <row r="650" spans="2:3">
      <c r="B650" s="11"/>
      <c r="C650" s="90"/>
    </row>
    <row r="651" spans="2:3">
      <c r="B651" s="11"/>
      <c r="C651" s="90"/>
    </row>
    <row r="652" spans="2:3">
      <c r="B652" s="11"/>
      <c r="C652" s="90"/>
    </row>
    <row r="653" spans="2:3">
      <c r="B653" s="11"/>
      <c r="C653" s="90"/>
    </row>
    <row r="654" spans="2:3">
      <c r="B654" s="11"/>
      <c r="C654" s="90"/>
    </row>
    <row r="655" spans="2:3">
      <c r="B655" s="11"/>
      <c r="C655" s="90"/>
    </row>
    <row r="656" spans="2:3">
      <c r="B656" s="11"/>
      <c r="C656" s="90"/>
    </row>
    <row r="657" spans="2:3">
      <c r="B657" s="11"/>
      <c r="C657" s="90"/>
    </row>
    <row r="658" spans="2:3">
      <c r="B658" s="11"/>
      <c r="C658" s="90"/>
    </row>
    <row r="659" spans="2:3">
      <c r="B659" s="11"/>
      <c r="C659" s="90"/>
    </row>
    <row r="660" spans="2:3">
      <c r="B660" s="11"/>
      <c r="C660" s="90"/>
    </row>
    <row r="661" spans="2:3">
      <c r="B661" s="11"/>
      <c r="C661" s="90"/>
    </row>
    <row r="662" spans="2:3">
      <c r="B662" s="11"/>
      <c r="C662" s="90"/>
    </row>
    <row r="663" spans="2:3">
      <c r="B663" s="11"/>
      <c r="C663" s="90"/>
    </row>
    <row r="664" spans="2:3">
      <c r="B664" s="11"/>
      <c r="C664" s="90"/>
    </row>
    <row r="665" spans="2:3">
      <c r="B665" s="11"/>
      <c r="C665" s="90"/>
    </row>
    <row r="666" spans="2:3">
      <c r="B666" s="11"/>
      <c r="C666" s="90"/>
    </row>
    <row r="667" spans="2:3">
      <c r="B667" s="11"/>
      <c r="C667" s="90"/>
    </row>
    <row r="668" spans="2:3">
      <c r="B668" s="11"/>
      <c r="C668" s="90"/>
    </row>
    <row r="669" spans="2:3">
      <c r="B669" s="11"/>
      <c r="C669" s="90"/>
    </row>
    <row r="670" spans="2:3">
      <c r="B670" s="11"/>
      <c r="C670" s="90"/>
    </row>
    <row r="671" spans="2:3">
      <c r="B671" s="11"/>
      <c r="C671" s="90"/>
    </row>
    <row r="672" spans="2:3">
      <c r="B672" s="11"/>
      <c r="C672" s="90"/>
    </row>
    <row r="673" spans="2:3">
      <c r="B673" s="11"/>
      <c r="C673" s="90"/>
    </row>
    <row r="674" spans="2:3">
      <c r="B674" s="11"/>
      <c r="C674" s="90"/>
    </row>
    <row r="675" spans="2:3">
      <c r="B675" s="11"/>
      <c r="C675" s="90"/>
    </row>
    <row r="676" spans="2:3">
      <c r="B676" s="11"/>
      <c r="C676" s="90"/>
    </row>
    <row r="677" spans="2:3">
      <c r="B677" s="11"/>
      <c r="C677" s="90"/>
    </row>
    <row r="678" spans="2:3">
      <c r="B678" s="11"/>
      <c r="C678" s="90"/>
    </row>
    <row r="679" spans="2:3">
      <c r="B679" s="11"/>
      <c r="C679" s="90"/>
    </row>
    <row r="680" spans="2:3">
      <c r="B680" s="11"/>
      <c r="C680" s="90"/>
    </row>
    <row r="681" spans="2:3">
      <c r="B681" s="11"/>
      <c r="C681" s="90"/>
    </row>
    <row r="682" spans="2:3">
      <c r="B682" s="11"/>
      <c r="C682" s="90"/>
    </row>
    <row r="683" spans="2:3">
      <c r="B683" s="11"/>
      <c r="C683" s="90"/>
    </row>
    <row r="684" spans="2:3">
      <c r="B684" s="11"/>
      <c r="C684" s="90"/>
    </row>
    <row r="685" spans="2:3">
      <c r="B685" s="11"/>
      <c r="C685" s="90"/>
    </row>
    <row r="686" spans="2:3">
      <c r="B686" s="11"/>
      <c r="C686" s="90"/>
    </row>
    <row r="687" spans="2:3">
      <c r="B687" s="11"/>
      <c r="C687" s="90"/>
    </row>
    <row r="688" spans="2:3">
      <c r="B688" s="11"/>
      <c r="C688" s="90"/>
    </row>
    <row r="689" spans="2:3">
      <c r="B689" s="11"/>
      <c r="C689" s="90"/>
    </row>
    <row r="690" spans="2:3">
      <c r="B690" s="11"/>
      <c r="C690" s="90"/>
    </row>
    <row r="691" spans="2:3">
      <c r="B691" s="11"/>
      <c r="C691" s="90"/>
    </row>
    <row r="692" spans="2:3">
      <c r="B692" s="11"/>
      <c r="C692" s="90"/>
    </row>
    <row r="693" spans="2:3">
      <c r="B693" s="11"/>
      <c r="C693" s="90"/>
    </row>
    <row r="694" spans="2:3">
      <c r="B694" s="11"/>
      <c r="C694" s="90"/>
    </row>
    <row r="695" spans="2:3">
      <c r="B695" s="11"/>
      <c r="C695" s="90"/>
    </row>
    <row r="696" spans="2:3">
      <c r="B696" s="11"/>
      <c r="C696" s="90"/>
    </row>
    <row r="697" spans="2:3">
      <c r="B697" s="11"/>
      <c r="C697" s="90"/>
    </row>
    <row r="698" spans="2:3">
      <c r="B698" s="11"/>
      <c r="C698" s="90"/>
    </row>
    <row r="699" spans="2:3">
      <c r="B699" s="11"/>
      <c r="C699" s="90"/>
    </row>
    <row r="700" spans="2:3">
      <c r="B700" s="11"/>
      <c r="C700" s="90"/>
    </row>
    <row r="701" spans="2:3">
      <c r="B701" s="11"/>
      <c r="C701" s="90"/>
    </row>
    <row r="702" spans="2:3">
      <c r="B702" s="11"/>
      <c r="C702" s="90"/>
    </row>
    <row r="703" spans="2:3">
      <c r="B703" s="11"/>
      <c r="C703" s="90"/>
    </row>
    <row r="704" spans="2:3">
      <c r="B704" s="11"/>
      <c r="C704" s="90"/>
    </row>
    <row r="705" spans="2:3">
      <c r="B705" s="11"/>
      <c r="C705" s="90"/>
    </row>
    <row r="706" spans="2:3">
      <c r="B706" s="11"/>
      <c r="C706" s="90"/>
    </row>
    <row r="707" spans="2:3">
      <c r="B707" s="11"/>
      <c r="C707" s="90"/>
    </row>
    <row r="708" spans="2:3">
      <c r="B708" s="11"/>
      <c r="C708" s="90"/>
    </row>
    <row r="709" spans="2:3">
      <c r="B709" s="11"/>
      <c r="C709" s="90"/>
    </row>
    <row r="710" spans="2:3">
      <c r="B710" s="11"/>
      <c r="C710" s="90"/>
    </row>
    <row r="711" spans="2:3">
      <c r="B711" s="11"/>
      <c r="C711" s="90"/>
    </row>
    <row r="712" spans="2:3">
      <c r="B712" s="11"/>
      <c r="C712" s="90"/>
    </row>
    <row r="713" spans="2:3">
      <c r="B713" s="11"/>
      <c r="C713" s="90"/>
    </row>
    <row r="714" spans="2:3">
      <c r="B714" s="11"/>
      <c r="C714" s="90"/>
    </row>
    <row r="715" spans="2:3">
      <c r="B715" s="11"/>
      <c r="C715" s="90"/>
    </row>
    <row r="716" spans="2:3">
      <c r="B716" s="11"/>
      <c r="C716" s="90"/>
    </row>
    <row r="717" spans="2:3">
      <c r="B717" s="11"/>
      <c r="C717" s="90"/>
    </row>
    <row r="718" spans="2:3">
      <c r="B718" s="11"/>
      <c r="C718" s="90"/>
    </row>
    <row r="719" spans="2:3">
      <c r="B719" s="11"/>
      <c r="C719" s="90"/>
    </row>
    <row r="720" spans="2:3">
      <c r="B720" s="11"/>
      <c r="C720" s="90"/>
    </row>
    <row r="721" spans="2:3">
      <c r="B721" s="11"/>
      <c r="C721" s="90"/>
    </row>
    <row r="722" spans="2:3">
      <c r="B722" s="11"/>
      <c r="C722" s="90"/>
    </row>
    <row r="723" spans="2:3">
      <c r="B723" s="11"/>
      <c r="C723" s="90"/>
    </row>
    <row r="724" spans="2:3">
      <c r="B724" s="11"/>
      <c r="C724" s="90"/>
    </row>
    <row r="725" spans="2:3">
      <c r="B725" s="11"/>
      <c r="C725" s="90"/>
    </row>
    <row r="726" spans="2:3">
      <c r="B726" s="11"/>
      <c r="C726" s="90"/>
    </row>
    <row r="727" spans="2:3">
      <c r="B727" s="11"/>
      <c r="C727" s="90"/>
    </row>
    <row r="728" spans="2:3">
      <c r="B728" s="11"/>
      <c r="C728" s="90"/>
    </row>
    <row r="729" spans="2:3">
      <c r="B729" s="11"/>
      <c r="C729" s="90"/>
    </row>
    <row r="730" spans="2:3">
      <c r="B730" s="11"/>
      <c r="C730" s="90"/>
    </row>
    <row r="731" spans="2:3">
      <c r="B731" s="11"/>
      <c r="C731" s="90"/>
    </row>
    <row r="732" spans="2:3">
      <c r="B732" s="11"/>
      <c r="C732" s="90"/>
    </row>
    <row r="733" spans="2:3">
      <c r="B733" s="11"/>
      <c r="C733" s="90"/>
    </row>
    <row r="734" spans="2:3">
      <c r="B734" s="11"/>
      <c r="C734" s="90"/>
    </row>
    <row r="735" spans="2:3">
      <c r="B735" s="11"/>
      <c r="C735" s="90"/>
    </row>
    <row r="736" spans="2:3">
      <c r="B736" s="11"/>
      <c r="C736" s="90"/>
    </row>
    <row r="737" spans="2:3">
      <c r="B737" s="11"/>
      <c r="C737" s="90"/>
    </row>
    <row r="738" spans="2:3">
      <c r="B738" s="11"/>
      <c r="C738" s="90"/>
    </row>
    <row r="739" spans="2:3">
      <c r="B739" s="11"/>
      <c r="C739" s="90"/>
    </row>
    <row r="740" spans="2:3">
      <c r="B740" s="11"/>
      <c r="C740" s="90"/>
    </row>
    <row r="741" spans="2:3">
      <c r="B741" s="11"/>
      <c r="C741" s="90"/>
    </row>
    <row r="742" spans="2:3">
      <c r="B742" s="11"/>
      <c r="C742" s="90"/>
    </row>
    <row r="743" spans="2:3">
      <c r="B743" s="11"/>
      <c r="C743" s="90"/>
    </row>
    <row r="744" spans="2:3">
      <c r="B744" s="11"/>
      <c r="C744" s="90"/>
    </row>
    <row r="745" spans="2:3">
      <c r="B745" s="11"/>
      <c r="C745" s="90"/>
    </row>
    <row r="746" spans="2:3">
      <c r="B746" s="11"/>
      <c r="C746" s="90"/>
    </row>
    <row r="747" spans="2:3">
      <c r="B747" s="11"/>
      <c r="C747" s="90"/>
    </row>
    <row r="748" spans="2:3">
      <c r="B748" s="11"/>
      <c r="C748" s="90"/>
    </row>
    <row r="749" spans="2:3">
      <c r="B749" s="11"/>
      <c r="C749" s="90"/>
    </row>
    <row r="750" spans="2:3">
      <c r="B750" s="11"/>
      <c r="C750" s="90"/>
    </row>
    <row r="751" spans="2:3">
      <c r="B751" s="11"/>
      <c r="C751" s="90"/>
    </row>
    <row r="752" spans="2:3">
      <c r="B752" s="11"/>
      <c r="C752" s="90"/>
    </row>
    <row r="753" spans="2:3">
      <c r="B753" s="11"/>
      <c r="C753" s="90"/>
    </row>
    <row r="754" spans="2:3">
      <c r="B754" s="11"/>
      <c r="C754" s="90"/>
    </row>
    <row r="755" spans="2:3">
      <c r="B755" s="11"/>
      <c r="C755" s="90"/>
    </row>
    <row r="756" spans="2:3">
      <c r="B756" s="11"/>
      <c r="C756" s="90"/>
    </row>
    <row r="757" spans="2:3">
      <c r="B757" s="11"/>
      <c r="C757" s="90"/>
    </row>
    <row r="758" spans="2:3">
      <c r="B758" s="11"/>
      <c r="C758" s="90"/>
    </row>
    <row r="759" spans="2:3">
      <c r="B759" s="11"/>
      <c r="C759" s="90"/>
    </row>
    <row r="760" spans="2:3">
      <c r="B760" s="11"/>
      <c r="C760" s="90"/>
    </row>
    <row r="761" spans="2:3">
      <c r="B761" s="11"/>
      <c r="C761" s="90"/>
    </row>
    <row r="762" spans="2:3">
      <c r="B762" s="11"/>
      <c r="C762" s="90"/>
    </row>
    <row r="763" spans="2:3">
      <c r="B763" s="11"/>
      <c r="C763" s="90"/>
    </row>
    <row r="764" spans="2:3">
      <c r="B764" s="11"/>
      <c r="C764" s="90"/>
    </row>
    <row r="765" spans="2:3">
      <c r="B765" s="11"/>
      <c r="C765" s="90"/>
    </row>
    <row r="766" spans="2:3">
      <c r="B766" s="11"/>
      <c r="C766" s="90"/>
    </row>
    <row r="767" spans="2:3">
      <c r="B767" s="11"/>
      <c r="C767" s="90"/>
    </row>
    <row r="768" spans="2:3">
      <c r="B768" s="11"/>
      <c r="C768" s="90"/>
    </row>
    <row r="769" spans="2:3">
      <c r="B769" s="11"/>
      <c r="C769" s="90"/>
    </row>
    <row r="770" spans="2:3">
      <c r="B770" s="11"/>
      <c r="C770" s="90"/>
    </row>
    <row r="771" spans="2:3">
      <c r="B771" s="11"/>
      <c r="C771" s="90"/>
    </row>
    <row r="772" spans="2:3">
      <c r="B772" s="11"/>
      <c r="C772" s="90"/>
    </row>
    <row r="773" spans="2:3">
      <c r="B773" s="11"/>
      <c r="C773" s="90"/>
    </row>
    <row r="774" spans="2:3">
      <c r="B774" s="11"/>
      <c r="C774" s="90"/>
    </row>
    <row r="775" spans="2:3">
      <c r="B775" s="11"/>
      <c r="C775" s="90"/>
    </row>
    <row r="776" spans="2:3">
      <c r="B776" s="11"/>
      <c r="C776" s="90"/>
    </row>
    <row r="777" spans="2:3">
      <c r="B777" s="11"/>
      <c r="C777" s="90"/>
    </row>
    <row r="778" spans="2:3">
      <c r="B778" s="11"/>
      <c r="C778" s="90"/>
    </row>
    <row r="779" spans="2:3">
      <c r="B779" s="11"/>
      <c r="C779" s="90"/>
    </row>
    <row r="780" spans="2:3">
      <c r="B780" s="11"/>
      <c r="C780" s="90"/>
    </row>
    <row r="781" spans="2:3">
      <c r="B781" s="11"/>
      <c r="C781" s="90"/>
    </row>
    <row r="782" spans="2:3">
      <c r="B782" s="11"/>
      <c r="C782" s="90"/>
    </row>
    <row r="783" spans="2:3">
      <c r="B783" s="11"/>
      <c r="C783" s="90"/>
    </row>
    <row r="784" spans="2:3">
      <c r="B784" s="11"/>
      <c r="C784" s="90"/>
    </row>
    <row r="785" spans="2:3">
      <c r="B785" s="11"/>
      <c r="C785" s="90"/>
    </row>
    <row r="786" spans="2:3">
      <c r="B786" s="11"/>
      <c r="C786" s="90"/>
    </row>
    <row r="787" spans="2:3">
      <c r="B787" s="11"/>
      <c r="C787" s="90"/>
    </row>
    <row r="788" spans="2:3">
      <c r="B788" s="11"/>
      <c r="C788" s="90"/>
    </row>
    <row r="789" spans="2:3">
      <c r="B789" s="11"/>
      <c r="C789" s="90"/>
    </row>
    <row r="790" spans="2:3">
      <c r="B790" s="11"/>
      <c r="C790" s="90"/>
    </row>
    <row r="791" spans="2:3">
      <c r="B791" s="11"/>
      <c r="C791" s="90"/>
    </row>
    <row r="792" spans="2:3">
      <c r="B792" s="11"/>
      <c r="C792" s="90"/>
    </row>
    <row r="793" spans="2:3">
      <c r="B793" s="11"/>
      <c r="C793" s="90"/>
    </row>
    <row r="794" spans="2:3">
      <c r="B794" s="11"/>
      <c r="C794" s="90"/>
    </row>
    <row r="795" spans="2:3">
      <c r="B795" s="11"/>
      <c r="C795" s="90"/>
    </row>
    <row r="796" spans="2:3">
      <c r="B796" s="11"/>
      <c r="C796" s="90"/>
    </row>
    <row r="797" spans="2:3">
      <c r="B797" s="11"/>
      <c r="C797" s="90"/>
    </row>
    <row r="798" spans="2:3">
      <c r="B798" s="11"/>
      <c r="C798" s="90"/>
    </row>
    <row r="799" spans="2:3">
      <c r="B799" s="11"/>
      <c r="C799" s="90"/>
    </row>
    <row r="800" spans="2:3">
      <c r="B800" s="11"/>
      <c r="C800" s="90"/>
    </row>
    <row r="801" spans="2:3">
      <c r="B801" s="11"/>
      <c r="C801" s="90"/>
    </row>
    <row r="802" spans="2:3">
      <c r="B802" s="11"/>
      <c r="C802" s="90"/>
    </row>
    <row r="803" spans="2:3">
      <c r="B803" s="11"/>
      <c r="C803" s="90"/>
    </row>
    <row r="804" spans="2:3">
      <c r="B804" s="11"/>
      <c r="C804" s="90"/>
    </row>
    <row r="805" spans="2:3">
      <c r="B805" s="11"/>
      <c r="C805" s="90"/>
    </row>
    <row r="806" spans="2:3">
      <c r="B806" s="11"/>
      <c r="C806" s="90"/>
    </row>
    <row r="807" spans="2:3">
      <c r="B807" s="11"/>
      <c r="C807" s="90"/>
    </row>
    <row r="808" spans="2:3">
      <c r="B808" s="11"/>
      <c r="C808" s="90"/>
    </row>
    <row r="809" spans="2:3">
      <c r="B809" s="11"/>
      <c r="C809" s="90"/>
    </row>
    <row r="810" spans="2:3">
      <c r="B810" s="11"/>
      <c r="C810" s="90"/>
    </row>
    <row r="811" spans="2:3">
      <c r="B811" s="11"/>
      <c r="C811" s="90"/>
    </row>
    <row r="812" spans="2:3">
      <c r="B812" s="11"/>
      <c r="C812" s="90"/>
    </row>
    <row r="813" spans="2:3">
      <c r="B813" s="11"/>
      <c r="C813" s="90"/>
    </row>
    <row r="814" spans="2:3">
      <c r="B814" s="11"/>
      <c r="C814" s="90"/>
    </row>
    <row r="815" spans="2:3">
      <c r="B815" s="11"/>
      <c r="C815" s="90"/>
    </row>
    <row r="816" spans="2:3">
      <c r="B816" s="11"/>
      <c r="C816" s="90"/>
    </row>
    <row r="817" spans="2:3">
      <c r="B817" s="11"/>
      <c r="C817" s="90"/>
    </row>
    <row r="818" spans="2:3">
      <c r="B818" s="11"/>
      <c r="C818" s="90"/>
    </row>
    <row r="819" spans="2:3">
      <c r="B819" s="11"/>
      <c r="C819" s="90"/>
    </row>
    <row r="820" spans="2:3">
      <c r="B820" s="11"/>
      <c r="C820" s="90"/>
    </row>
    <row r="821" spans="2:3">
      <c r="B821" s="11"/>
      <c r="C821" s="90"/>
    </row>
    <row r="822" spans="2:3">
      <c r="B822" s="11"/>
      <c r="C822" s="90"/>
    </row>
    <row r="823" spans="2:3">
      <c r="B823" s="11"/>
      <c r="C823" s="90"/>
    </row>
    <row r="824" spans="2:3">
      <c r="B824" s="11"/>
      <c r="C824" s="90"/>
    </row>
    <row r="825" spans="2:3">
      <c r="B825" s="11"/>
      <c r="C825" s="90"/>
    </row>
    <row r="826" spans="2:3">
      <c r="B826" s="11"/>
      <c r="C826" s="90"/>
    </row>
    <row r="827" spans="2:3">
      <c r="B827" s="11"/>
      <c r="C827" s="90"/>
    </row>
    <row r="828" spans="2:3">
      <c r="B828" s="11"/>
      <c r="C828" s="90"/>
    </row>
    <row r="829" spans="2:3">
      <c r="B829" s="11"/>
      <c r="C829" s="90"/>
    </row>
    <row r="830" spans="2:3">
      <c r="B830" s="11"/>
      <c r="C830" s="90"/>
    </row>
    <row r="831" spans="2:3">
      <c r="B831" s="11"/>
      <c r="C831" s="90"/>
    </row>
    <row r="832" spans="2:3">
      <c r="B832" s="11"/>
      <c r="C832" s="90"/>
    </row>
    <row r="833" spans="2:3">
      <c r="B833" s="11"/>
      <c r="C833" s="90"/>
    </row>
    <row r="834" spans="2:3">
      <c r="B834" s="11"/>
      <c r="C834" s="90"/>
    </row>
    <row r="835" spans="2:3">
      <c r="B835" s="11"/>
      <c r="C835" s="90"/>
    </row>
    <row r="836" spans="2:3">
      <c r="B836" s="11"/>
      <c r="C836" s="90"/>
    </row>
    <row r="837" spans="2:3">
      <c r="B837" s="11"/>
      <c r="C837" s="90"/>
    </row>
    <row r="838" spans="2:3">
      <c r="B838" s="11"/>
      <c r="C838" s="90"/>
    </row>
    <row r="839" spans="2:3">
      <c r="B839" s="11"/>
      <c r="C839" s="90"/>
    </row>
    <row r="840" spans="2:3">
      <c r="B840" s="11"/>
      <c r="C840" s="90"/>
    </row>
    <row r="841" spans="2:3">
      <c r="B841" s="11"/>
      <c r="C841" s="90"/>
    </row>
    <row r="842" spans="2:3">
      <c r="B842" s="11"/>
      <c r="C842" s="90"/>
    </row>
    <row r="843" spans="2:3">
      <c r="B843" s="11"/>
      <c r="C843" s="90"/>
    </row>
    <row r="844" spans="2:3">
      <c r="B844" s="11"/>
      <c r="C844" s="90"/>
    </row>
    <row r="845" spans="2:3">
      <c r="B845" s="11"/>
      <c r="C845" s="90"/>
    </row>
    <row r="846" spans="2:3">
      <c r="B846" s="11"/>
      <c r="C846" s="90"/>
    </row>
    <row r="847" spans="2:3">
      <c r="B847" s="11"/>
      <c r="C847" s="90"/>
    </row>
    <row r="848" spans="2:3">
      <c r="B848" s="11"/>
      <c r="C848" s="90"/>
    </row>
    <row r="849" spans="2:3">
      <c r="B849" s="11"/>
      <c r="C849" s="90"/>
    </row>
    <row r="850" spans="2:3">
      <c r="B850" s="11"/>
      <c r="C850" s="90"/>
    </row>
    <row r="851" spans="2:3">
      <c r="B851" s="11"/>
      <c r="C851" s="90"/>
    </row>
    <row r="852" spans="2:3">
      <c r="B852" s="11"/>
      <c r="C852" s="90"/>
    </row>
    <row r="853" spans="2:3">
      <c r="B853" s="11"/>
      <c r="C853" s="90"/>
    </row>
    <row r="854" spans="2:3">
      <c r="B854" s="11"/>
      <c r="C854" s="90"/>
    </row>
    <row r="855" spans="2:3">
      <c r="B855" s="11"/>
      <c r="C855" s="90"/>
    </row>
    <row r="856" spans="2:3">
      <c r="B856" s="11"/>
      <c r="C856" s="90"/>
    </row>
    <row r="857" spans="2:3">
      <c r="B857" s="11"/>
      <c r="C857" s="90"/>
    </row>
    <row r="858" spans="2:3">
      <c r="B858" s="11"/>
      <c r="C858" s="90"/>
    </row>
    <row r="859" spans="2:3">
      <c r="B859" s="11"/>
      <c r="C859" s="90"/>
    </row>
    <row r="860" spans="2:3">
      <c r="B860" s="11"/>
      <c r="C860" s="90"/>
    </row>
    <row r="861" spans="2:3">
      <c r="B861" s="11"/>
      <c r="C861" s="90"/>
    </row>
    <row r="862" spans="2:3">
      <c r="B862" s="11"/>
      <c r="C862" s="90"/>
    </row>
    <row r="863" spans="2:3">
      <c r="B863" s="11"/>
      <c r="C863" s="90"/>
    </row>
    <row r="864" spans="2:3">
      <c r="B864" s="11"/>
      <c r="C864" s="90"/>
    </row>
    <row r="865" spans="2:3">
      <c r="B865" s="11"/>
      <c r="C865" s="90"/>
    </row>
    <row r="866" spans="2:3">
      <c r="B866" s="11"/>
      <c r="C866" s="90"/>
    </row>
    <row r="867" spans="2:3">
      <c r="B867" s="11"/>
      <c r="C867" s="90"/>
    </row>
    <row r="868" spans="2:3">
      <c r="B868" s="11"/>
      <c r="C868" s="90"/>
    </row>
    <row r="869" spans="2:3">
      <c r="B869" s="11"/>
      <c r="C869" s="90"/>
    </row>
    <row r="870" spans="2:3">
      <c r="B870" s="11"/>
      <c r="C870" s="90"/>
    </row>
    <row r="871" spans="2:3">
      <c r="B871" s="11"/>
      <c r="C871" s="90"/>
    </row>
    <row r="872" spans="2:3">
      <c r="B872" s="11"/>
      <c r="C872" s="90"/>
    </row>
    <row r="873" spans="2:3">
      <c r="B873" s="11"/>
      <c r="C873" s="90"/>
    </row>
    <row r="874" spans="2:3">
      <c r="B874" s="11"/>
      <c r="C874" s="90"/>
    </row>
    <row r="875" spans="2:3">
      <c r="B875" s="11"/>
      <c r="C875" s="90"/>
    </row>
    <row r="876" spans="2:3">
      <c r="B876" s="11"/>
      <c r="C876" s="90"/>
    </row>
    <row r="877" spans="2:3">
      <c r="B877" s="11"/>
      <c r="C877" s="90"/>
    </row>
    <row r="878" spans="2:3">
      <c r="B878" s="11"/>
      <c r="C878" s="90"/>
    </row>
    <row r="879" spans="2:3">
      <c r="B879" s="11"/>
      <c r="C879" s="90"/>
    </row>
    <row r="880" spans="2:3">
      <c r="B880" s="11"/>
      <c r="C880" s="90"/>
    </row>
    <row r="881" spans="2:3">
      <c r="B881" s="11"/>
      <c r="C881" s="90"/>
    </row>
    <row r="882" spans="2:3">
      <c r="B882" s="11"/>
      <c r="C882" s="90"/>
    </row>
    <row r="883" spans="2:3">
      <c r="B883" s="11"/>
      <c r="C883" s="90"/>
    </row>
    <row r="884" spans="2:3">
      <c r="B884" s="11"/>
      <c r="C884" s="90"/>
    </row>
    <row r="885" spans="2:3">
      <c r="B885" s="11"/>
      <c r="C885" s="90"/>
    </row>
    <row r="886" spans="2:3">
      <c r="B886" s="11"/>
      <c r="C886" s="90"/>
    </row>
    <row r="887" spans="2:3">
      <c r="B887" s="11"/>
      <c r="C887" s="90"/>
    </row>
    <row r="888" spans="2:3">
      <c r="B888" s="11"/>
      <c r="C888" s="90"/>
    </row>
    <row r="889" spans="2:3">
      <c r="B889" s="11"/>
      <c r="C889" s="90"/>
    </row>
    <row r="890" spans="2:3">
      <c r="B890" s="11"/>
      <c r="C890" s="90"/>
    </row>
    <row r="891" spans="2:3">
      <c r="B891" s="11"/>
      <c r="C891" s="90"/>
    </row>
    <row r="892" spans="2:3">
      <c r="B892" s="11"/>
      <c r="C892" s="90"/>
    </row>
    <row r="893" spans="2:3">
      <c r="B893" s="11"/>
      <c r="C893" s="90"/>
    </row>
    <row r="894" spans="2:3">
      <c r="B894" s="11"/>
      <c r="C894" s="90"/>
    </row>
    <row r="895" spans="2:3">
      <c r="B895" s="11"/>
      <c r="C895" s="90"/>
    </row>
    <row r="896" spans="2:3">
      <c r="B896" s="11"/>
      <c r="C896" s="90"/>
    </row>
    <row r="897" spans="2:3">
      <c r="B897" s="11"/>
      <c r="C897" s="90"/>
    </row>
    <row r="898" spans="2:3">
      <c r="B898" s="11"/>
      <c r="C898" s="90"/>
    </row>
    <row r="899" spans="2:3">
      <c r="B899" s="11"/>
      <c r="C899" s="90"/>
    </row>
    <row r="900" spans="2:3">
      <c r="B900" s="11"/>
      <c r="C900" s="90"/>
    </row>
    <row r="901" spans="2:3">
      <c r="B901" s="11"/>
      <c r="C901" s="90"/>
    </row>
    <row r="902" spans="2:3">
      <c r="B902" s="11"/>
      <c r="C902" s="90"/>
    </row>
    <row r="903" spans="2:3">
      <c r="B903" s="11"/>
      <c r="C903" s="90"/>
    </row>
    <row r="904" spans="2:3">
      <c r="B904" s="11"/>
      <c r="C904" s="90"/>
    </row>
    <row r="905" spans="2:3">
      <c r="B905" s="11"/>
      <c r="C905" s="90"/>
    </row>
    <row r="906" spans="2:3">
      <c r="B906" s="11"/>
      <c r="C906" s="90"/>
    </row>
    <row r="907" spans="2:3">
      <c r="B907" s="11"/>
      <c r="C907" s="90"/>
    </row>
    <row r="908" spans="2:3">
      <c r="B908" s="11"/>
      <c r="C908" s="90"/>
    </row>
    <row r="909" spans="2:3">
      <c r="B909" s="11"/>
      <c r="C909" s="90"/>
    </row>
    <row r="910" spans="2:3">
      <c r="B910" s="11"/>
      <c r="C910" s="90"/>
    </row>
    <row r="911" spans="2:3">
      <c r="B911" s="11"/>
      <c r="C911" s="90"/>
    </row>
    <row r="912" spans="2:3">
      <c r="B912" s="11"/>
      <c r="C912" s="90"/>
    </row>
    <row r="913" spans="2:3">
      <c r="B913" s="11"/>
      <c r="C913" s="90"/>
    </row>
    <row r="914" spans="2:3">
      <c r="B914" s="11"/>
      <c r="C914" s="90"/>
    </row>
    <row r="915" spans="2:3">
      <c r="B915" s="11"/>
      <c r="C915" s="90"/>
    </row>
    <row r="916" spans="2:3">
      <c r="B916" s="11"/>
      <c r="C916" s="90"/>
    </row>
    <row r="917" spans="2:3">
      <c r="B917" s="11"/>
      <c r="C917" s="90"/>
    </row>
    <row r="918" spans="2:3">
      <c r="B918" s="11"/>
      <c r="C918" s="90"/>
    </row>
    <row r="919" spans="2:3">
      <c r="B919" s="11"/>
      <c r="C919" s="90"/>
    </row>
    <row r="920" spans="2:3">
      <c r="B920" s="11"/>
      <c r="C920" s="90"/>
    </row>
    <row r="921" spans="2:3">
      <c r="B921" s="11"/>
      <c r="C921" s="90"/>
    </row>
    <row r="922" spans="2:3">
      <c r="B922" s="11"/>
      <c r="C922" s="90"/>
    </row>
    <row r="923" spans="2:3">
      <c r="B923" s="11"/>
      <c r="C923" s="90"/>
    </row>
    <row r="924" spans="2:3">
      <c r="B924" s="11"/>
      <c r="C924" s="90"/>
    </row>
    <row r="925" spans="2:3">
      <c r="B925" s="11"/>
      <c r="C925" s="90"/>
    </row>
    <row r="926" spans="2:3">
      <c r="B926" s="11"/>
      <c r="C926" s="90"/>
    </row>
    <row r="927" spans="2:3">
      <c r="B927" s="11"/>
      <c r="C927" s="90"/>
    </row>
    <row r="928" spans="2:3">
      <c r="B928" s="11"/>
      <c r="C928" s="90"/>
    </row>
    <row r="929" spans="2:3">
      <c r="B929" s="11"/>
      <c r="C929" s="90"/>
    </row>
    <row r="930" spans="2:3">
      <c r="B930" s="11"/>
      <c r="C930" s="90"/>
    </row>
    <row r="931" spans="2:3">
      <c r="B931" s="11"/>
      <c r="C931" s="90"/>
    </row>
    <row r="932" spans="2:3">
      <c r="B932" s="11"/>
      <c r="C932" s="90"/>
    </row>
    <row r="933" spans="2:3">
      <c r="B933" s="11"/>
      <c r="C933" s="90"/>
    </row>
    <row r="934" spans="2:3">
      <c r="B934" s="11"/>
      <c r="C934" s="90"/>
    </row>
    <row r="935" spans="2:3">
      <c r="B935" s="11"/>
      <c r="C935" s="90"/>
    </row>
    <row r="936" spans="2:3">
      <c r="B936" s="11"/>
      <c r="C936" s="90"/>
    </row>
    <row r="937" spans="2:3">
      <c r="B937" s="11"/>
      <c r="C937" s="90"/>
    </row>
    <row r="938" spans="2:3">
      <c r="B938" s="11"/>
      <c r="C938" s="90"/>
    </row>
    <row r="939" spans="2:3">
      <c r="B939" s="11"/>
      <c r="C939" s="90"/>
    </row>
    <row r="940" spans="2:3">
      <c r="B940" s="11"/>
      <c r="C940" s="90"/>
    </row>
    <row r="941" spans="2:3">
      <c r="B941" s="11"/>
      <c r="C941" s="90"/>
    </row>
    <row r="942" spans="2:3">
      <c r="B942" s="11"/>
      <c r="C942" s="90"/>
    </row>
    <row r="943" spans="2:3">
      <c r="B943" s="11"/>
      <c r="C943" s="90"/>
    </row>
    <row r="944" spans="2:3">
      <c r="B944" s="11"/>
      <c r="C944" s="90"/>
    </row>
    <row r="945" spans="2:3">
      <c r="B945" s="11"/>
      <c r="C945" s="90"/>
    </row>
    <row r="946" spans="2:3">
      <c r="B946" s="11"/>
      <c r="C946" s="90"/>
    </row>
    <row r="947" spans="2:3">
      <c r="B947" s="11"/>
      <c r="C947" s="90"/>
    </row>
    <row r="948" spans="2:3">
      <c r="B948" s="11"/>
      <c r="C948" s="90"/>
    </row>
    <row r="949" spans="2:3">
      <c r="B949" s="11"/>
      <c r="C949" s="90"/>
    </row>
    <row r="950" spans="2:3">
      <c r="B950" s="11"/>
      <c r="C950" s="90"/>
    </row>
    <row r="951" spans="2:3">
      <c r="B951" s="11"/>
      <c r="C951" s="90"/>
    </row>
    <row r="952" spans="2:3">
      <c r="B952" s="11"/>
      <c r="C952" s="90"/>
    </row>
    <row r="953" spans="2:3">
      <c r="B953" s="11"/>
      <c r="C953" s="90"/>
    </row>
    <row r="954" spans="2:3">
      <c r="B954" s="11"/>
      <c r="C954" s="90"/>
    </row>
    <row r="955" spans="2:3">
      <c r="B955" s="11"/>
      <c r="C955" s="90"/>
    </row>
    <row r="956" spans="2:3">
      <c r="B956" s="11"/>
      <c r="C956" s="90"/>
    </row>
    <row r="957" spans="2:3">
      <c r="B957" s="11"/>
      <c r="C957" s="90"/>
    </row>
    <row r="958" spans="2:3">
      <c r="B958" s="11"/>
      <c r="C958" s="90"/>
    </row>
    <row r="959" spans="2:3">
      <c r="B959" s="11"/>
      <c r="C959" s="90"/>
    </row>
    <row r="960" spans="2:3">
      <c r="B960" s="11"/>
      <c r="C960" s="90"/>
    </row>
    <row r="961" spans="2:3">
      <c r="B961" s="11"/>
      <c r="C961" s="90"/>
    </row>
    <row r="962" spans="2:3">
      <c r="B962" s="11"/>
      <c r="C962" s="90"/>
    </row>
    <row r="963" spans="2:3">
      <c r="B963" s="11"/>
      <c r="C963" s="90"/>
    </row>
    <row r="964" spans="2:3">
      <c r="B964" s="11"/>
      <c r="C964" s="90"/>
    </row>
    <row r="965" spans="2:3">
      <c r="B965" s="11"/>
      <c r="C965" s="90"/>
    </row>
    <row r="966" spans="2:3">
      <c r="B966" s="11"/>
      <c r="C966" s="90"/>
    </row>
    <row r="967" spans="2:3">
      <c r="B967" s="11"/>
      <c r="C967" s="90"/>
    </row>
    <row r="968" spans="2:3">
      <c r="B968" s="11"/>
      <c r="C968" s="90"/>
    </row>
    <row r="969" spans="2:3">
      <c r="B969" s="11"/>
      <c r="C969" s="90"/>
    </row>
    <row r="970" spans="2:3">
      <c r="B970" s="11"/>
      <c r="C970" s="90"/>
    </row>
    <row r="971" spans="2:3">
      <c r="B971" s="11"/>
      <c r="C971" s="90"/>
    </row>
    <row r="972" spans="2:3">
      <c r="B972" s="11"/>
      <c r="C972" s="90"/>
    </row>
    <row r="973" spans="2:3">
      <c r="B973" s="11"/>
      <c r="C973" s="90"/>
    </row>
    <row r="974" spans="2:3">
      <c r="B974" s="11"/>
      <c r="C974" s="90"/>
    </row>
    <row r="975" spans="2:3">
      <c r="B975" s="11"/>
      <c r="C975" s="90"/>
    </row>
    <row r="976" spans="2:3">
      <c r="B976" s="11"/>
      <c r="C976" s="90"/>
    </row>
    <row r="977" spans="2:3">
      <c r="B977" s="11"/>
      <c r="C977" s="90"/>
    </row>
    <row r="978" spans="2:3">
      <c r="B978" s="11"/>
      <c r="C978" s="90"/>
    </row>
    <row r="979" spans="2:3">
      <c r="B979" s="11"/>
      <c r="C979" s="90"/>
    </row>
  </sheetData>
  <customSheetViews>
    <customSheetView guid="{A27FCDC5-7847-4B1F-80EC-EB56859AFF4C}" filter="1" showAutoFilter="1">
      <autoFilter ref="A2:BA28" xr:uid="{7654F50B-5B99-480C-94D7-E26175E4038A}">
        <filterColumn colId="2">
          <colorFilter/>
        </filterColumn>
      </autoFilter>
    </customSheetView>
    <customSheetView guid="{43C74F61-3695-48F6-921B-FC7E9F2F288E}" filter="1" showAutoFilter="1">
      <autoFilter ref="A2:AA27" xr:uid="{86EB5B63-B36C-4C9E-95FA-AED1A9F7BEB4}"/>
    </customSheetView>
    <customSheetView guid="{B55D5AC0-2DCD-4393-87D1-9D8120E31AB8}" filter="1" showAutoFilter="1">
      <autoFilter ref="A2:BA27" xr:uid="{B627919C-103E-4564-A660-4CD86BA42A98}">
        <filterColumn colId="13">
          <filters>
            <filter val="Jose Puebla"/>
          </filters>
        </filterColumn>
        <filterColumn colId="22">
          <filters>
            <filter val="Sí"/>
          </filters>
        </filterColumn>
      </autoFilter>
    </customSheetView>
    <customSheetView guid="{7EAC52BE-AB17-44E6-8B34-241C0D096AFE}" filter="1" showAutoFilter="1">
      <autoFilter ref="A1:AA27" xr:uid="{06DB2FB3-929A-4329-8E7B-A7DBC62069A7}">
        <filterColumn colId="2">
          <colorFilter/>
        </filterColumn>
      </autoFilter>
    </customSheetView>
    <customSheetView guid="{4555EE6F-2362-48F4-8152-FB35C89F66D3}" filter="1" showAutoFilter="1">
      <autoFilter ref="A1:AA27" xr:uid="{17C747C9-DB72-4F69-A7ED-CA724F9A71BA}"/>
    </customSheetView>
    <customSheetView guid="{8DFCF9F4-226C-4943-87CB-E49A587DAFFE}" filter="1" showAutoFilter="1">
      <autoFilter ref="A2:BG27" xr:uid="{64606654-8054-4F2C-833D-6FB7F94D246D}">
        <filterColumn colId="13">
          <filters>
            <filter val="Jose Puebla"/>
          </filters>
        </filterColumn>
        <filterColumn colId="22">
          <filters>
            <filter val="Sí"/>
          </filters>
        </filterColumn>
      </autoFilter>
    </customSheetView>
    <customSheetView guid="{547D9B4D-E646-4DE4-89E3-7402CE505ED6}" filter="1" showAutoFilter="1">
      <autoFilter ref="A1:AA27" xr:uid="{9EB238E0-930D-46F7-B54A-F0CC4E14DFBE}">
        <filterColumn colId="2">
          <colorFilter/>
        </filterColumn>
      </autoFilter>
    </customSheetView>
  </customSheetViews>
  <mergeCells count="3">
    <mergeCell ref="E1:M1"/>
    <mergeCell ref="O1:V1"/>
    <mergeCell ref="W1:AA1"/>
  </mergeCells>
  <dataValidations count="3">
    <dataValidation type="list" allowBlank="1" showErrorMessage="1" sqref="M3:M27" xr:uid="{00000000-0002-0000-0A00-000000000000}">
      <formula1>"Backlog,En diseño,En construcción,En QA,Liberadas"</formula1>
    </dataValidation>
    <dataValidation type="list" allowBlank="1" showErrorMessage="1" sqref="W3:W27" xr:uid="{00000000-0002-0000-0A00-000001000000}">
      <formula1>"Sí,No,Post MVP"</formula1>
    </dataValidation>
    <dataValidation type="list" allowBlank="1" showErrorMessage="1" sqref="X3:X27" xr:uid="{00000000-0002-0000-0A00-000002000000}">
      <formula1>"Cerrado,En proceso,Por definir"</formula1>
    </dataValidation>
  </dataValidations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16"/>
  <sheetViews>
    <sheetView workbookViewId="0"/>
  </sheetViews>
  <sheetFormatPr defaultColWidth="11.25" defaultRowHeight="15.75" customHeight="1"/>
  <sheetData>
    <row r="1" spans="1:5">
      <c r="A1" s="11" t="s">
        <v>752</v>
      </c>
      <c r="B1" s="11" t="s">
        <v>58</v>
      </c>
      <c r="C1" s="11" t="s">
        <v>753</v>
      </c>
      <c r="D1" s="11" t="s">
        <v>754</v>
      </c>
      <c r="E1" s="11" t="s">
        <v>755</v>
      </c>
    </row>
    <row r="2" spans="1:5">
      <c r="A2" s="11">
        <v>1</v>
      </c>
      <c r="B2" s="11" t="s">
        <v>26</v>
      </c>
      <c r="C2" s="11" t="s">
        <v>756</v>
      </c>
      <c r="D2" s="11">
        <v>25</v>
      </c>
      <c r="E2" s="11">
        <v>50</v>
      </c>
    </row>
    <row r="3" spans="1:5">
      <c r="A3" s="11">
        <f t="shared" ref="A3:A116" si="0">A2+1</f>
        <v>2</v>
      </c>
      <c r="B3" s="11" t="s">
        <v>26</v>
      </c>
      <c r="C3" s="11" t="s">
        <v>757</v>
      </c>
      <c r="D3" s="11">
        <v>25</v>
      </c>
      <c r="E3" s="11">
        <v>50</v>
      </c>
    </row>
    <row r="4" spans="1:5">
      <c r="A4" s="11">
        <f t="shared" si="0"/>
        <v>3</v>
      </c>
      <c r="B4" s="11" t="s">
        <v>26</v>
      </c>
      <c r="C4" s="11" t="s">
        <v>758</v>
      </c>
      <c r="D4" s="11">
        <v>25</v>
      </c>
      <c r="E4" s="11">
        <v>50</v>
      </c>
    </row>
    <row r="5" spans="1:5">
      <c r="A5" s="11">
        <f t="shared" si="0"/>
        <v>4</v>
      </c>
      <c r="B5" s="11" t="s">
        <v>26</v>
      </c>
      <c r="C5" s="11" t="s">
        <v>759</v>
      </c>
      <c r="D5" s="11">
        <v>25</v>
      </c>
      <c r="E5" s="11">
        <v>50</v>
      </c>
    </row>
    <row r="6" spans="1:5">
      <c r="A6" s="11">
        <f t="shared" si="0"/>
        <v>5</v>
      </c>
      <c r="B6" s="11" t="s">
        <v>26</v>
      </c>
      <c r="C6" s="11" t="s">
        <v>760</v>
      </c>
      <c r="D6" s="11">
        <v>25</v>
      </c>
      <c r="E6" s="11">
        <v>50</v>
      </c>
    </row>
    <row r="7" spans="1:5">
      <c r="A7" s="11">
        <f t="shared" si="0"/>
        <v>6</v>
      </c>
      <c r="B7" s="11" t="s">
        <v>26</v>
      </c>
      <c r="C7" s="11" t="s">
        <v>761</v>
      </c>
      <c r="D7" s="11">
        <v>25</v>
      </c>
      <c r="E7" s="11">
        <v>50</v>
      </c>
    </row>
    <row r="8" spans="1:5">
      <c r="A8" s="11">
        <f t="shared" si="0"/>
        <v>7</v>
      </c>
      <c r="B8" s="11" t="s">
        <v>26</v>
      </c>
      <c r="C8" s="11" t="s">
        <v>762</v>
      </c>
      <c r="D8" s="11">
        <v>25</v>
      </c>
      <c r="E8" s="11">
        <v>50</v>
      </c>
    </row>
    <row r="9" spans="1:5">
      <c r="A9" s="11">
        <f t="shared" si="0"/>
        <v>8</v>
      </c>
      <c r="B9" s="11" t="s">
        <v>26</v>
      </c>
      <c r="C9" s="11" t="s">
        <v>763</v>
      </c>
      <c r="D9" s="11">
        <v>25</v>
      </c>
      <c r="E9" s="11">
        <v>50</v>
      </c>
    </row>
    <row r="10" spans="1:5">
      <c r="A10" s="11">
        <f t="shared" si="0"/>
        <v>9</v>
      </c>
      <c r="B10" s="11" t="s">
        <v>26</v>
      </c>
      <c r="C10" s="11" t="s">
        <v>764</v>
      </c>
      <c r="D10" s="11">
        <v>25</v>
      </c>
      <c r="E10" s="11">
        <v>50</v>
      </c>
    </row>
    <row r="11" spans="1:5">
      <c r="A11" s="11">
        <f t="shared" si="0"/>
        <v>10</v>
      </c>
      <c r="B11" s="11" t="s">
        <v>26</v>
      </c>
      <c r="C11" s="11" t="s">
        <v>765</v>
      </c>
      <c r="D11" s="11">
        <v>25</v>
      </c>
      <c r="E11" s="11">
        <v>50</v>
      </c>
    </row>
    <row r="12" spans="1:5">
      <c r="A12" s="11">
        <f t="shared" si="0"/>
        <v>11</v>
      </c>
      <c r="B12" s="11" t="s">
        <v>26</v>
      </c>
      <c r="C12" s="11" t="s">
        <v>766</v>
      </c>
      <c r="D12" s="11">
        <v>25</v>
      </c>
      <c r="E12" s="11">
        <v>50</v>
      </c>
    </row>
    <row r="13" spans="1:5">
      <c r="A13" s="11">
        <f t="shared" si="0"/>
        <v>12</v>
      </c>
      <c r="B13" s="11" t="s">
        <v>26</v>
      </c>
      <c r="C13" s="11" t="s">
        <v>767</v>
      </c>
      <c r="D13" s="11">
        <v>25</v>
      </c>
      <c r="E13" s="11">
        <v>50</v>
      </c>
    </row>
    <row r="14" spans="1:5">
      <c r="A14" s="11">
        <f t="shared" si="0"/>
        <v>13</v>
      </c>
      <c r="B14" s="11" t="s">
        <v>26</v>
      </c>
      <c r="C14" s="11" t="s">
        <v>768</v>
      </c>
      <c r="D14" s="11">
        <v>25</v>
      </c>
      <c r="E14" s="11">
        <v>50</v>
      </c>
    </row>
    <row r="15" spans="1:5">
      <c r="A15" s="11">
        <f t="shared" si="0"/>
        <v>14</v>
      </c>
      <c r="B15" s="11" t="s">
        <v>26</v>
      </c>
      <c r="C15" s="11" t="s">
        <v>769</v>
      </c>
      <c r="D15" s="11">
        <v>25</v>
      </c>
      <c r="E15" s="11">
        <v>50</v>
      </c>
    </row>
    <row r="16" spans="1:5">
      <c r="A16" s="11">
        <f t="shared" si="0"/>
        <v>15</v>
      </c>
      <c r="B16" s="11" t="s">
        <v>26</v>
      </c>
      <c r="C16" s="11" t="s">
        <v>770</v>
      </c>
      <c r="D16" s="11">
        <v>25</v>
      </c>
      <c r="E16" s="11">
        <v>50</v>
      </c>
    </row>
    <row r="17" spans="1:5">
      <c r="A17" s="11">
        <f t="shared" si="0"/>
        <v>16</v>
      </c>
      <c r="B17" s="11" t="s">
        <v>26</v>
      </c>
      <c r="C17" s="11" t="s">
        <v>771</v>
      </c>
      <c r="D17" s="11">
        <v>25</v>
      </c>
      <c r="E17" s="11">
        <v>50</v>
      </c>
    </row>
    <row r="18" spans="1:5">
      <c r="A18" s="11">
        <f t="shared" si="0"/>
        <v>17</v>
      </c>
      <c r="B18" s="11" t="s">
        <v>26</v>
      </c>
      <c r="C18" s="11" t="s">
        <v>772</v>
      </c>
      <c r="D18" s="11">
        <v>25</v>
      </c>
      <c r="E18" s="11">
        <v>50</v>
      </c>
    </row>
    <row r="19" spans="1:5">
      <c r="A19" s="11">
        <f t="shared" si="0"/>
        <v>18</v>
      </c>
      <c r="B19" s="11" t="s">
        <v>26</v>
      </c>
      <c r="C19" s="11" t="s">
        <v>773</v>
      </c>
      <c r="D19" s="11">
        <v>25</v>
      </c>
      <c r="E19" s="11">
        <v>50</v>
      </c>
    </row>
    <row r="20" spans="1:5">
      <c r="A20" s="11">
        <f t="shared" si="0"/>
        <v>19</v>
      </c>
      <c r="B20" s="11" t="s">
        <v>26</v>
      </c>
      <c r="C20" s="11" t="s">
        <v>774</v>
      </c>
      <c r="D20" s="11">
        <v>25</v>
      </c>
      <c r="E20" s="11">
        <v>50</v>
      </c>
    </row>
    <row r="21" spans="1:5">
      <c r="A21" s="11">
        <f t="shared" si="0"/>
        <v>20</v>
      </c>
      <c r="B21" s="11" t="s">
        <v>26</v>
      </c>
      <c r="C21" s="11" t="s">
        <v>775</v>
      </c>
      <c r="D21" s="11">
        <v>25</v>
      </c>
      <c r="E21" s="11">
        <v>50</v>
      </c>
    </row>
    <row r="22" spans="1:5">
      <c r="A22" s="11">
        <f t="shared" si="0"/>
        <v>21</v>
      </c>
      <c r="B22" s="11" t="s">
        <v>26</v>
      </c>
      <c r="C22" s="11" t="s">
        <v>776</v>
      </c>
      <c r="D22" s="11">
        <v>25</v>
      </c>
      <c r="E22" s="11">
        <v>50</v>
      </c>
    </row>
    <row r="23" spans="1:5">
      <c r="A23" s="11">
        <f t="shared" si="0"/>
        <v>22</v>
      </c>
      <c r="B23" s="11" t="s">
        <v>26</v>
      </c>
      <c r="C23" s="11" t="s">
        <v>777</v>
      </c>
      <c r="D23" s="11">
        <v>25</v>
      </c>
      <c r="E23" s="11">
        <v>50</v>
      </c>
    </row>
    <row r="24" spans="1:5">
      <c r="A24" s="11">
        <f t="shared" si="0"/>
        <v>23</v>
      </c>
      <c r="B24" s="11" t="s">
        <v>26</v>
      </c>
      <c r="C24" s="11" t="s">
        <v>778</v>
      </c>
      <c r="D24" s="11">
        <v>25</v>
      </c>
      <c r="E24" s="11">
        <v>50</v>
      </c>
    </row>
    <row r="25" spans="1:5">
      <c r="A25" s="11">
        <f t="shared" si="0"/>
        <v>24</v>
      </c>
      <c r="B25" s="11" t="s">
        <v>26</v>
      </c>
      <c r="C25" s="11" t="s">
        <v>779</v>
      </c>
      <c r="D25" s="11">
        <v>25</v>
      </c>
      <c r="E25" s="11">
        <v>50</v>
      </c>
    </row>
    <row r="26" spans="1:5">
      <c r="A26" s="11">
        <f t="shared" si="0"/>
        <v>25</v>
      </c>
      <c r="B26" s="11" t="s">
        <v>26</v>
      </c>
      <c r="C26" s="11" t="s">
        <v>780</v>
      </c>
      <c r="D26" s="11">
        <v>25</v>
      </c>
      <c r="E26" s="11">
        <v>50</v>
      </c>
    </row>
    <row r="27" spans="1:5">
      <c r="A27" s="11">
        <f t="shared" si="0"/>
        <v>26</v>
      </c>
      <c r="B27" s="11" t="s">
        <v>26</v>
      </c>
      <c r="C27" s="11" t="s">
        <v>781</v>
      </c>
      <c r="D27" s="11">
        <v>25</v>
      </c>
      <c r="E27" s="11">
        <v>50</v>
      </c>
    </row>
    <row r="28" spans="1:5">
      <c r="A28" s="11">
        <f t="shared" si="0"/>
        <v>27</v>
      </c>
      <c r="B28" s="11" t="s">
        <v>26</v>
      </c>
      <c r="C28" s="11" t="s">
        <v>782</v>
      </c>
      <c r="D28" s="11">
        <v>25</v>
      </c>
      <c r="E28" s="11">
        <v>50</v>
      </c>
    </row>
    <row r="29" spans="1:5">
      <c r="A29" s="11">
        <f t="shared" si="0"/>
        <v>28</v>
      </c>
      <c r="B29" s="11" t="s">
        <v>26</v>
      </c>
      <c r="C29" s="11" t="s">
        <v>783</v>
      </c>
      <c r="D29" s="11">
        <v>25</v>
      </c>
      <c r="E29" s="11">
        <v>50</v>
      </c>
    </row>
    <row r="30" spans="1:5">
      <c r="A30" s="11">
        <f t="shared" si="0"/>
        <v>29</v>
      </c>
      <c r="B30" s="11" t="s">
        <v>26</v>
      </c>
      <c r="C30" s="11" t="s">
        <v>784</v>
      </c>
      <c r="D30" s="11">
        <v>25</v>
      </c>
      <c r="E30" s="11">
        <v>50</v>
      </c>
    </row>
    <row r="31" spans="1:5">
      <c r="A31" s="11">
        <f t="shared" si="0"/>
        <v>30</v>
      </c>
      <c r="B31" s="11" t="s">
        <v>26</v>
      </c>
      <c r="C31" s="11" t="s">
        <v>785</v>
      </c>
      <c r="D31" s="11">
        <v>25</v>
      </c>
      <c r="E31" s="11">
        <v>50</v>
      </c>
    </row>
    <row r="32" spans="1:5">
      <c r="A32" s="11">
        <f t="shared" si="0"/>
        <v>31</v>
      </c>
      <c r="B32" s="11" t="s">
        <v>26</v>
      </c>
      <c r="C32" s="11" t="s">
        <v>786</v>
      </c>
      <c r="D32" s="11">
        <v>25</v>
      </c>
      <c r="E32" s="11">
        <v>50</v>
      </c>
    </row>
    <row r="33" spans="1:5">
      <c r="A33" s="11">
        <f t="shared" si="0"/>
        <v>32</v>
      </c>
      <c r="B33" s="11" t="s">
        <v>26</v>
      </c>
      <c r="C33" s="11" t="s">
        <v>787</v>
      </c>
      <c r="D33" s="11">
        <v>25</v>
      </c>
      <c r="E33" s="11">
        <v>50</v>
      </c>
    </row>
    <row r="34" spans="1:5">
      <c r="A34" s="11">
        <f t="shared" si="0"/>
        <v>33</v>
      </c>
      <c r="B34" s="11" t="s">
        <v>26</v>
      </c>
      <c r="C34" s="11" t="s">
        <v>788</v>
      </c>
      <c r="D34" s="11">
        <v>25</v>
      </c>
      <c r="E34" s="11">
        <v>50</v>
      </c>
    </row>
    <row r="35" spans="1:5">
      <c r="A35" s="11">
        <f t="shared" si="0"/>
        <v>34</v>
      </c>
      <c r="B35" s="11" t="s">
        <v>26</v>
      </c>
      <c r="C35" s="11" t="s">
        <v>789</v>
      </c>
      <c r="D35" s="11">
        <v>25</v>
      </c>
      <c r="E35" s="11">
        <v>50</v>
      </c>
    </row>
    <row r="36" spans="1:5">
      <c r="A36" s="11">
        <f t="shared" si="0"/>
        <v>35</v>
      </c>
      <c r="B36" s="11" t="s">
        <v>26</v>
      </c>
      <c r="C36" s="11" t="s">
        <v>790</v>
      </c>
      <c r="D36" s="11">
        <v>25</v>
      </c>
      <c r="E36" s="11">
        <v>50</v>
      </c>
    </row>
    <row r="37" spans="1:5">
      <c r="A37" s="11">
        <f t="shared" si="0"/>
        <v>36</v>
      </c>
      <c r="B37" s="11" t="s">
        <v>26</v>
      </c>
      <c r="C37" s="11" t="s">
        <v>791</v>
      </c>
      <c r="D37" s="11">
        <v>25</v>
      </c>
      <c r="E37" s="11">
        <v>50</v>
      </c>
    </row>
    <row r="38" spans="1:5">
      <c r="A38" s="11">
        <f t="shared" si="0"/>
        <v>37</v>
      </c>
      <c r="B38" s="11" t="s">
        <v>26</v>
      </c>
      <c r="C38" s="11" t="s">
        <v>792</v>
      </c>
      <c r="D38" s="11">
        <v>25</v>
      </c>
      <c r="E38" s="11">
        <v>50</v>
      </c>
    </row>
    <row r="39" spans="1:5">
      <c r="A39" s="11">
        <f t="shared" si="0"/>
        <v>38</v>
      </c>
      <c r="B39" s="11" t="s">
        <v>26</v>
      </c>
      <c r="C39" s="11" t="s">
        <v>793</v>
      </c>
      <c r="D39" s="11">
        <v>25</v>
      </c>
      <c r="E39" s="11">
        <v>50</v>
      </c>
    </row>
    <row r="40" spans="1:5">
      <c r="A40" s="11">
        <f t="shared" si="0"/>
        <v>39</v>
      </c>
      <c r="B40" s="11" t="s">
        <v>26</v>
      </c>
      <c r="C40" s="11" t="s">
        <v>794</v>
      </c>
      <c r="D40" s="11">
        <v>25</v>
      </c>
      <c r="E40" s="11">
        <v>50</v>
      </c>
    </row>
    <row r="41" spans="1:5">
      <c r="A41" s="11">
        <f t="shared" si="0"/>
        <v>40</v>
      </c>
      <c r="B41" s="11" t="s">
        <v>26</v>
      </c>
      <c r="C41" s="11" t="s">
        <v>795</v>
      </c>
      <c r="D41" s="11">
        <v>25</v>
      </c>
      <c r="E41" s="11">
        <v>50</v>
      </c>
    </row>
    <row r="42" spans="1:5">
      <c r="A42" s="11">
        <f t="shared" si="0"/>
        <v>41</v>
      </c>
      <c r="B42" s="11" t="s">
        <v>26</v>
      </c>
      <c r="C42" s="11" t="s">
        <v>796</v>
      </c>
      <c r="D42" s="11">
        <v>25</v>
      </c>
      <c r="E42" s="11">
        <v>50</v>
      </c>
    </row>
    <row r="43" spans="1:5">
      <c r="A43" s="11">
        <f t="shared" si="0"/>
        <v>42</v>
      </c>
      <c r="B43" s="11" t="s">
        <v>26</v>
      </c>
      <c r="C43" s="11" t="s">
        <v>797</v>
      </c>
      <c r="D43" s="11">
        <v>25</v>
      </c>
      <c r="E43" s="11">
        <v>50</v>
      </c>
    </row>
    <row r="44" spans="1:5">
      <c r="A44" s="11">
        <f t="shared" si="0"/>
        <v>43</v>
      </c>
      <c r="B44" s="11" t="s">
        <v>26</v>
      </c>
      <c r="D44" s="11">
        <v>25</v>
      </c>
      <c r="E44" s="11">
        <v>50</v>
      </c>
    </row>
    <row r="45" spans="1:5">
      <c r="A45" s="11">
        <f t="shared" si="0"/>
        <v>44</v>
      </c>
      <c r="B45" s="11" t="s">
        <v>26</v>
      </c>
      <c r="D45" s="11">
        <v>25</v>
      </c>
      <c r="E45" s="11">
        <v>50</v>
      </c>
    </row>
    <row r="46" spans="1:5">
      <c r="A46" s="11">
        <f t="shared" si="0"/>
        <v>45</v>
      </c>
      <c r="B46" s="11" t="s">
        <v>26</v>
      </c>
      <c r="D46" s="11">
        <v>25</v>
      </c>
      <c r="E46" s="11">
        <v>50</v>
      </c>
    </row>
    <row r="47" spans="1:5">
      <c r="A47" s="11">
        <f t="shared" si="0"/>
        <v>46</v>
      </c>
      <c r="B47" s="11" t="s">
        <v>26</v>
      </c>
      <c r="D47" s="11">
        <v>25</v>
      </c>
      <c r="E47" s="11">
        <v>50</v>
      </c>
    </row>
    <row r="48" spans="1:5">
      <c r="A48" s="11">
        <f t="shared" si="0"/>
        <v>47</v>
      </c>
      <c r="B48" s="11" t="s">
        <v>26</v>
      </c>
      <c r="D48" s="11">
        <v>25</v>
      </c>
      <c r="E48" s="11">
        <v>50</v>
      </c>
    </row>
    <row r="49" spans="1:5">
      <c r="A49" s="11">
        <f t="shared" si="0"/>
        <v>48</v>
      </c>
      <c r="B49" s="11" t="s">
        <v>26</v>
      </c>
      <c r="D49" s="11">
        <v>25</v>
      </c>
      <c r="E49" s="11">
        <v>50</v>
      </c>
    </row>
    <row r="50" spans="1:5">
      <c r="A50" s="11">
        <f t="shared" si="0"/>
        <v>49</v>
      </c>
      <c r="B50" s="11" t="s">
        <v>26</v>
      </c>
      <c r="D50" s="11">
        <v>25</v>
      </c>
      <c r="E50" s="11">
        <v>50</v>
      </c>
    </row>
    <row r="51" spans="1:5">
      <c r="A51" s="11">
        <f t="shared" si="0"/>
        <v>50</v>
      </c>
      <c r="B51" s="11" t="s">
        <v>26</v>
      </c>
      <c r="D51" s="11">
        <v>25</v>
      </c>
      <c r="E51" s="11">
        <v>50</v>
      </c>
    </row>
    <row r="52" spans="1:5">
      <c r="A52" s="11">
        <f t="shared" si="0"/>
        <v>51</v>
      </c>
      <c r="B52" s="11" t="s">
        <v>26</v>
      </c>
      <c r="D52" s="11">
        <v>25</v>
      </c>
      <c r="E52" s="11">
        <v>50</v>
      </c>
    </row>
    <row r="53" spans="1:5">
      <c r="A53" s="11">
        <f t="shared" si="0"/>
        <v>52</v>
      </c>
      <c r="B53" s="11" t="s">
        <v>26</v>
      </c>
      <c r="D53" s="11">
        <v>25</v>
      </c>
      <c r="E53" s="11">
        <v>50</v>
      </c>
    </row>
    <row r="54" spans="1:5">
      <c r="A54" s="11">
        <f t="shared" si="0"/>
        <v>53</v>
      </c>
      <c r="B54" s="11" t="s">
        <v>26</v>
      </c>
      <c r="D54" s="11">
        <v>25</v>
      </c>
      <c r="E54" s="11">
        <v>50</v>
      </c>
    </row>
    <row r="55" spans="1:5">
      <c r="A55" s="11">
        <f t="shared" si="0"/>
        <v>54</v>
      </c>
      <c r="B55" s="11" t="s">
        <v>26</v>
      </c>
      <c r="D55" s="11">
        <v>25</v>
      </c>
      <c r="E55" s="11">
        <v>50</v>
      </c>
    </row>
    <row r="56" spans="1:5">
      <c r="A56" s="11">
        <f t="shared" si="0"/>
        <v>55</v>
      </c>
      <c r="B56" s="11" t="s">
        <v>26</v>
      </c>
      <c r="D56" s="11">
        <v>25</v>
      </c>
      <c r="E56" s="11">
        <v>50</v>
      </c>
    </row>
    <row r="57" spans="1:5">
      <c r="A57" s="11">
        <f t="shared" si="0"/>
        <v>56</v>
      </c>
      <c r="B57" s="11" t="s">
        <v>26</v>
      </c>
      <c r="D57" s="11">
        <v>25</v>
      </c>
      <c r="E57" s="11">
        <v>50</v>
      </c>
    </row>
    <row r="58" spans="1:5">
      <c r="A58" s="11">
        <f t="shared" si="0"/>
        <v>57</v>
      </c>
      <c r="B58" s="11" t="s">
        <v>26</v>
      </c>
      <c r="D58" s="11">
        <v>25</v>
      </c>
      <c r="E58" s="11">
        <v>50</v>
      </c>
    </row>
    <row r="59" spans="1:5">
      <c r="A59" s="11">
        <f t="shared" si="0"/>
        <v>58</v>
      </c>
      <c r="B59" s="11" t="s">
        <v>26</v>
      </c>
      <c r="D59" s="11">
        <v>25</v>
      </c>
      <c r="E59" s="11">
        <v>50</v>
      </c>
    </row>
    <row r="60" spans="1:5">
      <c r="A60" s="11">
        <f t="shared" si="0"/>
        <v>59</v>
      </c>
      <c r="B60" s="11" t="s">
        <v>26</v>
      </c>
      <c r="E60" s="11">
        <v>50</v>
      </c>
    </row>
    <row r="61" spans="1:5">
      <c r="A61" s="11">
        <f t="shared" si="0"/>
        <v>60</v>
      </c>
      <c r="B61" s="11" t="s">
        <v>26</v>
      </c>
      <c r="E61" s="11">
        <v>50</v>
      </c>
    </row>
    <row r="62" spans="1:5">
      <c r="A62" s="11">
        <f t="shared" si="0"/>
        <v>61</v>
      </c>
      <c r="B62" s="11" t="s">
        <v>26</v>
      </c>
      <c r="E62" s="11">
        <v>50</v>
      </c>
    </row>
    <row r="63" spans="1:5">
      <c r="A63" s="11">
        <f t="shared" si="0"/>
        <v>62</v>
      </c>
      <c r="B63" s="11" t="s">
        <v>26</v>
      </c>
      <c r="E63" s="11">
        <v>50</v>
      </c>
    </row>
    <row r="64" spans="1:5">
      <c r="A64" s="11">
        <f t="shared" si="0"/>
        <v>63</v>
      </c>
      <c r="B64" s="11" t="s">
        <v>26</v>
      </c>
    </row>
    <row r="65" spans="1:2">
      <c r="A65" s="11">
        <f t="shared" si="0"/>
        <v>64</v>
      </c>
      <c r="B65" s="11" t="s">
        <v>26</v>
      </c>
    </row>
    <row r="66" spans="1:2">
      <c r="A66" s="11">
        <f t="shared" si="0"/>
        <v>65</v>
      </c>
      <c r="B66" s="11" t="s">
        <v>26</v>
      </c>
    </row>
    <row r="67" spans="1:2">
      <c r="A67" s="11">
        <f t="shared" si="0"/>
        <v>66</v>
      </c>
      <c r="B67" s="11" t="s">
        <v>26</v>
      </c>
    </row>
    <row r="68" spans="1:2">
      <c r="A68" s="11">
        <f t="shared" si="0"/>
        <v>67</v>
      </c>
      <c r="B68" s="11" t="s">
        <v>26</v>
      </c>
    </row>
    <row r="69" spans="1:2">
      <c r="A69" s="11">
        <f t="shared" si="0"/>
        <v>68</v>
      </c>
      <c r="B69" s="11" t="s">
        <v>26</v>
      </c>
    </row>
    <row r="70" spans="1:2">
      <c r="A70" s="11">
        <f t="shared" si="0"/>
        <v>69</v>
      </c>
      <c r="B70" s="11" t="s">
        <v>26</v>
      </c>
    </row>
    <row r="71" spans="1:2">
      <c r="A71" s="11">
        <f t="shared" si="0"/>
        <v>70</v>
      </c>
      <c r="B71" s="11" t="s">
        <v>26</v>
      </c>
    </row>
    <row r="72" spans="1:2">
      <c r="A72" s="11">
        <f t="shared" si="0"/>
        <v>71</v>
      </c>
      <c r="B72" s="11" t="s">
        <v>26</v>
      </c>
    </row>
    <row r="73" spans="1:2">
      <c r="A73" s="11">
        <f t="shared" si="0"/>
        <v>72</v>
      </c>
      <c r="B73" s="11" t="s">
        <v>26</v>
      </c>
    </row>
    <row r="74" spans="1:2">
      <c r="A74" s="11">
        <f t="shared" si="0"/>
        <v>73</v>
      </c>
      <c r="B74" s="11" t="s">
        <v>26</v>
      </c>
    </row>
    <row r="75" spans="1:2">
      <c r="A75" s="11">
        <f t="shared" si="0"/>
        <v>74</v>
      </c>
      <c r="B75" s="11" t="s">
        <v>26</v>
      </c>
    </row>
    <row r="76" spans="1:2">
      <c r="A76" s="11">
        <f t="shared" si="0"/>
        <v>75</v>
      </c>
      <c r="B76" s="11" t="s">
        <v>26</v>
      </c>
    </row>
    <row r="77" spans="1:2">
      <c r="A77" s="11">
        <f t="shared" si="0"/>
        <v>76</v>
      </c>
      <c r="B77" s="11" t="s">
        <v>26</v>
      </c>
    </row>
    <row r="78" spans="1:2">
      <c r="A78" s="11">
        <f t="shared" si="0"/>
        <v>77</v>
      </c>
      <c r="B78" s="11" t="s">
        <v>26</v>
      </c>
    </row>
    <row r="79" spans="1:2">
      <c r="A79" s="11">
        <f t="shared" si="0"/>
        <v>78</v>
      </c>
      <c r="B79" s="11" t="s">
        <v>26</v>
      </c>
    </row>
    <row r="80" spans="1:2">
      <c r="A80" s="11">
        <f t="shared" si="0"/>
        <v>79</v>
      </c>
    </row>
    <row r="81" spans="1:1">
      <c r="A81" s="11">
        <f t="shared" si="0"/>
        <v>80</v>
      </c>
    </row>
    <row r="82" spans="1:1">
      <c r="A82" s="11">
        <f t="shared" si="0"/>
        <v>81</v>
      </c>
    </row>
    <row r="83" spans="1:1">
      <c r="A83" s="11">
        <f t="shared" si="0"/>
        <v>82</v>
      </c>
    </row>
    <row r="84" spans="1:1">
      <c r="A84" s="11">
        <f t="shared" si="0"/>
        <v>83</v>
      </c>
    </row>
    <row r="85" spans="1:1">
      <c r="A85" s="11">
        <f t="shared" si="0"/>
        <v>84</v>
      </c>
    </row>
    <row r="86" spans="1:1">
      <c r="A86" s="11">
        <f t="shared" si="0"/>
        <v>85</v>
      </c>
    </row>
    <row r="87" spans="1:1">
      <c r="A87" s="11">
        <f t="shared" si="0"/>
        <v>86</v>
      </c>
    </row>
    <row r="88" spans="1:1">
      <c r="A88" s="11">
        <f t="shared" si="0"/>
        <v>87</v>
      </c>
    </row>
    <row r="89" spans="1:1">
      <c r="A89" s="11">
        <f t="shared" si="0"/>
        <v>88</v>
      </c>
    </row>
    <row r="90" spans="1:1">
      <c r="A90" s="11">
        <f t="shared" si="0"/>
        <v>89</v>
      </c>
    </row>
    <row r="91" spans="1:1">
      <c r="A91" s="11">
        <f t="shared" si="0"/>
        <v>90</v>
      </c>
    </row>
    <row r="92" spans="1:1">
      <c r="A92" s="11">
        <f t="shared" si="0"/>
        <v>91</v>
      </c>
    </row>
    <row r="93" spans="1:1">
      <c r="A93" s="11">
        <f t="shared" si="0"/>
        <v>92</v>
      </c>
    </row>
    <row r="94" spans="1:1">
      <c r="A94" s="11">
        <f t="shared" si="0"/>
        <v>93</v>
      </c>
    </row>
    <row r="95" spans="1:1">
      <c r="A95" s="11">
        <f t="shared" si="0"/>
        <v>94</v>
      </c>
    </row>
    <row r="96" spans="1:1">
      <c r="A96" s="11">
        <f t="shared" si="0"/>
        <v>95</v>
      </c>
    </row>
    <row r="97" spans="1:1">
      <c r="A97" s="11">
        <f t="shared" si="0"/>
        <v>96</v>
      </c>
    </row>
    <row r="98" spans="1:1">
      <c r="A98" s="11">
        <f t="shared" si="0"/>
        <v>97</v>
      </c>
    </row>
    <row r="99" spans="1:1">
      <c r="A99" s="11">
        <f t="shared" si="0"/>
        <v>98</v>
      </c>
    </row>
    <row r="100" spans="1:1">
      <c r="A100" s="11">
        <f t="shared" si="0"/>
        <v>99</v>
      </c>
    </row>
    <row r="101" spans="1:1">
      <c r="A101" s="11">
        <f t="shared" si="0"/>
        <v>100</v>
      </c>
    </row>
    <row r="102" spans="1:1">
      <c r="A102" s="11">
        <f t="shared" si="0"/>
        <v>101</v>
      </c>
    </row>
    <row r="103" spans="1:1">
      <c r="A103" s="11">
        <f t="shared" si="0"/>
        <v>102</v>
      </c>
    </row>
    <row r="104" spans="1:1">
      <c r="A104" s="11">
        <f t="shared" si="0"/>
        <v>103</v>
      </c>
    </row>
    <row r="105" spans="1:1">
      <c r="A105" s="11">
        <f t="shared" si="0"/>
        <v>104</v>
      </c>
    </row>
    <row r="106" spans="1:1">
      <c r="A106" s="11">
        <f t="shared" si="0"/>
        <v>105</v>
      </c>
    </row>
    <row r="107" spans="1:1">
      <c r="A107" s="11">
        <f t="shared" si="0"/>
        <v>106</v>
      </c>
    </row>
    <row r="108" spans="1:1">
      <c r="A108" s="11">
        <f t="shared" si="0"/>
        <v>107</v>
      </c>
    </row>
    <row r="109" spans="1:1">
      <c r="A109" s="11">
        <f t="shared" si="0"/>
        <v>108</v>
      </c>
    </row>
    <row r="110" spans="1:1">
      <c r="A110" s="11">
        <f t="shared" si="0"/>
        <v>109</v>
      </c>
    </row>
    <row r="111" spans="1:1">
      <c r="A111" s="11">
        <f t="shared" si="0"/>
        <v>110</v>
      </c>
    </row>
    <row r="112" spans="1:1">
      <c r="A112" s="11">
        <f t="shared" si="0"/>
        <v>111</v>
      </c>
    </row>
    <row r="113" spans="1:1">
      <c r="A113" s="11">
        <f t="shared" si="0"/>
        <v>112</v>
      </c>
    </row>
    <row r="114" spans="1:1">
      <c r="A114" s="11">
        <f t="shared" si="0"/>
        <v>113</v>
      </c>
    </row>
    <row r="115" spans="1:1">
      <c r="A115" s="11">
        <f t="shared" si="0"/>
        <v>114</v>
      </c>
    </row>
    <row r="116" spans="1:1">
      <c r="A116" s="11">
        <f t="shared" si="0"/>
        <v>115</v>
      </c>
    </row>
  </sheetData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S39"/>
  <sheetViews>
    <sheetView workbookViewId="0"/>
  </sheetViews>
  <sheetFormatPr defaultColWidth="11.25" defaultRowHeight="15.75" customHeight="1"/>
  <cols>
    <col min="1" max="1" width="2" customWidth="1"/>
    <col min="2" max="2" width="21.25" customWidth="1"/>
    <col min="3" max="3" width="15.75" hidden="1" customWidth="1"/>
    <col min="4" max="4" width="15.375" customWidth="1"/>
    <col min="5" max="5" width="17.5" hidden="1" customWidth="1"/>
    <col min="6" max="6" width="17.75" hidden="1" customWidth="1"/>
    <col min="7" max="7" width="12.625" customWidth="1"/>
    <col min="8" max="8" width="9.5" customWidth="1"/>
    <col min="9" max="9" width="15.5" customWidth="1"/>
    <col min="10" max="11" width="21.5" customWidth="1"/>
    <col min="12" max="12" width="15.5" hidden="1" customWidth="1"/>
    <col min="13" max="13" width="11.75" hidden="1" customWidth="1"/>
    <col min="14" max="14" width="13.5" hidden="1" customWidth="1"/>
    <col min="15" max="16" width="11.25" hidden="1"/>
    <col min="17" max="17" width="16" customWidth="1"/>
    <col min="18" max="18" width="14" customWidth="1"/>
  </cols>
  <sheetData>
    <row r="1" spans="1:18" ht="44.25" customHeight="1">
      <c r="A1" s="246" t="s">
        <v>798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172"/>
      <c r="P1" s="172"/>
      <c r="Q1" s="172"/>
    </row>
    <row r="2" spans="1:18" hidden="1"/>
    <row r="3" spans="1:18" hidden="1">
      <c r="B3" s="173" t="s">
        <v>22</v>
      </c>
      <c r="C3" s="173" t="s">
        <v>76</v>
      </c>
      <c r="D3" s="174" t="s">
        <v>799</v>
      </c>
      <c r="E3" s="174" t="s">
        <v>800</v>
      </c>
      <c r="F3" s="173" t="s">
        <v>801</v>
      </c>
      <c r="G3" s="173"/>
      <c r="H3" s="173"/>
      <c r="I3" s="173"/>
      <c r="J3" s="173"/>
      <c r="K3" s="173" t="s">
        <v>802</v>
      </c>
      <c r="L3" s="173" t="s">
        <v>181</v>
      </c>
      <c r="M3" s="173" t="s">
        <v>803</v>
      </c>
    </row>
    <row r="4" spans="1:18" hidden="1">
      <c r="B4" s="136" t="s">
        <v>26</v>
      </c>
      <c r="C4" s="136" t="s">
        <v>106</v>
      </c>
      <c r="D4" s="136">
        <f>COUNTIF(BD_Onboarding!M:M,C4)</f>
        <v>78</v>
      </c>
      <c r="E4" s="136">
        <f>COUNTIF(BD_Onboarding!B:B,"Onboarding")</f>
        <v>79</v>
      </c>
      <c r="F4" s="136">
        <f>COUNTIF(BD_Onboarding!V:V,"Sí")</f>
        <v>77</v>
      </c>
      <c r="G4" s="136"/>
      <c r="H4" s="136"/>
      <c r="I4" s="136"/>
      <c r="J4" s="136"/>
      <c r="K4" s="136">
        <f>COUNTIF(BD_Onboarding!V:V,"No")</f>
        <v>0</v>
      </c>
      <c r="L4" s="136">
        <f>COUNTIF(BD_Onboarding!V:V,"Post MVP")</f>
        <v>1</v>
      </c>
      <c r="M4" s="1">
        <f t="shared" ref="M4:M9" si="0">F4/E4</f>
        <v>0.97468354430379744</v>
      </c>
    </row>
    <row r="5" spans="1:18" hidden="1">
      <c r="B5" s="136" t="s">
        <v>15</v>
      </c>
      <c r="C5" s="136" t="s">
        <v>106</v>
      </c>
      <c r="D5" s="136">
        <f>COUNTIF(BD_PostVenta!L:L,C5)</f>
        <v>0</v>
      </c>
      <c r="E5" s="136">
        <f>COUNTIF(BD_PostVenta!B:B,"Post Venta")</f>
        <v>0</v>
      </c>
      <c r="F5" s="136" t="e">
        <f>COUNTIF(#REF!,"Sí")</f>
        <v>#REF!</v>
      </c>
      <c r="G5" s="136"/>
      <c r="H5" s="136"/>
      <c r="I5" s="136"/>
      <c r="J5" s="136"/>
      <c r="K5" s="136" t="e">
        <f>COUNTIF(#REF!,"No")</f>
        <v>#REF!</v>
      </c>
      <c r="L5" s="136" t="e">
        <f>COUNTIF(#REF!,"Post MVP")</f>
        <v>#REF!</v>
      </c>
      <c r="M5" s="1" t="e">
        <f t="shared" si="0"/>
        <v>#REF!</v>
      </c>
    </row>
    <row r="6" spans="1:18" hidden="1">
      <c r="B6" s="136" t="s">
        <v>14</v>
      </c>
      <c r="C6" s="136" t="s">
        <v>343</v>
      </c>
      <c r="D6" s="136">
        <f>COUNTIF(BD_Onboarding!M:M,C6)</f>
        <v>0</v>
      </c>
      <c r="E6" s="136">
        <f>COUNTIF(BD_Onboarding!B:B,"Post Venta")</f>
        <v>0</v>
      </c>
      <c r="F6" s="136">
        <f>COUNTIF(BD_Onboarding!V:V,"Sí")</f>
        <v>77</v>
      </c>
      <c r="G6" s="136"/>
      <c r="H6" s="136"/>
      <c r="I6" s="136"/>
      <c r="J6" s="136"/>
      <c r="K6" s="136">
        <f>COUNTIF(BD_Onboarding!V:V,"No")</f>
        <v>0</v>
      </c>
      <c r="L6" s="136">
        <f>COUNTIF(BD_Onboarding!V:V,"Post MVP")</f>
        <v>1</v>
      </c>
      <c r="M6" s="1" t="e">
        <f t="shared" si="0"/>
        <v>#DIV/0!</v>
      </c>
    </row>
    <row r="7" spans="1:18" hidden="1">
      <c r="B7" s="136" t="s">
        <v>15</v>
      </c>
      <c r="C7" s="136" t="s">
        <v>343</v>
      </c>
      <c r="D7" s="136">
        <f>COUNTIF(BD_Onboarding!M:M,C7)</f>
        <v>0</v>
      </c>
      <c r="E7" s="136">
        <f>COUNTIF(BD_Onboarding!B:B,"Post Venta")</f>
        <v>0</v>
      </c>
      <c r="F7" s="136">
        <f>COUNTIF(BD_Onboarding!V:V,"Sí")</f>
        <v>77</v>
      </c>
      <c r="G7" s="136"/>
      <c r="H7" s="136"/>
      <c r="I7" s="136"/>
      <c r="J7" s="136"/>
      <c r="K7" s="136">
        <f>COUNTIF(BD_Onboarding!V:V,"No")</f>
        <v>0</v>
      </c>
      <c r="L7" s="136">
        <f>COUNTIF(BD_Onboarding!V:V,"Post MVP")</f>
        <v>1</v>
      </c>
      <c r="M7" s="1" t="e">
        <f t="shared" si="0"/>
        <v>#DIV/0!</v>
      </c>
    </row>
    <row r="8" spans="1:18" hidden="1">
      <c r="B8" s="136" t="s">
        <v>14</v>
      </c>
      <c r="C8" s="136" t="s">
        <v>472</v>
      </c>
      <c r="D8" s="136">
        <f>COUNTIF(BD_Onboarding!M:M,C8)</f>
        <v>0</v>
      </c>
      <c r="E8" s="136">
        <f>COUNTIF(BD_Onboarding!B:B,"Post Venta")</f>
        <v>0</v>
      </c>
      <c r="F8" s="136">
        <f>COUNTIF(BD_Onboarding!V:V,"Sí")</f>
        <v>77</v>
      </c>
      <c r="G8" s="136"/>
      <c r="H8" s="136"/>
      <c r="I8" s="136"/>
      <c r="J8" s="136"/>
      <c r="K8" s="136">
        <f>COUNTIF(BD_Onboarding!V:V,"No")</f>
        <v>0</v>
      </c>
      <c r="L8" s="136">
        <f>COUNTIF(BD_Onboarding!V:V,"Post MVP")</f>
        <v>1</v>
      </c>
      <c r="M8" s="1" t="e">
        <f t="shared" si="0"/>
        <v>#DIV/0!</v>
      </c>
    </row>
    <row r="9" spans="1:18" hidden="1">
      <c r="B9" s="136" t="s">
        <v>15</v>
      </c>
      <c r="C9" s="136" t="s">
        <v>472</v>
      </c>
      <c r="D9" s="136">
        <f>COUNTIF(BD_Onboarding!M:M,C9)</f>
        <v>0</v>
      </c>
      <c r="E9" s="136">
        <f>COUNTIF(BD_Onboarding!B:B,"Post Venta")</f>
        <v>0</v>
      </c>
      <c r="F9" s="136">
        <f>COUNTIF(BD_Onboarding!V:V,"Sí")</f>
        <v>77</v>
      </c>
      <c r="G9" s="136"/>
      <c r="H9" s="136"/>
      <c r="I9" s="136"/>
      <c r="J9" s="136"/>
      <c r="K9" s="136">
        <f>COUNTIF(BD_Onboarding!V:V,"No")</f>
        <v>0</v>
      </c>
      <c r="L9" s="136">
        <f>COUNTIF(BD_Onboarding!V:V,"Post MVP")</f>
        <v>1</v>
      </c>
      <c r="M9" s="1" t="e">
        <f t="shared" si="0"/>
        <v>#DIV/0!</v>
      </c>
    </row>
    <row r="10" spans="1:18" hidden="1">
      <c r="B10" s="136" t="s">
        <v>26</v>
      </c>
      <c r="C10" s="136" t="s">
        <v>804</v>
      </c>
    </row>
    <row r="11" spans="1:18" hidden="1">
      <c r="B11" s="136" t="s">
        <v>14</v>
      </c>
      <c r="C11" s="136" t="s">
        <v>804</v>
      </c>
    </row>
    <row r="12" spans="1:18" hidden="1">
      <c r="B12" s="136" t="s">
        <v>15</v>
      </c>
      <c r="C12" s="136" t="s">
        <v>804</v>
      </c>
    </row>
    <row r="13" spans="1:18" hidden="1"/>
    <row r="14" spans="1:18" ht="37.5" customHeight="1">
      <c r="D14" s="176" t="s">
        <v>108</v>
      </c>
      <c r="E14" s="176" t="s">
        <v>805</v>
      </c>
      <c r="F14" s="176" t="s">
        <v>181</v>
      </c>
      <c r="G14" s="176"/>
      <c r="H14" s="176"/>
      <c r="I14" s="176"/>
      <c r="J14" s="176"/>
      <c r="K14" s="176"/>
      <c r="L14" s="176" t="s">
        <v>105</v>
      </c>
      <c r="M14" s="176" t="s">
        <v>806</v>
      </c>
      <c r="N14" s="176" t="s">
        <v>807</v>
      </c>
      <c r="O14" s="176" t="s">
        <v>808</v>
      </c>
      <c r="P14" s="176" t="s">
        <v>809</v>
      </c>
    </row>
    <row r="15" spans="1:18">
      <c r="B15" s="173" t="s">
        <v>22</v>
      </c>
      <c r="C15" s="177" t="s">
        <v>810</v>
      </c>
      <c r="D15" s="174" t="s">
        <v>811</v>
      </c>
      <c r="E15" s="173" t="s">
        <v>802</v>
      </c>
      <c r="F15" s="173" t="s">
        <v>181</v>
      </c>
      <c r="G15" s="174" t="s">
        <v>812</v>
      </c>
      <c r="H15" s="174" t="s">
        <v>813</v>
      </c>
      <c r="I15" s="174" t="s">
        <v>814</v>
      </c>
      <c r="J15" s="174" t="s">
        <v>815</v>
      </c>
      <c r="K15" s="174" t="s">
        <v>816</v>
      </c>
      <c r="L15" s="173" t="s">
        <v>817</v>
      </c>
      <c r="M15" s="174" t="s">
        <v>818</v>
      </c>
      <c r="N15" s="174" t="s">
        <v>819</v>
      </c>
      <c r="O15" s="174" t="s">
        <v>820</v>
      </c>
      <c r="P15" s="174" t="s">
        <v>821</v>
      </c>
      <c r="Q15" s="174" t="s">
        <v>822</v>
      </c>
      <c r="R15" s="174" t="s">
        <v>823</v>
      </c>
    </row>
    <row r="16" spans="1:18" ht="9.75" customHeight="1">
      <c r="B16" s="178"/>
      <c r="C16" s="178"/>
      <c r="D16" s="178"/>
      <c r="E16" s="178"/>
      <c r="F16" s="178"/>
      <c r="G16" s="178"/>
      <c r="H16" s="178"/>
      <c r="I16" s="178"/>
      <c r="L16" s="178"/>
    </row>
    <row r="17" spans="2:19">
      <c r="B17" s="179" t="s">
        <v>26</v>
      </c>
      <c r="C17" s="180">
        <f>SUMIF(BD_Onboarding!$B:$B,B17,BD_Onboarding!$AD:$AD)</f>
        <v>74</v>
      </c>
      <c r="D17" s="181">
        <f>SUMIF(BD_Onboarding!$V:$V,D$14,BD_Onboarding!$AD:$AD)</f>
        <v>73</v>
      </c>
      <c r="E17" s="181">
        <f>SUMIF(BD_Onboarding!$V:$V,E$14,BD_Onboarding!$AD:$AD)</f>
        <v>0</v>
      </c>
      <c r="F17" s="181">
        <f>SUMIF(BD_Onboarding!$V:$V,F$14,BD_Onboarding!$AD:$AD)</f>
        <v>1</v>
      </c>
      <c r="G17" s="182">
        <f>BD_Onboarding!J148</f>
        <v>294</v>
      </c>
      <c r="H17" s="181">
        <f>SUM(BD_Onboarding!AP:AP)</f>
        <v>47</v>
      </c>
      <c r="I17" s="183">
        <f t="shared" ref="I17:I18" si="1">H17/G17</f>
        <v>0.1598639455782313</v>
      </c>
      <c r="J17" s="184">
        <f>SUMIF(BD_Onboarding!$V:$V,D$14,BD_Onboarding!$AC:$AC)</f>
        <v>41</v>
      </c>
      <c r="K17" s="185">
        <f>J17/D17</f>
        <v>0.56164383561643838</v>
      </c>
      <c r="L17" s="186">
        <f>SUMIF(BD_Onboarding!$L:$L,L$14,BD_Onboarding!$AM:$AM)</f>
        <v>45</v>
      </c>
      <c r="M17" s="186">
        <f>SUMIF(BD_Onboarding!$L:$L,M$14,BD_Onboarding!$AM:$AM)</f>
        <v>0</v>
      </c>
      <c r="N17" s="186">
        <f>SUMIF(BD_Onboarding!$L:$L,N$14,BD_Onboarding!$AM:$AM)</f>
        <v>0</v>
      </c>
      <c r="O17" s="186">
        <f>SUMIF(BD_Onboarding!$L:$L,O$14,BD_Onboarding!$AM:$AM)</f>
        <v>0</v>
      </c>
      <c r="P17" s="186">
        <f>SUMIF(BD_Onboarding!$L:$L,P$14,BD_Onboarding!$AM:$AM)</f>
        <v>0</v>
      </c>
      <c r="Q17" s="82">
        <f>SUMIF(BD_Onboarding!$V:$V,D$14,BD_Onboarding!$AB:$AB)</f>
        <v>11</v>
      </c>
      <c r="R17" s="11">
        <f>COUNTIFS(BD_Onboarding!$D$3:$D$251,"SDK",BD_Onboarding!$V$3:$V$251,"Sí",BD_Onboarding!$AD$3:$AD$251,1)+COUNTIFS(BD_Onboarding!$D$3:$D$251,"SAAS",BD_Onboarding!$V$3:$V$251,"Sí",BD_Onboarding!$AD$3:$AD$251,1)</f>
        <v>28</v>
      </c>
    </row>
    <row r="18" spans="2:19">
      <c r="B18" s="267" t="s">
        <v>106</v>
      </c>
      <c r="C18" s="187">
        <f>SUMIFS(BD_Onboarding!AD:AD,BD_Onboarding!M:M,B18)</f>
        <v>74</v>
      </c>
      <c r="D18" s="188">
        <f>SUMIFS(BD_Onboarding!$AD:$AD,BD_Onboarding!$V:$V,D$14,BD_Onboarding!$M:$M,$B18)</f>
        <v>73</v>
      </c>
      <c r="E18" s="188">
        <f>SUMIFS(BD_Onboarding!$AD:$AD,BD_Onboarding!$V:$V,E$14,BD_Onboarding!$M:$M,$B18)</f>
        <v>0</v>
      </c>
      <c r="F18" s="188">
        <f>SUMIFS(BD_Onboarding!$AD:$AD,BD_Onboarding!$V:$V,F$14,BD_Onboarding!$M:$M,$B18)</f>
        <v>1</v>
      </c>
      <c r="G18" s="189">
        <f>SUMIFS(BD_Onboarding!$J:$J,BD_Onboarding!$V:$V,D$14,BD_Onboarding!$M:$M,$B18)*BD_Onboarding!J147</f>
        <v>294</v>
      </c>
      <c r="H18" s="188">
        <f>SUMIF(BD_Onboarding!M:M,B18,BD_Onboarding!AP:AP)</f>
        <v>47</v>
      </c>
      <c r="I18" s="190">
        <f t="shared" si="1"/>
        <v>0.1598639455782313</v>
      </c>
      <c r="J18" s="187"/>
      <c r="K18" s="187"/>
      <c r="L18" s="191"/>
      <c r="M18" s="191"/>
      <c r="N18" s="191"/>
      <c r="O18" s="191"/>
      <c r="P18" s="191"/>
    </row>
    <row r="19" spans="2:19" hidden="1">
      <c r="B19" s="268" t="s">
        <v>343</v>
      </c>
      <c r="C19" s="192">
        <f>SUMIFS(BD_Onboarding!AD:AD,BD_Onboarding!M:M,B19)</f>
        <v>0</v>
      </c>
      <c r="D19" s="193">
        <f>SUMIFS(BD_Onboarding!$AD:$AD,BD_Onboarding!$V:$V,D$14,BD_Onboarding!$M:$M,$B19)</f>
        <v>0</v>
      </c>
      <c r="E19" s="193">
        <f>SUMIFS(BD_Onboarding!$AD:$AD,BD_Onboarding!$V:$V,E$14,BD_Onboarding!$M:$M,$B19)</f>
        <v>0</v>
      </c>
      <c r="F19" s="193">
        <f>SUMIFS(BD_Onboarding!$AD:$AD,BD_Onboarding!$V:$V,F$14,BD_Onboarding!$M:$M,$B19)</f>
        <v>0</v>
      </c>
      <c r="G19" s="193"/>
      <c r="H19" s="193">
        <f>SUMIF(BD_Onboarding!M:M,B19,BD_Onboarding!AM:AM)</f>
        <v>0</v>
      </c>
      <c r="I19" s="193"/>
      <c r="L19" s="191"/>
      <c r="M19" s="191"/>
      <c r="N19" s="191"/>
      <c r="O19" s="191"/>
      <c r="P19" s="191"/>
    </row>
    <row r="20" spans="2:19" hidden="1">
      <c r="B20" s="268" t="s">
        <v>472</v>
      </c>
      <c r="C20" s="192">
        <f>SUMIFS(BD_Onboarding!AD:AD,BD_Onboarding!M:M,B20)</f>
        <v>0</v>
      </c>
      <c r="D20" s="193">
        <f>SUMIFS(BD_Onboarding!$AD:$AD,BD_Onboarding!$V:$V,D$14,BD_Onboarding!$M:$M,$B20)</f>
        <v>0</v>
      </c>
      <c r="E20" s="193">
        <f>SUMIFS(BD_Onboarding!$AD:$AD,BD_Onboarding!$V:$V,E$14,BD_Onboarding!$M:$M,$B20)</f>
        <v>0</v>
      </c>
      <c r="F20" s="193">
        <f>SUMIFS(BD_Onboarding!$AD:$AD,BD_Onboarding!$V:$V,F$14,BD_Onboarding!$M:$M,$B20)</f>
        <v>0</v>
      </c>
      <c r="G20" s="193"/>
      <c r="H20" s="193">
        <f>SUMIF(BD_Onboarding!M:M,B20,BD_Onboarding!AM:AM)</f>
        <v>0</v>
      </c>
      <c r="I20" s="193"/>
      <c r="L20" s="191"/>
      <c r="M20" s="191"/>
      <c r="N20" s="191"/>
      <c r="O20" s="191"/>
      <c r="P20" s="191"/>
    </row>
    <row r="21" spans="2:19" hidden="1">
      <c r="B21" s="269" t="s">
        <v>824</v>
      </c>
      <c r="C21" s="192">
        <f t="shared" ref="C21:F21" si="2">C17-SUM(C18:C20)</f>
        <v>0</v>
      </c>
      <c r="D21" s="193">
        <f t="shared" si="2"/>
        <v>0</v>
      </c>
      <c r="E21" s="193">
        <f t="shared" si="2"/>
        <v>0</v>
      </c>
      <c r="F21" s="193">
        <f t="shared" si="2"/>
        <v>0</v>
      </c>
      <c r="G21" s="193"/>
      <c r="H21" s="193">
        <f>H17-SUM(H18:H20)</f>
        <v>0</v>
      </c>
      <c r="I21" s="193"/>
      <c r="L21" s="192"/>
      <c r="M21" s="192"/>
      <c r="N21" s="192"/>
      <c r="O21" s="192"/>
      <c r="P21" s="192"/>
    </row>
    <row r="22" spans="2:19" ht="8.25" customHeight="1">
      <c r="B22" s="178"/>
      <c r="C22" s="178"/>
      <c r="D22" s="194"/>
      <c r="E22" s="194"/>
      <c r="F22" s="194"/>
      <c r="G22" s="194"/>
      <c r="H22" s="194"/>
      <c r="I22" s="194"/>
      <c r="L22" s="178"/>
      <c r="M22" s="195"/>
    </row>
    <row r="23" spans="2:19">
      <c r="B23" s="179" t="s">
        <v>14</v>
      </c>
      <c r="C23" s="180">
        <f>SUMIF(BD_Operaciones!$B:$B,B23,BD_Operaciones!$AC:$AC)</f>
        <v>49</v>
      </c>
      <c r="D23" s="181">
        <f>SUMIF(BD_Operaciones!$V:$V,D$14,BD_Operaciones!$AD:$AD)</f>
        <v>66</v>
      </c>
      <c r="E23" s="181">
        <f>SUMIF(BD_Operaciones!$V:$V,E$14,BD_Operaciones!$AC:$AC)</f>
        <v>0</v>
      </c>
      <c r="F23" s="181">
        <f>SUMIF(BD_Operaciones!$V:$V,F$14,BD_Operaciones!$AC:$AC)</f>
        <v>2</v>
      </c>
      <c r="G23" s="182">
        <f>BD_Operaciones!J148</f>
        <v>3080</v>
      </c>
      <c r="H23" s="181">
        <f>SUM(BD_Operaciones!AP:AP)</f>
        <v>65</v>
      </c>
      <c r="I23" s="183">
        <f t="shared" ref="I23:I27" si="3">H23/G23</f>
        <v>2.1103896103896104E-2</v>
      </c>
      <c r="J23" s="181">
        <f>SUMIF(BD_Operaciones!$V:$V,D$14,BD_Operaciones!$AC:$AC)</f>
        <v>66</v>
      </c>
      <c r="K23" s="183">
        <f>J23/D23</f>
        <v>1</v>
      </c>
      <c r="L23" s="186"/>
      <c r="M23" s="186"/>
      <c r="N23" s="186"/>
      <c r="O23" s="186"/>
      <c r="P23" s="186"/>
      <c r="Q23" s="11">
        <f>SUMIF(BD_Operaciones!$V:$V,D$14,BD_Operaciones!$AB:$AB)</f>
        <v>4</v>
      </c>
      <c r="R23" s="11">
        <f>COUNTIFS(BD_Operaciones!$D$3:$D$200,"SDK",BD_Operaciones!$V$3:$V$200,"Sí",BD_Operaciones!$AD$3:$AD$200,1)+COUNTIFS(BD_Operaciones!$D$3:$D$200,"SAAS",BD_Operaciones!$V$3:$V$200,"Sí",BD_Operaciones!$AD$3:$AD$200,1)</f>
        <v>0</v>
      </c>
      <c r="S23" s="11" t="s">
        <v>825</v>
      </c>
    </row>
    <row r="24" spans="2:19" hidden="1">
      <c r="B24" s="267" t="s">
        <v>106</v>
      </c>
      <c r="C24" s="187">
        <f>SUMIFS(BD_Operaciones!AC:AC,BD_Operaciones!M:M,B24)</f>
        <v>0</v>
      </c>
      <c r="D24" s="188">
        <f>SUMIFS(BD_Operaciones!$AC:$AC,BD_Operaciones!$V:$V,D$14,BD_Operaciones!$M:$M,$B24)</f>
        <v>0</v>
      </c>
      <c r="E24" s="188">
        <f>SUMIFS(BD_Operaciones!$AC:$AC,BD_Operaciones!$V:$V,E$14,BD_Operaciones!$M:$M,$B24)</f>
        <v>0</v>
      </c>
      <c r="F24" s="188">
        <f>SUMIFS(BD_Operaciones!$AC:$AC,BD_Operaciones!$V:$V,F$14,BD_Operaciones!$M:$M,$B24)</f>
        <v>0</v>
      </c>
      <c r="G24" s="188"/>
      <c r="H24" s="188">
        <f>SUMIF(BD_Operaciones!M:M,B24,BD_Operaciones!AD:AD)</f>
        <v>0</v>
      </c>
      <c r="I24" s="183" t="e">
        <f t="shared" si="3"/>
        <v>#DIV/0!</v>
      </c>
      <c r="J24" s="187"/>
      <c r="K24" s="187"/>
      <c r="L24" s="191"/>
      <c r="M24" s="191"/>
      <c r="N24" s="191"/>
      <c r="O24" s="191"/>
      <c r="P24" s="191"/>
    </row>
    <row r="25" spans="2:19">
      <c r="B25" s="267" t="s">
        <v>343</v>
      </c>
      <c r="C25" s="187">
        <f>SUMIFS(BD_Operaciones!AC:AC,BD_Operaciones!M:M,B25)</f>
        <v>64</v>
      </c>
      <c r="D25" s="188">
        <f>SUMIFS(BD_Operaciones!$AC:$AC,BD_Operaciones!$V:$V,D$14,BD_Operaciones!$M:$M,$B25)</f>
        <v>62</v>
      </c>
      <c r="E25" s="188">
        <f>SUMIFS(BD_Operaciones!$AC:$AC,BD_Operaciones!$V:$V,E$14,BD_Operaciones!$M:$M,$B25)</f>
        <v>0</v>
      </c>
      <c r="F25" s="188">
        <f>SUMIFS(BD_Operaciones!$AC:$AC,BD_Operaciones!$V:$V,F$14,BD_Operaciones!$M:$M,$B25)</f>
        <v>2</v>
      </c>
      <c r="G25" s="189">
        <f>SUMIFS(BD_Operaciones!$J:$J,BD_Operaciones!$V:$V,D$14,BD_Operaciones!$M:$M,$B25)*BD_Operaciones!J147</f>
        <v>2271.5</v>
      </c>
      <c r="H25" s="188">
        <f>SUMIF(BD_Operaciones!M:M,B25,BD_Operaciones!AP:AP)</f>
        <v>65</v>
      </c>
      <c r="I25" s="190">
        <f t="shared" si="3"/>
        <v>2.8615452344265904E-2</v>
      </c>
      <c r="J25" s="187"/>
      <c r="K25" s="187"/>
      <c r="L25" s="191"/>
      <c r="M25" s="191"/>
      <c r="N25" s="191"/>
      <c r="O25" s="191"/>
      <c r="P25" s="191"/>
    </row>
    <row r="26" spans="2:19">
      <c r="B26" s="267" t="s">
        <v>472</v>
      </c>
      <c r="C26" s="187">
        <f>SUMIFS(BD_Operaciones!AC:AC,BD_Operaciones!M:M,B26)</f>
        <v>4</v>
      </c>
      <c r="D26" s="188">
        <f>SUMIFS(BD_Operaciones!$AC:$AC,BD_Operaciones!$V:$V,D$14,BD_Operaciones!$M:$M,$B26)</f>
        <v>4</v>
      </c>
      <c r="E26" s="188">
        <f>SUMIFS(BD_Operaciones!$AC:$AC,BD_Operaciones!$V:$V,E$14,BD_Operaciones!$M:$M,$B26)</f>
        <v>0</v>
      </c>
      <c r="F26" s="188">
        <f>SUMIFS(BD_Operaciones!$AC:$AC,BD_Operaciones!$V:$V,F$14,BD_Operaciones!$M:$M,$B26)</f>
        <v>0</v>
      </c>
      <c r="G26" s="189">
        <f>SUMIFS(BD_Operaciones!$J:$J,BD_Operaciones!$V:$V,D$14,BD_Operaciones!$M:$M,$B26)*BD_Operaciones!J147</f>
        <v>658</v>
      </c>
      <c r="H26" s="188">
        <f>SUMIF(BD_Operaciones!M:M,B26,BD_Operaciones!AP:AP)</f>
        <v>0</v>
      </c>
      <c r="I26" s="190">
        <f t="shared" si="3"/>
        <v>0</v>
      </c>
      <c r="J26" s="187"/>
      <c r="K26" s="187"/>
      <c r="L26" s="191"/>
      <c r="M26" s="191"/>
      <c r="N26" s="191"/>
      <c r="O26" s="191"/>
      <c r="P26" s="191"/>
    </row>
    <row r="27" spans="2:19">
      <c r="B27" s="270" t="s">
        <v>824</v>
      </c>
      <c r="C27" s="187">
        <f t="shared" ref="C27:F27" si="4">C23-SUM(C24:C26)</f>
        <v>-19</v>
      </c>
      <c r="D27" s="188">
        <f t="shared" si="4"/>
        <v>0</v>
      </c>
      <c r="E27" s="188">
        <f t="shared" si="4"/>
        <v>0</v>
      </c>
      <c r="F27" s="188">
        <f t="shared" si="4"/>
        <v>0</v>
      </c>
      <c r="G27" s="188">
        <f>SUMIFS(BD_Operaciones!$J:$J,BD_Operaciones!$V:$V,D$14,BD_Operaciones!$M:$M,$B27)</f>
        <v>0</v>
      </c>
      <c r="H27" s="188">
        <f>H23-SUM(H24:H26)</f>
        <v>0</v>
      </c>
      <c r="I27" s="190" t="e">
        <f t="shared" si="3"/>
        <v>#DIV/0!</v>
      </c>
      <c r="J27" s="187"/>
      <c r="K27" s="187"/>
      <c r="L27" s="192"/>
      <c r="M27" s="192"/>
      <c r="N27" s="192"/>
      <c r="O27" s="192"/>
      <c r="P27" s="192"/>
    </row>
    <row r="28" spans="2:19" ht="9.75" customHeight="1">
      <c r="D28" s="136"/>
      <c r="E28" s="136"/>
      <c r="F28" s="136"/>
      <c r="G28" s="136"/>
      <c r="H28" s="136"/>
      <c r="I28" s="136"/>
    </row>
    <row r="29" spans="2:19">
      <c r="B29" s="179" t="s">
        <v>15</v>
      </c>
      <c r="C29" s="180">
        <f>SUMIF(BD_PostVenta!$B:$B,B29,BD_PostVenta!$Z:$Z)</f>
        <v>0</v>
      </c>
      <c r="D29" s="181" t="e">
        <f>SUMIF(#REF!,D$14,BD_PostVenta!$AA:$AA)</f>
        <v>#REF!</v>
      </c>
      <c r="E29" s="181" t="e">
        <f>SUMIF(#REF!,E$14,BD_PostVenta!$AA:$AA)</f>
        <v>#REF!</v>
      </c>
      <c r="F29" s="181" t="e">
        <f>SUMIF(#REF!,F$14,BD_PostVenta!$AA:$AA)</f>
        <v>#REF!</v>
      </c>
      <c r="G29" s="182">
        <f>BD_PostVenta!I35</f>
        <v>0</v>
      </c>
      <c r="H29" s="181">
        <f>SUM(BD_PostVenta!AM:AM)</f>
        <v>0</v>
      </c>
      <c r="I29" s="183" t="e">
        <f t="shared" ref="I29:I33" si="5">H29/G29</f>
        <v>#DIV/0!</v>
      </c>
      <c r="J29" s="181" t="e">
        <f>SUMIF(#REF!,D$14,BD_PostVenta!$Z:$Z)</f>
        <v>#REF!</v>
      </c>
      <c r="K29" s="183" t="e">
        <f>J29/D29</f>
        <v>#REF!</v>
      </c>
      <c r="L29" s="186">
        <f>SUMIF(BD_PostVenta!$K:$K,L$14,BD_PostVenta!$AA:$AA)</f>
        <v>0</v>
      </c>
      <c r="M29" s="186">
        <f>SUMIF(BD_PostVenta!$K:$K,M$14,BD_PostVenta!$AA:$AA)</f>
        <v>0</v>
      </c>
      <c r="N29" s="186">
        <f>SUMIF(BD_PostVenta!$K:$K,N$14,BD_PostVenta!$AA:$AA)</f>
        <v>0</v>
      </c>
      <c r="O29" s="186">
        <f>SUMIF(BD_PostVenta!$K:$K,O$14,BD_PostVenta!$AA:$AA)</f>
        <v>0</v>
      </c>
      <c r="P29" s="186">
        <f>SUMIF(BD_PostVenta!$K:$K,P$14,BD_PostVenta!$AA:$AA)</f>
        <v>0</v>
      </c>
      <c r="Q29" s="11" t="e">
        <f>SUMIF(#REF!,D$14,BD_PostVenta!$Y:$Y)</f>
        <v>#REF!</v>
      </c>
      <c r="R29" s="11" t="e">
        <f>COUNTIFS(BD_PostVenta!$C$3:$C$199,"SDK",#REF!,"Sí",BD_PostVenta!$AA$3:$AA$199,1)+COUNTIFS(BD_PostVenta!$C$3:$C$199,"SAAS",#REF!,"Sí",BD_PostVenta!$AA$3:$AA$199,1)</f>
        <v>#REF!</v>
      </c>
    </row>
    <row r="30" spans="2:19">
      <c r="B30" s="267" t="s">
        <v>106</v>
      </c>
      <c r="C30" s="187">
        <f>SUMIFS(BD_PostVenta!Z:Z,BD_PostVenta!L:L,B30)</f>
        <v>0</v>
      </c>
      <c r="D30" s="188" t="e">
        <f>SUMIFS(BD_PostVenta!$AA:$AA,#REF!,D$14,BD_PostVenta!$L:$L,$B30)</f>
        <v>#REF!</v>
      </c>
      <c r="E30" s="188" t="e">
        <f>SUMIFS(BD_PostVenta!$AA:$AA,#REF!,E$14,BD_PostVenta!$L:$L,$B30)</f>
        <v>#REF!</v>
      </c>
      <c r="F30" s="188" t="e">
        <f>SUMIFS(BD_PostVenta!$AA:$AA,#REF!,F$14,BD_PostVenta!$L:$L,$B30)</f>
        <v>#REF!</v>
      </c>
      <c r="G30" s="188" t="e">
        <f>SUMIFS(BD_PostVenta!$I:$I,#REF!,D$14,BD_PostVenta!$L:$L,$B30)*BD_PostVenta!I34</f>
        <v>#REF!</v>
      </c>
      <c r="H30" s="188">
        <f>SUMIF(BD_PostVenta!L:L,B30,BD_PostVenta!AM:AM)</f>
        <v>0</v>
      </c>
      <c r="I30" s="190" t="e">
        <f t="shared" si="5"/>
        <v>#REF!</v>
      </c>
      <c r="J30" s="187"/>
      <c r="K30" s="187"/>
      <c r="L30" s="191"/>
      <c r="M30" s="191"/>
      <c r="N30" s="191"/>
      <c r="O30" s="191"/>
      <c r="P30" s="191"/>
    </row>
    <row r="31" spans="2:19">
      <c r="B31" s="267" t="s">
        <v>343</v>
      </c>
      <c r="C31" s="187">
        <f>SUMIFS(BD_PostVenta!Z:Z,BD_PostVenta!L:L,B31)</f>
        <v>0</v>
      </c>
      <c r="D31" s="188" t="e">
        <f>SUMIFS(BD_PostVenta!$AA:$AA,#REF!,D$14,BD_PostVenta!$L:$L,$B31)</f>
        <v>#REF!</v>
      </c>
      <c r="E31" s="188" t="e">
        <f>SUMIFS(BD_PostVenta!$AA:$AA,#REF!,E$14,BD_PostVenta!$L:$L,$B31)</f>
        <v>#REF!</v>
      </c>
      <c r="F31" s="188" t="e">
        <f>SUMIFS(BD_PostVenta!$AA:$AA,#REF!,F$14,BD_PostVenta!$L:$L,$B31)</f>
        <v>#REF!</v>
      </c>
      <c r="G31" s="188" t="e">
        <f>SUMIFS(BD_PostVenta!$I:$I,#REF!,D$14,BD_PostVenta!$L:$L,$B31)*BD_PostVenta!I34</f>
        <v>#REF!</v>
      </c>
      <c r="H31" s="188">
        <f>SUMIF(BD_PostVenta!L:L,B31,BD_PostVenta!AM:AM)</f>
        <v>0</v>
      </c>
      <c r="I31" s="190" t="e">
        <f t="shared" si="5"/>
        <v>#REF!</v>
      </c>
      <c r="J31" s="187"/>
      <c r="K31" s="187"/>
      <c r="L31" s="191"/>
      <c r="M31" s="191"/>
      <c r="N31" s="191"/>
      <c r="O31" s="191"/>
      <c r="P31" s="191"/>
    </row>
    <row r="32" spans="2:19">
      <c r="B32" s="267" t="s">
        <v>472</v>
      </c>
      <c r="C32" s="187">
        <f>SUMIFS(BD_PostVenta!Z:Z,BD_PostVenta!L:L,B32)</f>
        <v>0</v>
      </c>
      <c r="D32" s="188" t="e">
        <f>SUMIFS(BD_PostVenta!$AA:$AA,#REF!,D$14,BD_PostVenta!$L:$L,$B32)</f>
        <v>#REF!</v>
      </c>
      <c r="E32" s="188" t="e">
        <f>SUMIFS(BD_PostVenta!$AA:$AA,#REF!,E$14,BD_PostVenta!$L:$L,$B32)</f>
        <v>#REF!</v>
      </c>
      <c r="F32" s="188" t="e">
        <f>SUMIFS(BD_PostVenta!$AA:$AA,#REF!,F$14,BD_PostVenta!$L:$L,$B32)</f>
        <v>#REF!</v>
      </c>
      <c r="G32" s="189" t="e">
        <f>SUMIFS(BD_PostVenta!$I:$I,#REF!,D$14,BD_PostVenta!$L:$L,$B32)*BD_PostVenta!I34</f>
        <v>#REF!</v>
      </c>
      <c r="H32" s="188">
        <f>SUMIF(BD_PostVenta!L:L,B32,BD_PostVenta!AM:AM)</f>
        <v>0</v>
      </c>
      <c r="I32" s="190" t="e">
        <f t="shared" si="5"/>
        <v>#REF!</v>
      </c>
      <c r="J32" s="187"/>
      <c r="K32" s="187"/>
      <c r="L32" s="191"/>
      <c r="M32" s="191"/>
      <c r="N32" s="191"/>
      <c r="O32" s="191"/>
      <c r="P32" s="191"/>
    </row>
    <row r="33" spans="2:16">
      <c r="B33" s="270" t="s">
        <v>824</v>
      </c>
      <c r="C33" s="187">
        <f t="shared" ref="C33:F33" si="6">C29-SUM(C30:C32)</f>
        <v>0</v>
      </c>
      <c r="D33" s="188" t="e">
        <f t="shared" si="6"/>
        <v>#REF!</v>
      </c>
      <c r="E33" s="188" t="e">
        <f t="shared" si="6"/>
        <v>#REF!</v>
      </c>
      <c r="F33" s="188" t="e">
        <f t="shared" si="6"/>
        <v>#REF!</v>
      </c>
      <c r="G33" s="188" t="e">
        <f>SUMIFS(BD_PostVenta!$I:$I,#REF!,D$14,BD_PostVenta!$L:$L,$B33)*3.5</f>
        <v>#REF!</v>
      </c>
      <c r="H33" s="188">
        <f>H29-SUM(H30:H32)</f>
        <v>0</v>
      </c>
      <c r="I33" s="190" t="e">
        <f t="shared" si="5"/>
        <v>#REF!</v>
      </c>
      <c r="J33" s="187"/>
      <c r="K33" s="187"/>
      <c r="L33" s="192"/>
      <c r="M33" s="192"/>
      <c r="N33" s="192"/>
      <c r="O33" s="192"/>
      <c r="P33" s="192"/>
    </row>
    <row r="34" spans="2:16">
      <c r="D34" s="136"/>
      <c r="E34" s="136"/>
      <c r="F34" s="136"/>
      <c r="G34" s="136"/>
      <c r="H34" s="136"/>
      <c r="I34" s="136"/>
    </row>
    <row r="35" spans="2:16" hidden="1">
      <c r="B35" s="179" t="s">
        <v>826</v>
      </c>
      <c r="C35" s="180">
        <f t="shared" ref="C35:F35" si="7">SUM(C17,C23,C29)</f>
        <v>123</v>
      </c>
      <c r="D35" s="181" t="e">
        <f t="shared" si="7"/>
        <v>#REF!</v>
      </c>
      <c r="E35" s="181" t="e">
        <f t="shared" si="7"/>
        <v>#REF!</v>
      </c>
      <c r="F35" s="181" t="e">
        <f t="shared" si="7"/>
        <v>#REF!</v>
      </c>
      <c r="G35" s="181"/>
      <c r="H35" s="181">
        <f t="shared" ref="H35:H39" si="8">SUM(H17,H23,H29)</f>
        <v>112</v>
      </c>
      <c r="I35" s="181"/>
      <c r="J35" s="180"/>
      <c r="K35" s="180"/>
      <c r="L35" s="196">
        <f t="shared" ref="L35:P35" si="9">SUM(L17,L23,L29)</f>
        <v>45</v>
      </c>
      <c r="M35" s="196">
        <f t="shared" si="9"/>
        <v>0</v>
      </c>
      <c r="N35" s="196">
        <f t="shared" si="9"/>
        <v>0</v>
      </c>
      <c r="O35" s="196">
        <f t="shared" si="9"/>
        <v>0</v>
      </c>
      <c r="P35" s="196">
        <f t="shared" si="9"/>
        <v>0</v>
      </c>
    </row>
    <row r="36" spans="2:16" hidden="1">
      <c r="B36" s="267" t="s">
        <v>106</v>
      </c>
      <c r="C36" s="187">
        <f t="shared" ref="C36:F36" si="10">SUM(C18,C24,C30)</f>
        <v>74</v>
      </c>
      <c r="D36" s="188" t="e">
        <f t="shared" si="10"/>
        <v>#REF!</v>
      </c>
      <c r="E36" s="188" t="e">
        <f t="shared" si="10"/>
        <v>#REF!</v>
      </c>
      <c r="F36" s="188" t="e">
        <f t="shared" si="10"/>
        <v>#REF!</v>
      </c>
      <c r="G36" s="188"/>
      <c r="H36" s="188">
        <f t="shared" si="8"/>
        <v>47</v>
      </c>
      <c r="I36" s="188"/>
      <c r="J36" s="187"/>
      <c r="K36" s="187"/>
      <c r="L36" s="191"/>
      <c r="M36" s="191"/>
      <c r="N36" s="191"/>
      <c r="O36" s="191"/>
      <c r="P36" s="191"/>
    </row>
    <row r="37" spans="2:16" hidden="1">
      <c r="B37" s="267" t="s">
        <v>343</v>
      </c>
      <c r="C37" s="187">
        <f t="shared" ref="C37:F37" si="11">SUM(C19,C25,C31)</f>
        <v>64</v>
      </c>
      <c r="D37" s="188" t="e">
        <f t="shared" si="11"/>
        <v>#REF!</v>
      </c>
      <c r="E37" s="188" t="e">
        <f t="shared" si="11"/>
        <v>#REF!</v>
      </c>
      <c r="F37" s="188" t="e">
        <f t="shared" si="11"/>
        <v>#REF!</v>
      </c>
      <c r="G37" s="188"/>
      <c r="H37" s="188">
        <f t="shared" si="8"/>
        <v>65</v>
      </c>
      <c r="I37" s="188"/>
      <c r="J37" s="187"/>
      <c r="K37" s="187"/>
      <c r="L37" s="191"/>
      <c r="M37" s="191"/>
      <c r="N37" s="191"/>
      <c r="O37" s="191"/>
      <c r="P37" s="191"/>
    </row>
    <row r="38" spans="2:16" hidden="1">
      <c r="B38" s="267" t="s">
        <v>472</v>
      </c>
      <c r="C38" s="187">
        <f t="shared" ref="C38:F38" si="12">SUM(C20,C26,C32)</f>
        <v>4</v>
      </c>
      <c r="D38" s="188" t="e">
        <f t="shared" si="12"/>
        <v>#REF!</v>
      </c>
      <c r="E38" s="188" t="e">
        <f t="shared" si="12"/>
        <v>#REF!</v>
      </c>
      <c r="F38" s="188" t="e">
        <f t="shared" si="12"/>
        <v>#REF!</v>
      </c>
      <c r="G38" s="188"/>
      <c r="H38" s="188">
        <f t="shared" si="8"/>
        <v>0</v>
      </c>
      <c r="I38" s="188"/>
      <c r="J38" s="187"/>
      <c r="K38" s="187"/>
      <c r="L38" s="191"/>
      <c r="M38" s="191"/>
      <c r="N38" s="191"/>
      <c r="O38" s="191"/>
      <c r="P38" s="191"/>
    </row>
    <row r="39" spans="2:16" hidden="1">
      <c r="B39" s="270" t="s">
        <v>824</v>
      </c>
      <c r="C39" s="187">
        <f t="shared" ref="C39:F39" si="13">SUM(C21,C27,C33)</f>
        <v>-19</v>
      </c>
      <c r="D39" s="188" t="e">
        <f t="shared" si="13"/>
        <v>#REF!</v>
      </c>
      <c r="E39" s="188" t="e">
        <f t="shared" si="13"/>
        <v>#REF!</v>
      </c>
      <c r="F39" s="188" t="e">
        <f t="shared" si="13"/>
        <v>#REF!</v>
      </c>
      <c r="G39" s="188"/>
      <c r="H39" s="188">
        <f t="shared" si="8"/>
        <v>0</v>
      </c>
      <c r="I39" s="188"/>
      <c r="J39" s="187"/>
      <c r="K39" s="187"/>
      <c r="L39" s="192"/>
      <c r="M39" s="192"/>
      <c r="N39" s="192"/>
      <c r="O39" s="192"/>
      <c r="P39" s="192"/>
    </row>
  </sheetData>
  <mergeCells count="1">
    <mergeCell ref="A1:N1"/>
  </mergeCells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S162"/>
  <sheetViews>
    <sheetView workbookViewId="0">
      <pane ySplit="2" topLeftCell="A3" activePane="bottomLeft" state="frozen"/>
      <selection pane="bottomLeft" activeCell="B4" sqref="B4"/>
    </sheetView>
  </sheetViews>
  <sheetFormatPr defaultColWidth="11.25" defaultRowHeight="15.75" customHeight="1"/>
  <cols>
    <col min="1" max="1" width="8.5" customWidth="1"/>
    <col min="2" max="2" width="12" customWidth="1"/>
    <col min="3" max="3" width="95.75" customWidth="1"/>
    <col min="7" max="7" width="11.75" customWidth="1"/>
    <col min="15" max="15" width="18.5" customWidth="1"/>
    <col min="16" max="16" width="12" customWidth="1"/>
  </cols>
  <sheetData>
    <row r="1" spans="1:19">
      <c r="D1" s="244" t="s">
        <v>47</v>
      </c>
      <c r="E1" s="253"/>
      <c r="F1" s="253"/>
      <c r="G1" s="253"/>
      <c r="H1" s="254"/>
      <c r="J1" s="247" t="s">
        <v>58</v>
      </c>
      <c r="K1" s="253"/>
      <c r="L1" s="253"/>
      <c r="M1" s="253"/>
      <c r="N1" s="254"/>
      <c r="O1" s="245" t="s">
        <v>59</v>
      </c>
      <c r="P1" s="253"/>
      <c r="Q1" s="253"/>
      <c r="R1" s="253"/>
      <c r="S1" s="254"/>
    </row>
    <row r="2" spans="1:19">
      <c r="A2" s="14" t="s">
        <v>66</v>
      </c>
      <c r="B2" s="14" t="s">
        <v>67</v>
      </c>
      <c r="C2" s="14" t="s">
        <v>68</v>
      </c>
      <c r="D2" s="13" t="s">
        <v>339</v>
      </c>
      <c r="E2" s="13" t="s">
        <v>70</v>
      </c>
      <c r="F2" s="13" t="s">
        <v>71</v>
      </c>
      <c r="G2" s="13" t="s">
        <v>98</v>
      </c>
      <c r="H2" s="13" t="s">
        <v>64</v>
      </c>
      <c r="I2" s="14" t="s">
        <v>76</v>
      </c>
      <c r="J2" s="175" t="s">
        <v>77</v>
      </c>
      <c r="K2" s="175" t="s">
        <v>78</v>
      </c>
      <c r="L2" s="175" t="s">
        <v>79</v>
      </c>
      <c r="M2" s="175" t="s">
        <v>80</v>
      </c>
      <c r="N2" s="175" t="s">
        <v>81</v>
      </c>
      <c r="O2" s="14" t="s">
        <v>85</v>
      </c>
      <c r="P2" s="14" t="s">
        <v>86</v>
      </c>
      <c r="Q2" s="14" t="s">
        <v>87</v>
      </c>
      <c r="R2" s="14" t="s">
        <v>88</v>
      </c>
      <c r="S2" s="14" t="s">
        <v>89</v>
      </c>
    </row>
    <row r="3" spans="1:19">
      <c r="A3" s="23" t="s">
        <v>99</v>
      </c>
      <c r="B3" s="24" t="s">
        <v>26</v>
      </c>
      <c r="C3" s="25" t="s">
        <v>100</v>
      </c>
      <c r="F3" s="31"/>
      <c r="G3" s="31"/>
      <c r="H3" s="31"/>
      <c r="I3" s="31" t="s">
        <v>106</v>
      </c>
      <c r="J3" s="37" t="s">
        <v>107</v>
      </c>
      <c r="K3" s="31"/>
      <c r="L3" s="31"/>
      <c r="M3" s="31"/>
      <c r="N3" s="31"/>
      <c r="O3" s="31" t="s">
        <v>108</v>
      </c>
      <c r="P3" s="31" t="s">
        <v>109</v>
      </c>
      <c r="Q3" s="31"/>
      <c r="R3" s="31"/>
      <c r="S3" s="31"/>
    </row>
    <row r="4" spans="1:19">
      <c r="A4" s="23" t="s">
        <v>111</v>
      </c>
      <c r="B4" s="24" t="s">
        <v>26</v>
      </c>
      <c r="C4" s="47" t="s">
        <v>112</v>
      </c>
      <c r="D4" s="31"/>
      <c r="E4" s="31"/>
      <c r="F4" s="31"/>
      <c r="G4" s="31"/>
      <c r="H4" s="31"/>
      <c r="I4" s="31" t="s">
        <v>106</v>
      </c>
      <c r="J4" s="37" t="s">
        <v>107</v>
      </c>
      <c r="K4" s="31"/>
      <c r="L4" s="31"/>
      <c r="M4" s="31"/>
      <c r="N4" s="31"/>
      <c r="O4" s="31" t="s">
        <v>108</v>
      </c>
      <c r="P4" s="31" t="s">
        <v>109</v>
      </c>
      <c r="Q4" s="31"/>
      <c r="R4" s="31"/>
      <c r="S4" s="31"/>
    </row>
    <row r="5" spans="1:19">
      <c r="A5" s="23" t="s">
        <v>113</v>
      </c>
      <c r="B5" s="24" t="s">
        <v>26</v>
      </c>
      <c r="C5" s="47" t="s">
        <v>114</v>
      </c>
      <c r="F5" s="37"/>
      <c r="G5" s="37"/>
      <c r="H5" s="37"/>
      <c r="I5" s="31" t="s">
        <v>106</v>
      </c>
      <c r="J5" s="37" t="s">
        <v>107</v>
      </c>
      <c r="K5" s="31"/>
      <c r="L5" s="31"/>
      <c r="M5" s="31"/>
      <c r="N5" s="31"/>
      <c r="O5" s="31" t="s">
        <v>108</v>
      </c>
      <c r="P5" s="31" t="s">
        <v>109</v>
      </c>
      <c r="Q5" s="31"/>
      <c r="R5" s="31"/>
      <c r="S5" s="31"/>
    </row>
    <row r="6" spans="1:19">
      <c r="A6" s="23" t="s">
        <v>118</v>
      </c>
      <c r="B6" s="24" t="s">
        <v>26</v>
      </c>
      <c r="C6" s="47" t="s">
        <v>119</v>
      </c>
      <c r="D6" s="31"/>
      <c r="E6" s="31"/>
      <c r="F6" s="31"/>
      <c r="G6" s="31"/>
      <c r="H6" s="31"/>
      <c r="I6" s="31" t="s">
        <v>106</v>
      </c>
      <c r="J6" s="37" t="s">
        <v>107</v>
      </c>
      <c r="K6" s="31"/>
      <c r="L6" s="31"/>
      <c r="M6" s="31"/>
      <c r="N6" s="31"/>
      <c r="O6" s="31" t="s">
        <v>108</v>
      </c>
      <c r="P6" s="31" t="s">
        <v>109</v>
      </c>
      <c r="Q6" s="31"/>
      <c r="R6" s="31"/>
      <c r="S6" s="31"/>
    </row>
    <row r="7" spans="1:19">
      <c r="A7" s="23" t="s">
        <v>120</v>
      </c>
      <c r="B7" s="24" t="s">
        <v>26</v>
      </c>
      <c r="C7" s="25" t="s">
        <v>827</v>
      </c>
      <c r="D7" s="31"/>
      <c r="E7" s="31"/>
      <c r="F7" s="31"/>
      <c r="G7" s="31"/>
      <c r="H7" s="31"/>
      <c r="I7" s="31" t="s">
        <v>106</v>
      </c>
      <c r="J7" s="37" t="s">
        <v>107</v>
      </c>
      <c r="K7" s="31"/>
      <c r="L7" s="31"/>
      <c r="M7" s="31"/>
      <c r="N7" s="31"/>
      <c r="O7" s="31" t="s">
        <v>108</v>
      </c>
      <c r="P7" s="31" t="s">
        <v>109</v>
      </c>
      <c r="Q7" s="31"/>
      <c r="R7" s="31"/>
      <c r="S7" s="31"/>
    </row>
    <row r="8" spans="1:19">
      <c r="A8" s="23" t="s">
        <v>122</v>
      </c>
      <c r="B8" s="24" t="s">
        <v>26</v>
      </c>
      <c r="C8" s="25" t="s">
        <v>123</v>
      </c>
      <c r="D8" s="31"/>
      <c r="E8" s="31"/>
      <c r="F8" s="31"/>
      <c r="G8" s="31"/>
      <c r="H8" s="31"/>
      <c r="I8" s="31" t="s">
        <v>106</v>
      </c>
      <c r="J8" s="37" t="s">
        <v>107</v>
      </c>
      <c r="K8" s="31"/>
      <c r="L8" s="31"/>
      <c r="M8" s="31"/>
      <c r="N8" s="31"/>
      <c r="O8" s="31" t="s">
        <v>108</v>
      </c>
      <c r="P8" s="31" t="s">
        <v>109</v>
      </c>
      <c r="Q8" s="31"/>
      <c r="R8" s="31"/>
      <c r="S8" s="31"/>
    </row>
    <row r="9" spans="1:19">
      <c r="A9" s="23" t="s">
        <v>132</v>
      </c>
      <c r="B9" s="24" t="s">
        <v>26</v>
      </c>
      <c r="C9" s="25" t="s">
        <v>133</v>
      </c>
      <c r="D9" s="31"/>
      <c r="E9" s="31"/>
      <c r="F9" s="31"/>
      <c r="G9" s="31"/>
      <c r="H9" s="31"/>
      <c r="I9" s="31" t="s">
        <v>106</v>
      </c>
      <c r="J9" s="37" t="s">
        <v>107</v>
      </c>
      <c r="K9" s="31"/>
      <c r="L9" s="31"/>
      <c r="M9" s="31"/>
      <c r="N9" s="31"/>
      <c r="O9" s="31" t="s">
        <v>108</v>
      </c>
      <c r="P9" s="31" t="s">
        <v>109</v>
      </c>
      <c r="Q9" s="31"/>
      <c r="R9" s="31"/>
      <c r="S9" s="31"/>
    </row>
    <row r="10" spans="1:19">
      <c r="A10" s="23" t="s">
        <v>136</v>
      </c>
      <c r="B10" s="24" t="s">
        <v>26</v>
      </c>
      <c r="C10" s="25" t="s">
        <v>137</v>
      </c>
      <c r="D10" s="31"/>
      <c r="E10" s="31"/>
      <c r="F10" s="31"/>
      <c r="G10" s="31"/>
      <c r="H10" s="31"/>
      <c r="I10" s="31" t="s">
        <v>106</v>
      </c>
      <c r="J10" s="37" t="s">
        <v>107</v>
      </c>
      <c r="K10" s="31"/>
      <c r="L10" s="31"/>
      <c r="M10" s="31"/>
      <c r="N10" s="31"/>
      <c r="O10" s="31" t="s">
        <v>108</v>
      </c>
      <c r="P10" s="31" t="s">
        <v>109</v>
      </c>
      <c r="Q10" s="31"/>
      <c r="R10" s="31"/>
      <c r="S10" s="31"/>
    </row>
    <row r="11" spans="1:19">
      <c r="A11" s="23" t="s">
        <v>141</v>
      </c>
      <c r="B11" s="24" t="s">
        <v>26</v>
      </c>
      <c r="C11" s="25" t="s">
        <v>142</v>
      </c>
      <c r="D11" s="31"/>
      <c r="E11" s="31"/>
      <c r="F11" s="31"/>
      <c r="G11" s="31"/>
      <c r="H11" s="31"/>
      <c r="I11" s="31" t="s">
        <v>106</v>
      </c>
      <c r="J11" s="37" t="s">
        <v>107</v>
      </c>
      <c r="K11" s="31"/>
      <c r="L11" s="31"/>
      <c r="M11" s="31"/>
      <c r="N11" s="31"/>
      <c r="O11" s="31" t="s">
        <v>108</v>
      </c>
      <c r="P11" s="31" t="s">
        <v>109</v>
      </c>
      <c r="Q11" s="31"/>
      <c r="R11" s="31"/>
      <c r="S11" s="31"/>
    </row>
    <row r="12" spans="1:19">
      <c r="A12" s="23" t="s">
        <v>147</v>
      </c>
      <c r="B12" s="24" t="s">
        <v>26</v>
      </c>
      <c r="C12" s="25" t="s">
        <v>148</v>
      </c>
      <c r="D12" s="31"/>
      <c r="E12" s="31"/>
      <c r="F12" s="31"/>
      <c r="G12" s="31"/>
      <c r="H12" s="31"/>
      <c r="I12" s="31" t="s">
        <v>106</v>
      </c>
      <c r="J12" s="37" t="s">
        <v>107</v>
      </c>
      <c r="K12" s="31"/>
      <c r="L12" s="31"/>
      <c r="M12" s="31"/>
      <c r="N12" s="31"/>
      <c r="O12" s="31" t="s">
        <v>108</v>
      </c>
      <c r="P12" s="31" t="s">
        <v>109</v>
      </c>
      <c r="Q12" s="31"/>
      <c r="R12" s="31"/>
      <c r="S12" s="31"/>
    </row>
    <row r="13" spans="1:19">
      <c r="A13" s="23" t="s">
        <v>150</v>
      </c>
      <c r="B13" s="24" t="s">
        <v>26</v>
      </c>
      <c r="C13" s="25" t="s">
        <v>151</v>
      </c>
      <c r="D13" s="31"/>
      <c r="E13" s="31"/>
      <c r="F13" s="31"/>
      <c r="G13" s="31"/>
      <c r="H13" s="31"/>
      <c r="I13" s="31" t="s">
        <v>106</v>
      </c>
      <c r="J13" s="37" t="s">
        <v>107</v>
      </c>
      <c r="K13" s="31"/>
      <c r="L13" s="31"/>
      <c r="M13" s="31"/>
      <c r="N13" s="31"/>
      <c r="O13" s="31" t="s">
        <v>108</v>
      </c>
      <c r="P13" s="31" t="s">
        <v>109</v>
      </c>
      <c r="Q13" s="31"/>
      <c r="R13" s="31"/>
      <c r="S13" s="31"/>
    </row>
    <row r="14" spans="1:19">
      <c r="A14" s="23" t="s">
        <v>154</v>
      </c>
      <c r="B14" s="24" t="s">
        <v>26</v>
      </c>
      <c r="C14" s="25" t="s">
        <v>155</v>
      </c>
      <c r="D14" s="31"/>
      <c r="E14" s="31"/>
      <c r="F14" s="31"/>
      <c r="G14" s="31"/>
      <c r="H14" s="31"/>
      <c r="I14" s="31" t="s">
        <v>106</v>
      </c>
      <c r="J14" s="37" t="s">
        <v>107</v>
      </c>
      <c r="K14" s="31"/>
      <c r="L14" s="31"/>
      <c r="M14" s="31"/>
      <c r="N14" s="31"/>
      <c r="O14" s="31" t="s">
        <v>108</v>
      </c>
      <c r="P14" s="31" t="s">
        <v>109</v>
      </c>
      <c r="Q14" s="31"/>
      <c r="R14" s="31"/>
      <c r="S14" s="31"/>
    </row>
    <row r="15" spans="1:19">
      <c r="A15" s="23" t="s">
        <v>158</v>
      </c>
      <c r="B15" s="24" t="s">
        <v>26</v>
      </c>
      <c r="C15" s="25" t="s">
        <v>159</v>
      </c>
      <c r="D15" s="31"/>
      <c r="E15" s="31"/>
      <c r="F15" s="31"/>
      <c r="G15" s="31"/>
      <c r="H15" s="31"/>
      <c r="I15" s="31" t="s">
        <v>106</v>
      </c>
      <c r="J15" s="37" t="s">
        <v>107</v>
      </c>
      <c r="K15" s="31"/>
      <c r="L15" s="31"/>
      <c r="M15" s="31"/>
      <c r="N15" s="31"/>
      <c r="O15" s="31" t="s">
        <v>108</v>
      </c>
      <c r="P15" s="31" t="s">
        <v>109</v>
      </c>
      <c r="Q15" s="31"/>
      <c r="R15" s="31"/>
      <c r="S15" s="31"/>
    </row>
    <row r="16" spans="1:19">
      <c r="A16" s="23" t="s">
        <v>828</v>
      </c>
      <c r="B16" s="24" t="s">
        <v>26</v>
      </c>
      <c r="C16" s="25" t="s">
        <v>829</v>
      </c>
      <c r="D16" s="31"/>
      <c r="E16" s="31"/>
      <c r="F16" s="31"/>
      <c r="G16" s="31"/>
      <c r="H16" s="31"/>
      <c r="I16" s="31" t="s">
        <v>106</v>
      </c>
      <c r="J16" s="37" t="s">
        <v>107</v>
      </c>
      <c r="K16" s="31"/>
      <c r="L16" s="31"/>
      <c r="M16" s="31"/>
      <c r="N16" s="31"/>
      <c r="O16" s="31" t="s">
        <v>108</v>
      </c>
      <c r="P16" s="31" t="s">
        <v>109</v>
      </c>
      <c r="Q16" s="31"/>
      <c r="R16" s="31"/>
      <c r="S16" s="31"/>
    </row>
    <row r="17" spans="1:19">
      <c r="A17" s="23" t="s">
        <v>830</v>
      </c>
      <c r="B17" s="24" t="s">
        <v>26</v>
      </c>
      <c r="C17" s="25" t="s">
        <v>831</v>
      </c>
      <c r="D17" s="31"/>
      <c r="E17" s="31"/>
      <c r="F17" s="31"/>
      <c r="G17" s="31"/>
      <c r="H17" s="31"/>
      <c r="I17" s="31" t="s">
        <v>106</v>
      </c>
      <c r="J17" s="37" t="s">
        <v>107</v>
      </c>
      <c r="K17" s="31"/>
      <c r="L17" s="31"/>
      <c r="M17" s="31"/>
      <c r="N17" s="31"/>
      <c r="O17" s="31" t="s">
        <v>108</v>
      </c>
      <c r="P17" s="31" t="s">
        <v>109</v>
      </c>
      <c r="Q17" s="31"/>
      <c r="R17" s="31"/>
      <c r="S17" s="31"/>
    </row>
    <row r="18" spans="1:19">
      <c r="A18" s="23" t="s">
        <v>160</v>
      </c>
      <c r="B18" s="24" t="s">
        <v>26</v>
      </c>
      <c r="C18" s="25" t="s">
        <v>161</v>
      </c>
      <c r="D18" s="31"/>
      <c r="E18" s="31"/>
      <c r="F18" s="31"/>
      <c r="G18" s="31"/>
      <c r="H18" s="31"/>
      <c r="I18" s="31" t="s">
        <v>106</v>
      </c>
      <c r="J18" s="37" t="s">
        <v>107</v>
      </c>
      <c r="K18" s="31"/>
      <c r="L18" s="31"/>
      <c r="M18" s="31"/>
      <c r="N18" s="31"/>
      <c r="O18" s="31" t="s">
        <v>108</v>
      </c>
      <c r="P18" s="31" t="s">
        <v>109</v>
      </c>
      <c r="Q18" s="31"/>
      <c r="R18" s="31"/>
      <c r="S18" s="31"/>
    </row>
    <row r="19" spans="1:19">
      <c r="A19" s="23" t="s">
        <v>162</v>
      </c>
      <c r="B19" s="24" t="s">
        <v>26</v>
      </c>
      <c r="C19" s="25" t="s">
        <v>163</v>
      </c>
      <c r="D19" s="31"/>
      <c r="E19" s="31"/>
      <c r="F19" s="31"/>
      <c r="G19" s="31"/>
      <c r="H19" s="31"/>
      <c r="I19" s="31" t="s">
        <v>106</v>
      </c>
      <c r="J19" s="37" t="s">
        <v>107</v>
      </c>
      <c r="K19" s="31"/>
      <c r="L19" s="31"/>
      <c r="M19" s="31"/>
      <c r="N19" s="31"/>
      <c r="O19" s="31" t="s">
        <v>108</v>
      </c>
      <c r="P19" s="31" t="s">
        <v>109</v>
      </c>
      <c r="Q19" s="31"/>
      <c r="R19" s="31"/>
      <c r="S19" s="31"/>
    </row>
    <row r="20" spans="1:19">
      <c r="A20" s="23" t="s">
        <v>164</v>
      </c>
      <c r="B20" s="24" t="s">
        <v>26</v>
      </c>
      <c r="C20" s="47" t="s">
        <v>165</v>
      </c>
      <c r="D20" s="31"/>
      <c r="E20" s="31"/>
      <c r="F20" s="31"/>
      <c r="G20" s="31"/>
      <c r="H20" s="31"/>
      <c r="I20" s="31" t="s">
        <v>106</v>
      </c>
      <c r="J20" s="37" t="s">
        <v>107</v>
      </c>
      <c r="K20" s="31"/>
      <c r="L20" s="31"/>
      <c r="M20" s="31"/>
      <c r="N20" s="31"/>
      <c r="O20" s="31" t="s">
        <v>108</v>
      </c>
      <c r="P20" s="31" t="s">
        <v>109</v>
      </c>
      <c r="Q20" s="31"/>
      <c r="R20" s="31"/>
      <c r="S20" s="31"/>
    </row>
    <row r="21" spans="1:19">
      <c r="A21" s="23" t="s">
        <v>170</v>
      </c>
      <c r="B21" s="24" t="s">
        <v>26</v>
      </c>
      <c r="C21" s="25" t="s">
        <v>171</v>
      </c>
      <c r="D21" s="31"/>
      <c r="E21" s="31"/>
      <c r="F21" s="31"/>
      <c r="G21" s="31"/>
      <c r="H21" s="31"/>
      <c r="I21" s="31" t="s">
        <v>106</v>
      </c>
      <c r="J21" s="37" t="s">
        <v>107</v>
      </c>
      <c r="K21" s="31"/>
      <c r="L21" s="31"/>
      <c r="M21" s="31"/>
      <c r="N21" s="31"/>
      <c r="O21" s="31" t="s">
        <v>108</v>
      </c>
      <c r="P21" s="31" t="s">
        <v>109</v>
      </c>
      <c r="Q21" s="31"/>
      <c r="R21" s="31"/>
      <c r="S21" s="31"/>
    </row>
    <row r="22" spans="1:19">
      <c r="A22" s="23" t="s">
        <v>175</v>
      </c>
      <c r="B22" s="24" t="s">
        <v>26</v>
      </c>
      <c r="C22" s="25" t="s">
        <v>176</v>
      </c>
      <c r="D22" s="31"/>
      <c r="E22" s="31"/>
      <c r="F22" s="31"/>
      <c r="G22" s="31"/>
      <c r="H22" s="31"/>
      <c r="I22" s="31" t="s">
        <v>106</v>
      </c>
      <c r="J22" s="37" t="s">
        <v>107</v>
      </c>
      <c r="K22" s="31"/>
      <c r="L22" s="31"/>
      <c r="M22" s="31"/>
      <c r="N22" s="31"/>
      <c r="O22" s="31" t="s">
        <v>108</v>
      </c>
      <c r="P22" s="31" t="s">
        <v>109</v>
      </c>
      <c r="Q22" s="31"/>
      <c r="R22" s="31"/>
      <c r="S22" s="31"/>
    </row>
    <row r="23" spans="1:19">
      <c r="A23" s="23" t="s">
        <v>177</v>
      </c>
      <c r="B23" s="24" t="s">
        <v>26</v>
      </c>
      <c r="C23" s="25" t="s">
        <v>178</v>
      </c>
      <c r="D23" s="31"/>
      <c r="E23" s="31"/>
      <c r="F23" s="31"/>
      <c r="G23" s="31"/>
      <c r="H23" s="31"/>
      <c r="I23" s="31" t="s">
        <v>106</v>
      </c>
      <c r="J23" s="37" t="s">
        <v>107</v>
      </c>
      <c r="K23" s="31"/>
      <c r="L23" s="31"/>
      <c r="M23" s="31"/>
      <c r="N23" s="31"/>
      <c r="O23" s="31" t="s">
        <v>108</v>
      </c>
      <c r="P23" s="31" t="s">
        <v>109</v>
      </c>
      <c r="Q23" s="31"/>
      <c r="R23" s="31"/>
      <c r="S23" s="31"/>
    </row>
    <row r="24" spans="1:19">
      <c r="A24" s="23" t="s">
        <v>179</v>
      </c>
      <c r="B24" s="24" t="s">
        <v>26</v>
      </c>
      <c r="C24" s="47" t="s">
        <v>180</v>
      </c>
      <c r="D24" s="31"/>
      <c r="E24" s="31"/>
      <c r="F24" s="31"/>
      <c r="G24" s="31"/>
      <c r="H24" s="31"/>
      <c r="I24" s="31" t="s">
        <v>106</v>
      </c>
      <c r="J24" s="37" t="s">
        <v>107</v>
      </c>
      <c r="K24" s="31"/>
      <c r="L24" s="31"/>
      <c r="M24" s="31"/>
      <c r="N24" s="31"/>
      <c r="O24" s="31" t="s">
        <v>181</v>
      </c>
      <c r="P24" s="31" t="s">
        <v>109</v>
      </c>
      <c r="Q24" s="31"/>
      <c r="R24" s="31"/>
      <c r="S24" s="31"/>
    </row>
    <row r="25" spans="1:19">
      <c r="A25" s="23" t="s">
        <v>832</v>
      </c>
      <c r="B25" s="24" t="s">
        <v>26</v>
      </c>
      <c r="C25" s="47" t="s">
        <v>833</v>
      </c>
      <c r="D25" s="31"/>
      <c r="E25" s="31"/>
      <c r="F25" s="31"/>
      <c r="G25" s="31"/>
      <c r="H25" s="31"/>
      <c r="I25" s="31" t="s">
        <v>106</v>
      </c>
      <c r="J25" s="37" t="s">
        <v>107</v>
      </c>
      <c r="K25" s="31"/>
      <c r="L25" s="31"/>
      <c r="M25" s="31"/>
      <c r="N25" s="31"/>
      <c r="O25" s="31" t="s">
        <v>108</v>
      </c>
      <c r="P25" s="31" t="s">
        <v>109</v>
      </c>
      <c r="Q25" s="31"/>
      <c r="R25" s="31"/>
      <c r="S25" s="31"/>
    </row>
    <row r="26" spans="1:19">
      <c r="A26" s="23" t="s">
        <v>182</v>
      </c>
      <c r="B26" s="24" t="s">
        <v>26</v>
      </c>
      <c r="C26" s="47" t="s">
        <v>183</v>
      </c>
      <c r="F26" s="31"/>
      <c r="G26" s="31"/>
      <c r="H26" s="31"/>
      <c r="I26" s="31" t="s">
        <v>106</v>
      </c>
      <c r="J26" s="37" t="s">
        <v>107</v>
      </c>
      <c r="K26" s="31"/>
      <c r="L26" s="31"/>
      <c r="M26" s="31"/>
      <c r="N26" s="31"/>
      <c r="O26" s="31" t="s">
        <v>108</v>
      </c>
      <c r="P26" s="31" t="s">
        <v>109</v>
      </c>
      <c r="Q26" s="31"/>
      <c r="R26" s="31"/>
      <c r="S26" s="31"/>
    </row>
    <row r="27" spans="1:19">
      <c r="A27" s="23" t="s">
        <v>186</v>
      </c>
      <c r="B27" s="24" t="s">
        <v>26</v>
      </c>
      <c r="C27" s="47" t="s">
        <v>187</v>
      </c>
      <c r="D27" s="31"/>
      <c r="E27" s="31"/>
      <c r="F27" s="31"/>
      <c r="G27" s="31"/>
      <c r="H27" s="31"/>
      <c r="I27" s="31" t="s">
        <v>106</v>
      </c>
      <c r="J27" s="37" t="s">
        <v>107</v>
      </c>
      <c r="K27" s="31"/>
      <c r="L27" s="31"/>
      <c r="M27" s="31"/>
      <c r="N27" s="31"/>
      <c r="O27" s="31" t="s">
        <v>108</v>
      </c>
      <c r="P27" s="31" t="s">
        <v>109</v>
      </c>
      <c r="Q27" s="31"/>
      <c r="R27" s="31"/>
      <c r="S27" s="31"/>
    </row>
    <row r="28" spans="1:19">
      <c r="A28" s="23" t="s">
        <v>834</v>
      </c>
      <c r="B28" s="24" t="s">
        <v>26</v>
      </c>
      <c r="C28" s="47" t="s">
        <v>835</v>
      </c>
      <c r="D28" s="31"/>
      <c r="E28" s="31"/>
      <c r="F28" s="31"/>
      <c r="G28" s="31"/>
      <c r="H28" s="31"/>
      <c r="I28" s="31" t="s">
        <v>106</v>
      </c>
      <c r="J28" s="37" t="s">
        <v>107</v>
      </c>
      <c r="K28" s="31"/>
      <c r="L28" s="31"/>
      <c r="M28" s="31"/>
      <c r="N28" s="31"/>
      <c r="O28" s="31" t="s">
        <v>108</v>
      </c>
      <c r="P28" s="31" t="s">
        <v>109</v>
      </c>
      <c r="Q28" s="31"/>
      <c r="R28" s="31"/>
      <c r="S28" s="31"/>
    </row>
    <row r="29" spans="1:19">
      <c r="A29" s="23" t="s">
        <v>188</v>
      </c>
      <c r="B29" s="24" t="s">
        <v>26</v>
      </c>
      <c r="C29" s="47" t="s">
        <v>189</v>
      </c>
      <c r="D29" s="31"/>
      <c r="E29" s="31"/>
      <c r="F29" s="31"/>
      <c r="G29" s="31"/>
      <c r="H29" s="31"/>
      <c r="I29" s="31" t="s">
        <v>106</v>
      </c>
      <c r="J29" s="37" t="s">
        <v>107</v>
      </c>
      <c r="K29" s="31"/>
      <c r="L29" s="31"/>
      <c r="M29" s="31"/>
      <c r="N29" s="31"/>
      <c r="O29" s="31" t="s">
        <v>108</v>
      </c>
      <c r="P29" s="31" t="s">
        <v>109</v>
      </c>
      <c r="Q29" s="31"/>
      <c r="R29" s="31"/>
      <c r="S29" s="31"/>
    </row>
    <row r="30" spans="1:19">
      <c r="A30" s="84" t="s">
        <v>190</v>
      </c>
      <c r="B30" s="84" t="s">
        <v>26</v>
      </c>
      <c r="C30" s="85" t="s">
        <v>191</v>
      </c>
      <c r="D30" s="31"/>
      <c r="E30" s="31"/>
      <c r="F30" s="31"/>
      <c r="G30" s="31"/>
      <c r="H30" s="31"/>
      <c r="I30" s="31" t="s">
        <v>106</v>
      </c>
      <c r="J30" s="37" t="s">
        <v>107</v>
      </c>
      <c r="K30" s="31"/>
      <c r="L30" s="31"/>
      <c r="M30" s="31"/>
      <c r="N30" s="31"/>
      <c r="O30" s="31" t="s">
        <v>108</v>
      </c>
      <c r="P30" s="31" t="s">
        <v>109</v>
      </c>
      <c r="Q30" s="31"/>
      <c r="R30" s="31"/>
      <c r="S30" s="31"/>
    </row>
    <row r="31" spans="1:19">
      <c r="A31" s="86" t="s">
        <v>192</v>
      </c>
      <c r="B31" s="24" t="s">
        <v>26</v>
      </c>
      <c r="C31" s="87" t="s">
        <v>193</v>
      </c>
      <c r="D31" s="31"/>
      <c r="E31" s="31"/>
      <c r="F31" s="31"/>
      <c r="G31" s="31"/>
      <c r="H31" s="31"/>
      <c r="I31" s="31" t="s">
        <v>106</v>
      </c>
      <c r="J31" s="37" t="s">
        <v>107</v>
      </c>
      <c r="K31" s="31"/>
      <c r="L31" s="31"/>
      <c r="M31" s="31"/>
      <c r="N31" s="31"/>
      <c r="O31" s="31" t="s">
        <v>108</v>
      </c>
      <c r="P31" s="31" t="s">
        <v>109</v>
      </c>
      <c r="Q31" s="31"/>
      <c r="R31" s="31"/>
      <c r="S31" s="31"/>
    </row>
    <row r="32" spans="1:19">
      <c r="A32" s="23" t="s">
        <v>195</v>
      </c>
      <c r="B32" s="24" t="s">
        <v>26</v>
      </c>
      <c r="C32" s="47" t="s">
        <v>196</v>
      </c>
      <c r="D32" s="31"/>
      <c r="E32" s="31"/>
      <c r="F32" s="31"/>
      <c r="G32" s="31"/>
      <c r="H32" s="31"/>
      <c r="I32" s="31" t="s">
        <v>106</v>
      </c>
      <c r="J32" s="37" t="s">
        <v>107</v>
      </c>
      <c r="K32" s="31"/>
      <c r="L32" s="31"/>
      <c r="M32" s="31"/>
      <c r="N32" s="31"/>
      <c r="O32" s="31" t="s">
        <v>108</v>
      </c>
      <c r="P32" s="31" t="s">
        <v>109</v>
      </c>
      <c r="Q32" s="31"/>
      <c r="R32" s="31"/>
      <c r="S32" s="31"/>
    </row>
    <row r="33" spans="1:19">
      <c r="A33" s="23" t="s">
        <v>197</v>
      </c>
      <c r="B33" s="24" t="s">
        <v>26</v>
      </c>
      <c r="C33" s="47" t="s">
        <v>198</v>
      </c>
      <c r="D33" s="31"/>
      <c r="E33" s="31"/>
      <c r="F33" s="31"/>
      <c r="G33" s="31"/>
      <c r="H33" s="31"/>
      <c r="I33" s="31" t="s">
        <v>106</v>
      </c>
      <c r="J33" s="37" t="s">
        <v>107</v>
      </c>
      <c r="K33" s="31"/>
      <c r="L33" s="31"/>
      <c r="M33" s="31"/>
      <c r="N33" s="31"/>
      <c r="O33" s="31" t="s">
        <v>108</v>
      </c>
      <c r="P33" s="31" t="s">
        <v>109</v>
      </c>
      <c r="Q33" s="31"/>
      <c r="R33" s="31"/>
      <c r="S33" s="31"/>
    </row>
    <row r="34" spans="1:19">
      <c r="A34" s="23" t="s">
        <v>199</v>
      </c>
      <c r="B34" s="24" t="s">
        <v>26</v>
      </c>
      <c r="C34" s="47" t="s">
        <v>200</v>
      </c>
      <c r="D34" s="31"/>
      <c r="E34" s="31"/>
      <c r="F34" s="31"/>
      <c r="G34" s="31"/>
      <c r="H34" s="31"/>
      <c r="I34" s="31" t="s">
        <v>106</v>
      </c>
      <c r="J34" s="37" t="s">
        <v>107</v>
      </c>
      <c r="K34" s="31"/>
      <c r="L34" s="31"/>
      <c r="M34" s="31"/>
      <c r="N34" s="31"/>
      <c r="O34" s="31" t="s">
        <v>108</v>
      </c>
      <c r="P34" s="31" t="s">
        <v>109</v>
      </c>
      <c r="Q34" s="31"/>
      <c r="R34" s="31"/>
      <c r="S34" s="31"/>
    </row>
    <row r="35" spans="1:19">
      <c r="A35" s="23" t="s">
        <v>201</v>
      </c>
      <c r="B35" s="24" t="s">
        <v>26</v>
      </c>
      <c r="C35" s="47" t="s">
        <v>202</v>
      </c>
      <c r="D35" s="31"/>
      <c r="E35" s="31"/>
      <c r="F35" s="31"/>
      <c r="G35" s="31"/>
      <c r="H35" s="31"/>
      <c r="I35" s="31" t="s">
        <v>106</v>
      </c>
      <c r="J35" s="37" t="s">
        <v>107</v>
      </c>
      <c r="K35" s="31"/>
      <c r="L35" s="31"/>
      <c r="M35" s="31"/>
      <c r="N35" s="31"/>
      <c r="O35" s="31" t="s">
        <v>108</v>
      </c>
      <c r="P35" s="31" t="s">
        <v>109</v>
      </c>
      <c r="Q35" s="31"/>
      <c r="R35" s="31"/>
      <c r="S35" s="31"/>
    </row>
    <row r="36" spans="1:19">
      <c r="A36" s="23" t="s">
        <v>203</v>
      </c>
      <c r="B36" s="24" t="s">
        <v>26</v>
      </c>
      <c r="C36" s="47" t="s">
        <v>204</v>
      </c>
      <c r="D36" s="31"/>
      <c r="E36" s="31"/>
      <c r="F36" s="31"/>
      <c r="G36" s="31"/>
      <c r="H36" s="31"/>
      <c r="I36" s="31" t="s">
        <v>106</v>
      </c>
      <c r="J36" s="37" t="s">
        <v>107</v>
      </c>
      <c r="K36" s="31"/>
      <c r="L36" s="31"/>
      <c r="M36" s="31"/>
      <c r="N36" s="31"/>
      <c r="O36" s="31" t="s">
        <v>108</v>
      </c>
      <c r="P36" s="31" t="s">
        <v>109</v>
      </c>
      <c r="Q36" s="31"/>
      <c r="R36" s="31"/>
      <c r="S36" s="31"/>
    </row>
    <row r="37" spans="1:19">
      <c r="A37" s="23" t="s">
        <v>205</v>
      </c>
      <c r="B37" s="24" t="s">
        <v>26</v>
      </c>
      <c r="C37" s="47" t="s">
        <v>206</v>
      </c>
      <c r="D37" s="31"/>
      <c r="E37" s="31"/>
      <c r="F37" s="31"/>
      <c r="G37" s="31"/>
      <c r="H37" s="31"/>
      <c r="I37" s="31" t="s">
        <v>106</v>
      </c>
      <c r="J37" s="37" t="s">
        <v>107</v>
      </c>
      <c r="K37" s="31"/>
      <c r="L37" s="31"/>
      <c r="M37" s="31"/>
      <c r="N37" s="31"/>
      <c r="O37" s="31" t="s">
        <v>108</v>
      </c>
      <c r="P37" s="31" t="s">
        <v>109</v>
      </c>
      <c r="Q37" s="31"/>
      <c r="R37" s="31"/>
      <c r="S37" s="31"/>
    </row>
    <row r="38" spans="1:19">
      <c r="A38" s="23" t="s">
        <v>207</v>
      </c>
      <c r="B38" s="24" t="s">
        <v>26</v>
      </c>
      <c r="C38" s="47" t="s">
        <v>208</v>
      </c>
      <c r="D38" s="31"/>
      <c r="E38" s="31"/>
      <c r="F38" s="31"/>
      <c r="G38" s="31"/>
      <c r="H38" s="31"/>
      <c r="I38" s="31" t="s">
        <v>106</v>
      </c>
      <c r="J38" s="37" t="s">
        <v>107</v>
      </c>
      <c r="K38" s="31"/>
      <c r="L38" s="31"/>
      <c r="M38" s="31"/>
      <c r="N38" s="31"/>
      <c r="O38" s="31" t="s">
        <v>108</v>
      </c>
      <c r="P38" s="31" t="s">
        <v>109</v>
      </c>
      <c r="Q38" s="31"/>
      <c r="R38" s="31"/>
      <c r="S38" s="31"/>
    </row>
    <row r="39" spans="1:19">
      <c r="A39" s="23" t="s">
        <v>209</v>
      </c>
      <c r="B39" s="24" t="s">
        <v>26</v>
      </c>
      <c r="C39" s="47" t="s">
        <v>210</v>
      </c>
      <c r="D39" s="31"/>
      <c r="E39" s="31"/>
      <c r="F39" s="31"/>
      <c r="G39" s="31"/>
      <c r="H39" s="31"/>
      <c r="I39" s="31" t="s">
        <v>106</v>
      </c>
      <c r="J39" s="37" t="s">
        <v>107</v>
      </c>
      <c r="K39" s="31"/>
      <c r="L39" s="31"/>
      <c r="M39" s="31"/>
      <c r="N39" s="31"/>
      <c r="O39" s="31" t="s">
        <v>108</v>
      </c>
      <c r="P39" s="31" t="s">
        <v>109</v>
      </c>
      <c r="Q39" s="31"/>
      <c r="R39" s="31"/>
      <c r="S39" s="31"/>
    </row>
    <row r="40" spans="1:19">
      <c r="A40" s="23" t="s">
        <v>211</v>
      </c>
      <c r="B40" s="24" t="s">
        <v>26</v>
      </c>
      <c r="C40" s="47" t="s">
        <v>212</v>
      </c>
      <c r="D40" s="31"/>
      <c r="E40" s="31"/>
      <c r="F40" s="31"/>
      <c r="G40" s="31"/>
      <c r="H40" s="31"/>
      <c r="I40" s="31" t="s">
        <v>106</v>
      </c>
      <c r="J40" s="37" t="s">
        <v>107</v>
      </c>
      <c r="K40" s="31"/>
      <c r="L40" s="31"/>
      <c r="M40" s="31"/>
      <c r="N40" s="31"/>
      <c r="O40" s="31" t="s">
        <v>108</v>
      </c>
      <c r="P40" s="31" t="s">
        <v>109</v>
      </c>
      <c r="Q40" s="31"/>
      <c r="R40" s="31"/>
      <c r="S40" s="31"/>
    </row>
    <row r="41" spans="1:19">
      <c r="A41" s="23" t="s">
        <v>213</v>
      </c>
      <c r="B41" s="24" t="s">
        <v>26</v>
      </c>
      <c r="C41" s="47" t="s">
        <v>214</v>
      </c>
      <c r="D41" s="31"/>
      <c r="E41" s="31"/>
      <c r="F41" s="31"/>
      <c r="G41" s="31"/>
      <c r="H41" s="31"/>
      <c r="I41" s="31" t="s">
        <v>106</v>
      </c>
      <c r="J41" s="37" t="s">
        <v>107</v>
      </c>
      <c r="K41" s="31"/>
      <c r="L41" s="31"/>
      <c r="M41" s="31"/>
      <c r="N41" s="31"/>
      <c r="O41" s="31" t="s">
        <v>108</v>
      </c>
      <c r="P41" s="31" t="s">
        <v>109</v>
      </c>
      <c r="Q41" s="31"/>
      <c r="R41" s="31"/>
      <c r="S41" s="31"/>
    </row>
    <row r="42" spans="1:19">
      <c r="A42" s="23" t="s">
        <v>215</v>
      </c>
      <c r="B42" s="24" t="s">
        <v>26</v>
      </c>
      <c r="C42" s="47" t="s">
        <v>216</v>
      </c>
      <c r="D42" s="31"/>
      <c r="E42" s="31"/>
      <c r="F42" s="31"/>
      <c r="G42" s="31"/>
      <c r="H42" s="31"/>
      <c r="I42" s="31" t="s">
        <v>106</v>
      </c>
      <c r="J42" s="37" t="s">
        <v>107</v>
      </c>
      <c r="K42" s="31"/>
      <c r="L42" s="31"/>
      <c r="M42" s="31"/>
      <c r="N42" s="31"/>
      <c r="O42" s="31" t="s">
        <v>108</v>
      </c>
      <c r="P42" s="31" t="s">
        <v>109</v>
      </c>
      <c r="Q42" s="31"/>
      <c r="R42" s="31"/>
      <c r="S42" s="31"/>
    </row>
    <row r="43" spans="1:19">
      <c r="A43" s="23" t="s">
        <v>217</v>
      </c>
      <c r="B43" s="24" t="s">
        <v>26</v>
      </c>
      <c r="C43" s="47" t="s">
        <v>218</v>
      </c>
      <c r="D43" s="31"/>
      <c r="E43" s="31"/>
      <c r="F43" s="31"/>
      <c r="G43" s="31"/>
      <c r="H43" s="31"/>
      <c r="I43" s="31" t="s">
        <v>106</v>
      </c>
      <c r="J43" s="37" t="s">
        <v>107</v>
      </c>
      <c r="K43" s="31"/>
      <c r="L43" s="31"/>
      <c r="M43" s="31"/>
      <c r="N43" s="31"/>
      <c r="O43" s="31" t="s">
        <v>108</v>
      </c>
      <c r="P43" s="31" t="s">
        <v>109</v>
      </c>
      <c r="Q43" s="31"/>
      <c r="R43" s="31"/>
      <c r="S43" s="31"/>
    </row>
    <row r="44" spans="1:19">
      <c r="A44" s="23" t="s">
        <v>219</v>
      </c>
      <c r="B44" s="24" t="s">
        <v>26</v>
      </c>
      <c r="C44" s="47" t="s">
        <v>220</v>
      </c>
      <c r="D44" s="31"/>
      <c r="E44" s="31"/>
      <c r="F44" s="31"/>
      <c r="G44" s="31"/>
      <c r="H44" s="31"/>
      <c r="I44" s="31" t="s">
        <v>106</v>
      </c>
      <c r="J44" s="37" t="s">
        <v>107</v>
      </c>
      <c r="K44" s="31"/>
      <c r="L44" s="31"/>
      <c r="M44" s="31"/>
      <c r="N44" s="31"/>
      <c r="O44" s="31" t="s">
        <v>108</v>
      </c>
      <c r="P44" s="31" t="s">
        <v>109</v>
      </c>
      <c r="Q44" s="31"/>
      <c r="R44" s="31"/>
      <c r="S44" s="31"/>
    </row>
    <row r="45" spans="1:19">
      <c r="A45" s="23" t="s">
        <v>221</v>
      </c>
      <c r="B45" s="24" t="s">
        <v>26</v>
      </c>
      <c r="C45" s="47" t="s">
        <v>222</v>
      </c>
      <c r="D45" s="31"/>
      <c r="E45" s="31"/>
      <c r="F45" s="31"/>
      <c r="G45" s="31"/>
      <c r="H45" s="31"/>
      <c r="I45" s="31" t="s">
        <v>106</v>
      </c>
      <c r="J45" s="37" t="s">
        <v>107</v>
      </c>
      <c r="K45" s="31"/>
      <c r="L45" s="31"/>
      <c r="M45" s="31"/>
      <c r="N45" s="31"/>
      <c r="O45" s="31" t="s">
        <v>108</v>
      </c>
      <c r="P45" s="31" t="s">
        <v>109</v>
      </c>
      <c r="Q45" s="31"/>
      <c r="R45" s="31"/>
      <c r="S45" s="31"/>
    </row>
    <row r="46" spans="1:19">
      <c r="A46" s="23" t="s">
        <v>223</v>
      </c>
      <c r="B46" s="84" t="s">
        <v>26</v>
      </c>
      <c r="C46" s="47" t="s">
        <v>224</v>
      </c>
      <c r="D46" s="31"/>
      <c r="E46" s="31"/>
      <c r="F46" s="31"/>
      <c r="G46" s="31"/>
      <c r="H46" s="31"/>
      <c r="I46" s="31" t="s">
        <v>106</v>
      </c>
      <c r="J46" s="37" t="s">
        <v>107</v>
      </c>
      <c r="K46" s="31"/>
      <c r="L46" s="31"/>
      <c r="M46" s="31"/>
      <c r="N46" s="31"/>
      <c r="O46" s="31" t="s">
        <v>108</v>
      </c>
      <c r="P46" s="31" t="s">
        <v>109</v>
      </c>
      <c r="Q46" s="31"/>
      <c r="R46" s="31"/>
      <c r="S46" s="31"/>
    </row>
    <row r="47" spans="1:19">
      <c r="A47" s="84" t="s">
        <v>225</v>
      </c>
      <c r="B47" s="84" t="s">
        <v>26</v>
      </c>
      <c r="C47" s="85" t="s">
        <v>226</v>
      </c>
      <c r="D47" s="31"/>
      <c r="E47" s="31"/>
      <c r="F47" s="31"/>
      <c r="G47" s="31"/>
      <c r="H47" s="31"/>
      <c r="I47" s="31" t="s">
        <v>106</v>
      </c>
      <c r="J47" s="37" t="s">
        <v>107</v>
      </c>
      <c r="K47" s="31"/>
      <c r="L47" s="31"/>
      <c r="M47" s="31"/>
      <c r="N47" s="31"/>
      <c r="O47" s="31" t="s">
        <v>108</v>
      </c>
      <c r="P47" s="31" t="s">
        <v>109</v>
      </c>
      <c r="Q47" s="31"/>
      <c r="R47" s="31"/>
      <c r="S47" s="31"/>
    </row>
    <row r="48" spans="1:19">
      <c r="A48" s="23" t="s">
        <v>227</v>
      </c>
      <c r="B48" s="24" t="s">
        <v>26</v>
      </c>
      <c r="C48" s="47" t="s">
        <v>228</v>
      </c>
      <c r="D48" s="31"/>
      <c r="E48" s="31"/>
      <c r="F48" s="31"/>
      <c r="G48" s="31"/>
      <c r="H48" s="31"/>
      <c r="I48" s="31" t="s">
        <v>106</v>
      </c>
      <c r="J48" s="37" t="s">
        <v>107</v>
      </c>
      <c r="K48" s="31"/>
      <c r="L48" s="31"/>
      <c r="M48" s="31"/>
      <c r="N48" s="31"/>
      <c r="O48" s="31" t="s">
        <v>108</v>
      </c>
      <c r="P48" s="31" t="s">
        <v>109</v>
      </c>
      <c r="Q48" s="31"/>
      <c r="R48" s="31"/>
      <c r="S48" s="31"/>
    </row>
    <row r="49" spans="1:19">
      <c r="A49" s="23" t="s">
        <v>229</v>
      </c>
      <c r="B49" s="24" t="s">
        <v>26</v>
      </c>
      <c r="C49" s="47" t="s">
        <v>230</v>
      </c>
      <c r="D49" s="31"/>
      <c r="E49" s="31"/>
      <c r="F49" s="31"/>
      <c r="G49" s="31"/>
      <c r="H49" s="31"/>
      <c r="I49" s="31" t="s">
        <v>106</v>
      </c>
      <c r="J49" s="37" t="s">
        <v>107</v>
      </c>
      <c r="K49" s="31"/>
      <c r="L49" s="31"/>
      <c r="M49" s="31"/>
      <c r="N49" s="31"/>
      <c r="O49" s="31" t="s">
        <v>108</v>
      </c>
      <c r="P49" s="31" t="s">
        <v>109</v>
      </c>
      <c r="Q49" s="31"/>
      <c r="R49" s="31"/>
      <c r="S49" s="31"/>
    </row>
    <row r="50" spans="1:19">
      <c r="A50" s="23" t="s">
        <v>231</v>
      </c>
      <c r="B50" s="24" t="s">
        <v>26</v>
      </c>
      <c r="C50" s="47" t="s">
        <v>232</v>
      </c>
      <c r="D50" s="31"/>
      <c r="E50" s="31"/>
      <c r="F50" s="31"/>
      <c r="G50" s="31"/>
      <c r="H50" s="31"/>
      <c r="I50" s="31" t="s">
        <v>106</v>
      </c>
      <c r="J50" s="37" t="s">
        <v>107</v>
      </c>
      <c r="K50" s="31"/>
      <c r="L50" s="31"/>
      <c r="M50" s="31"/>
      <c r="N50" s="31"/>
      <c r="O50" s="31" t="s">
        <v>108</v>
      </c>
      <c r="P50" s="31" t="s">
        <v>109</v>
      </c>
      <c r="Q50" s="31"/>
      <c r="R50" s="31"/>
      <c r="S50" s="31"/>
    </row>
    <row r="51" spans="1:19">
      <c r="A51" s="23" t="s">
        <v>233</v>
      </c>
      <c r="B51" s="24" t="s">
        <v>26</v>
      </c>
      <c r="C51" s="47" t="s">
        <v>234</v>
      </c>
      <c r="D51" s="31"/>
      <c r="E51" s="31"/>
      <c r="F51" s="31"/>
      <c r="G51" s="31"/>
      <c r="H51" s="31"/>
      <c r="I51" s="31" t="s">
        <v>106</v>
      </c>
      <c r="J51" s="37" t="s">
        <v>107</v>
      </c>
      <c r="K51" s="31"/>
      <c r="L51" s="31"/>
      <c r="M51" s="31"/>
      <c r="N51" s="31"/>
      <c r="O51" s="31" t="s">
        <v>108</v>
      </c>
      <c r="P51" s="31" t="s">
        <v>109</v>
      </c>
      <c r="Q51" s="31"/>
      <c r="R51" s="31"/>
      <c r="S51" s="31"/>
    </row>
    <row r="52" spans="1:19">
      <c r="A52" s="23" t="s">
        <v>235</v>
      </c>
      <c r="B52" s="24" t="s">
        <v>26</v>
      </c>
      <c r="C52" s="47" t="s">
        <v>236</v>
      </c>
      <c r="D52" s="31"/>
      <c r="E52" s="31"/>
      <c r="F52" s="31"/>
      <c r="G52" s="31"/>
      <c r="H52" s="31"/>
      <c r="I52" s="31" t="s">
        <v>106</v>
      </c>
      <c r="J52" s="37" t="s">
        <v>107</v>
      </c>
      <c r="K52" s="31"/>
      <c r="L52" s="31"/>
      <c r="M52" s="31"/>
      <c r="N52" s="31"/>
      <c r="O52" s="31" t="s">
        <v>108</v>
      </c>
      <c r="P52" s="31" t="s">
        <v>109</v>
      </c>
      <c r="Q52" s="31"/>
      <c r="R52" s="31"/>
      <c r="S52" s="31"/>
    </row>
    <row r="53" spans="1:19">
      <c r="A53" s="23" t="s">
        <v>237</v>
      </c>
      <c r="B53" s="24" t="s">
        <v>26</v>
      </c>
      <c r="C53" s="47" t="s">
        <v>238</v>
      </c>
      <c r="D53" s="31"/>
      <c r="E53" s="31"/>
      <c r="F53" s="31"/>
      <c r="G53" s="31"/>
      <c r="H53" s="31"/>
      <c r="I53" s="31" t="s">
        <v>106</v>
      </c>
      <c r="J53" s="37" t="s">
        <v>107</v>
      </c>
      <c r="K53" s="31"/>
      <c r="L53" s="31"/>
      <c r="M53" s="31"/>
      <c r="N53" s="31"/>
      <c r="O53" s="31" t="s">
        <v>108</v>
      </c>
      <c r="P53" s="31" t="s">
        <v>109</v>
      </c>
      <c r="Q53" s="31"/>
      <c r="R53" s="31"/>
      <c r="S53" s="31"/>
    </row>
    <row r="54" spans="1:19">
      <c r="A54" s="23" t="s">
        <v>239</v>
      </c>
      <c r="B54" s="24" t="s">
        <v>26</v>
      </c>
      <c r="C54" s="47" t="s">
        <v>240</v>
      </c>
      <c r="D54" s="31"/>
      <c r="E54" s="31"/>
      <c r="F54" s="31"/>
      <c r="G54" s="31"/>
      <c r="H54" s="31"/>
      <c r="I54" s="31" t="s">
        <v>106</v>
      </c>
      <c r="J54" s="37" t="s">
        <v>107</v>
      </c>
      <c r="K54" s="31"/>
      <c r="L54" s="31"/>
      <c r="M54" s="31"/>
      <c r="N54" s="31"/>
      <c r="O54" s="31" t="s">
        <v>108</v>
      </c>
      <c r="P54" s="31" t="s">
        <v>109</v>
      </c>
      <c r="Q54" s="31"/>
      <c r="R54" s="31"/>
      <c r="S54" s="31"/>
    </row>
    <row r="55" spans="1:19">
      <c r="A55" s="23" t="s">
        <v>241</v>
      </c>
      <c r="B55" s="24" t="s">
        <v>26</v>
      </c>
      <c r="C55" s="47" t="s">
        <v>242</v>
      </c>
      <c r="D55" s="31"/>
      <c r="E55" s="31"/>
      <c r="F55" s="31"/>
      <c r="G55" s="31"/>
      <c r="H55" s="31"/>
      <c r="I55" s="31" t="s">
        <v>106</v>
      </c>
      <c r="J55" s="37" t="s">
        <v>107</v>
      </c>
      <c r="K55" s="31"/>
      <c r="L55" s="31"/>
      <c r="M55" s="31"/>
      <c r="N55" s="31"/>
      <c r="O55" s="31" t="s">
        <v>108</v>
      </c>
      <c r="P55" s="31" t="s">
        <v>109</v>
      </c>
      <c r="Q55" s="31"/>
      <c r="R55" s="31"/>
      <c r="S55" s="31"/>
    </row>
    <row r="56" spans="1:19">
      <c r="A56" s="23" t="s">
        <v>243</v>
      </c>
      <c r="B56" s="24" t="s">
        <v>26</v>
      </c>
      <c r="C56" s="47" t="s">
        <v>244</v>
      </c>
      <c r="D56" s="31"/>
      <c r="E56" s="31"/>
      <c r="F56" s="31"/>
      <c r="G56" s="31"/>
      <c r="H56" s="31"/>
      <c r="I56" s="31" t="s">
        <v>106</v>
      </c>
      <c r="J56" s="37" t="s">
        <v>107</v>
      </c>
      <c r="K56" s="31"/>
      <c r="L56" s="31"/>
      <c r="M56" s="31"/>
      <c r="N56" s="31"/>
      <c r="O56" s="31" t="s">
        <v>108</v>
      </c>
      <c r="P56" s="31" t="s">
        <v>109</v>
      </c>
      <c r="Q56" s="31"/>
      <c r="R56" s="31"/>
      <c r="S56" s="31"/>
    </row>
    <row r="57" spans="1:19">
      <c r="A57" s="84" t="s">
        <v>245</v>
      </c>
      <c r="B57" s="84" t="s">
        <v>26</v>
      </c>
      <c r="C57" s="85" t="s">
        <v>246</v>
      </c>
      <c r="D57" s="31"/>
      <c r="E57" s="31"/>
      <c r="F57" s="31"/>
      <c r="G57" s="31"/>
      <c r="H57" s="31"/>
      <c r="I57" s="31" t="s">
        <v>106</v>
      </c>
      <c r="J57" s="37" t="s">
        <v>107</v>
      </c>
      <c r="K57" s="31"/>
      <c r="L57" s="31"/>
      <c r="M57" s="31"/>
      <c r="N57" s="31"/>
      <c r="O57" s="31" t="s">
        <v>108</v>
      </c>
      <c r="P57" s="31" t="s">
        <v>109</v>
      </c>
      <c r="Q57" s="31"/>
      <c r="R57" s="31"/>
      <c r="S57" s="31"/>
    </row>
    <row r="58" spans="1:19">
      <c r="A58" s="84" t="s">
        <v>247</v>
      </c>
      <c r="B58" s="84" t="s">
        <v>26</v>
      </c>
      <c r="C58" s="85" t="s">
        <v>248</v>
      </c>
      <c r="D58" s="31"/>
      <c r="E58" s="31"/>
      <c r="F58" s="31"/>
      <c r="G58" s="31"/>
      <c r="H58" s="31"/>
      <c r="I58" s="31" t="s">
        <v>106</v>
      </c>
      <c r="J58" s="37" t="s">
        <v>107</v>
      </c>
      <c r="K58" s="31"/>
      <c r="L58" s="31"/>
      <c r="M58" s="31"/>
      <c r="N58" s="31"/>
      <c r="O58" s="31" t="s">
        <v>108</v>
      </c>
      <c r="P58" s="31" t="s">
        <v>109</v>
      </c>
      <c r="Q58" s="31"/>
      <c r="R58" s="31"/>
      <c r="S58" s="31"/>
    </row>
    <row r="59" spans="1:19">
      <c r="A59" s="91" t="s">
        <v>249</v>
      </c>
      <c r="B59" s="91" t="s">
        <v>26</v>
      </c>
      <c r="C59" s="92" t="s">
        <v>250</v>
      </c>
      <c r="D59" s="31"/>
      <c r="E59" s="31"/>
      <c r="F59" s="31"/>
      <c r="G59" s="31"/>
      <c r="H59" s="31"/>
      <c r="I59" s="31" t="s">
        <v>106</v>
      </c>
      <c r="J59" s="37" t="s">
        <v>107</v>
      </c>
      <c r="K59" s="31"/>
      <c r="L59" s="31"/>
      <c r="M59" s="31"/>
      <c r="N59" s="31"/>
      <c r="O59" s="31" t="s">
        <v>108</v>
      </c>
      <c r="P59" s="31" t="s">
        <v>109</v>
      </c>
      <c r="Q59" s="31"/>
      <c r="R59" s="31"/>
      <c r="S59" s="31"/>
    </row>
    <row r="60" spans="1:19">
      <c r="A60" s="93" t="s">
        <v>251</v>
      </c>
      <c r="B60" s="93" t="s">
        <v>26</v>
      </c>
      <c r="C60" s="94" t="s">
        <v>252</v>
      </c>
      <c r="D60" s="31"/>
      <c r="E60" s="31"/>
      <c r="F60" s="31"/>
      <c r="G60" s="31"/>
      <c r="H60" s="31"/>
      <c r="I60" s="31" t="s">
        <v>106</v>
      </c>
      <c r="J60" s="37" t="s">
        <v>107</v>
      </c>
      <c r="K60" s="31"/>
      <c r="L60" s="31"/>
      <c r="M60" s="31"/>
      <c r="N60" s="31"/>
      <c r="O60" s="31" t="s">
        <v>108</v>
      </c>
      <c r="P60" s="31" t="s">
        <v>109</v>
      </c>
      <c r="Q60" s="31"/>
      <c r="R60" s="31"/>
      <c r="S60" s="31"/>
    </row>
    <row r="61" spans="1:19">
      <c r="A61" s="93" t="s">
        <v>253</v>
      </c>
      <c r="B61" s="93" t="s">
        <v>26</v>
      </c>
      <c r="C61" s="94" t="s">
        <v>254</v>
      </c>
      <c r="D61" s="31"/>
      <c r="E61" s="31"/>
      <c r="F61" s="31"/>
      <c r="G61" s="31"/>
      <c r="H61" s="31"/>
      <c r="I61" s="31" t="s">
        <v>106</v>
      </c>
      <c r="J61" s="37" t="s">
        <v>107</v>
      </c>
      <c r="K61" s="31"/>
      <c r="L61" s="31"/>
      <c r="M61" s="31"/>
      <c r="N61" s="31"/>
      <c r="O61" s="31" t="s">
        <v>108</v>
      </c>
      <c r="P61" s="31" t="s">
        <v>109</v>
      </c>
      <c r="Q61" s="31"/>
      <c r="R61" s="31"/>
      <c r="S61" s="31"/>
    </row>
    <row r="62" spans="1:19">
      <c r="A62" s="93" t="s">
        <v>255</v>
      </c>
      <c r="B62" s="93" t="s">
        <v>26</v>
      </c>
      <c r="C62" s="94" t="s">
        <v>256</v>
      </c>
      <c r="D62" s="31"/>
      <c r="E62" s="31"/>
      <c r="F62" s="31"/>
      <c r="G62" s="31"/>
      <c r="H62" s="31"/>
      <c r="I62" s="31" t="s">
        <v>106</v>
      </c>
      <c r="J62" s="37" t="s">
        <v>107</v>
      </c>
      <c r="K62" s="31"/>
      <c r="L62" s="31"/>
      <c r="M62" s="31"/>
      <c r="N62" s="31"/>
      <c r="O62" s="31" t="s">
        <v>108</v>
      </c>
      <c r="P62" s="31" t="s">
        <v>109</v>
      </c>
      <c r="Q62" s="31"/>
      <c r="R62" s="31"/>
      <c r="S62" s="31"/>
    </row>
    <row r="63" spans="1:19">
      <c r="A63" s="95" t="s">
        <v>257</v>
      </c>
      <c r="B63" s="95" t="s">
        <v>26</v>
      </c>
      <c r="C63" s="96" t="s">
        <v>258</v>
      </c>
      <c r="D63" s="31"/>
      <c r="E63" s="31"/>
      <c r="F63" s="31"/>
      <c r="G63" s="31"/>
      <c r="H63" s="31"/>
      <c r="I63" s="31" t="s">
        <v>106</v>
      </c>
      <c r="J63" s="37" t="s">
        <v>107</v>
      </c>
      <c r="K63" s="31"/>
      <c r="L63" s="31"/>
      <c r="M63" s="31"/>
      <c r="N63" s="31"/>
      <c r="O63" s="31" t="s">
        <v>108</v>
      </c>
      <c r="P63" s="31" t="s">
        <v>109</v>
      </c>
      <c r="Q63" s="31"/>
      <c r="R63" s="31"/>
      <c r="S63" s="31"/>
    </row>
    <row r="64" spans="1:19">
      <c r="A64" s="91" t="s">
        <v>836</v>
      </c>
      <c r="B64" s="91" t="s">
        <v>26</v>
      </c>
      <c r="C64" s="92" t="s">
        <v>260</v>
      </c>
      <c r="D64" s="31"/>
      <c r="E64" s="31"/>
      <c r="F64" s="31"/>
      <c r="G64" s="31"/>
      <c r="H64" s="31"/>
      <c r="I64" s="31" t="s">
        <v>106</v>
      </c>
      <c r="J64" s="37" t="s">
        <v>107</v>
      </c>
      <c r="K64" s="31"/>
      <c r="L64" s="31"/>
      <c r="M64" s="31"/>
      <c r="N64" s="31"/>
      <c r="O64" s="31" t="s">
        <v>108</v>
      </c>
      <c r="P64" s="31" t="s">
        <v>109</v>
      </c>
      <c r="Q64" s="31"/>
      <c r="R64" s="31"/>
      <c r="S64" s="31"/>
    </row>
    <row r="65" spans="1:19">
      <c r="A65" s="95" t="s">
        <v>837</v>
      </c>
      <c r="B65" s="95" t="s">
        <v>26</v>
      </c>
      <c r="C65" s="96" t="s">
        <v>262</v>
      </c>
      <c r="D65" s="31"/>
      <c r="E65" s="31"/>
      <c r="F65" s="31"/>
      <c r="G65" s="31"/>
      <c r="H65" s="31"/>
      <c r="I65" s="31" t="s">
        <v>106</v>
      </c>
      <c r="J65" s="37" t="s">
        <v>107</v>
      </c>
      <c r="K65" s="31"/>
      <c r="L65" s="31"/>
      <c r="M65" s="31"/>
      <c r="N65" s="31"/>
      <c r="O65" s="31" t="s">
        <v>108</v>
      </c>
      <c r="P65" s="31" t="s">
        <v>109</v>
      </c>
      <c r="Q65" s="31"/>
      <c r="R65" s="31"/>
      <c r="S65" s="31"/>
    </row>
    <row r="66" spans="1:19">
      <c r="A66" s="97" t="s">
        <v>263</v>
      </c>
      <c r="B66" s="97" t="s">
        <v>26</v>
      </c>
      <c r="C66" s="98" t="s">
        <v>264</v>
      </c>
      <c r="D66" s="31"/>
      <c r="E66" s="31"/>
      <c r="F66" s="31"/>
      <c r="G66" s="31"/>
      <c r="H66" s="31"/>
      <c r="I66" s="31" t="s">
        <v>106</v>
      </c>
      <c r="J66" s="37" t="s">
        <v>107</v>
      </c>
      <c r="K66" s="31"/>
      <c r="L66" s="31"/>
      <c r="M66" s="31"/>
      <c r="N66" s="31"/>
      <c r="O66" s="31" t="s">
        <v>108</v>
      </c>
      <c r="P66" s="31" t="s">
        <v>109</v>
      </c>
      <c r="Q66" s="31"/>
      <c r="R66" s="31"/>
      <c r="S66" s="31"/>
    </row>
    <row r="67" spans="1:19">
      <c r="A67" s="91" t="s">
        <v>265</v>
      </c>
      <c r="B67" s="91" t="s">
        <v>26</v>
      </c>
      <c r="C67" s="92" t="s">
        <v>266</v>
      </c>
      <c r="D67" s="31"/>
      <c r="E67" s="31"/>
      <c r="F67" s="31"/>
      <c r="G67" s="31"/>
      <c r="H67" s="31"/>
      <c r="I67" s="31" t="s">
        <v>106</v>
      </c>
      <c r="J67" s="37" t="s">
        <v>107</v>
      </c>
      <c r="K67" s="31"/>
      <c r="L67" s="31"/>
      <c r="M67" s="31"/>
      <c r="N67" s="31"/>
      <c r="O67" s="31" t="s">
        <v>108</v>
      </c>
      <c r="P67" s="31" t="s">
        <v>109</v>
      </c>
      <c r="Q67" s="31"/>
      <c r="R67" s="31"/>
      <c r="S67" s="31"/>
    </row>
    <row r="68" spans="1:19">
      <c r="A68" s="93" t="s">
        <v>267</v>
      </c>
      <c r="B68" s="93" t="s">
        <v>26</v>
      </c>
      <c r="C68" s="94" t="s">
        <v>268</v>
      </c>
      <c r="D68" s="31"/>
      <c r="E68" s="31"/>
      <c r="F68" s="31"/>
      <c r="G68" s="31"/>
      <c r="H68" s="31"/>
      <c r="I68" s="31" t="s">
        <v>106</v>
      </c>
      <c r="J68" s="37" t="s">
        <v>107</v>
      </c>
      <c r="K68" s="31"/>
      <c r="L68" s="31"/>
      <c r="M68" s="31"/>
      <c r="N68" s="31"/>
      <c r="O68" s="31" t="s">
        <v>108</v>
      </c>
      <c r="P68" s="31" t="s">
        <v>109</v>
      </c>
      <c r="Q68" s="31"/>
      <c r="R68" s="31"/>
      <c r="S68" s="31"/>
    </row>
    <row r="69" spans="1:19">
      <c r="A69" s="95" t="s">
        <v>269</v>
      </c>
      <c r="B69" s="95" t="s">
        <v>26</v>
      </c>
      <c r="C69" s="96" t="s">
        <v>270</v>
      </c>
      <c r="D69" s="31"/>
      <c r="E69" s="31"/>
      <c r="F69" s="31"/>
      <c r="G69" s="31"/>
      <c r="H69" s="31"/>
      <c r="I69" s="31" t="s">
        <v>106</v>
      </c>
      <c r="J69" s="37" t="s">
        <v>107</v>
      </c>
      <c r="K69" s="31"/>
      <c r="L69" s="31"/>
      <c r="M69" s="31"/>
      <c r="N69" s="31"/>
      <c r="O69" s="31" t="s">
        <v>108</v>
      </c>
      <c r="P69" s="31" t="s">
        <v>109</v>
      </c>
      <c r="Q69" s="31"/>
      <c r="R69" s="31"/>
      <c r="S69" s="31"/>
    </row>
    <row r="70" spans="1:19">
      <c r="A70" s="91" t="s">
        <v>272</v>
      </c>
      <c r="B70" s="91" t="s">
        <v>26</v>
      </c>
      <c r="C70" s="92" t="s">
        <v>273</v>
      </c>
      <c r="D70" s="31"/>
      <c r="E70" s="31"/>
      <c r="F70" s="31"/>
      <c r="G70" s="31"/>
      <c r="H70" s="31"/>
      <c r="I70" s="31" t="s">
        <v>106</v>
      </c>
      <c r="J70" s="37" t="s">
        <v>107</v>
      </c>
      <c r="K70" s="31"/>
      <c r="L70" s="31"/>
      <c r="M70" s="31"/>
      <c r="N70" s="31"/>
      <c r="O70" s="31" t="s">
        <v>108</v>
      </c>
      <c r="P70" s="31" t="s">
        <v>109</v>
      </c>
      <c r="Q70" s="31"/>
      <c r="R70" s="31"/>
      <c r="S70" s="31"/>
    </row>
    <row r="71" spans="1:19">
      <c r="A71" s="93" t="s">
        <v>274</v>
      </c>
      <c r="B71" s="93" t="s">
        <v>26</v>
      </c>
      <c r="C71" s="94" t="s">
        <v>275</v>
      </c>
      <c r="D71" s="31"/>
      <c r="E71" s="31"/>
      <c r="F71" s="31"/>
      <c r="G71" s="31"/>
      <c r="H71" s="31"/>
      <c r="I71" s="31" t="s">
        <v>106</v>
      </c>
      <c r="J71" s="37" t="s">
        <v>107</v>
      </c>
      <c r="K71" s="31"/>
      <c r="L71" s="31"/>
      <c r="M71" s="31"/>
      <c r="N71" s="31"/>
      <c r="O71" s="31" t="s">
        <v>108</v>
      </c>
      <c r="P71" s="31" t="s">
        <v>109</v>
      </c>
      <c r="Q71" s="31"/>
      <c r="R71" s="31"/>
      <c r="S71" s="31"/>
    </row>
    <row r="72" spans="1:19">
      <c r="A72" s="95" t="s">
        <v>276</v>
      </c>
      <c r="B72" s="95" t="s">
        <v>26</v>
      </c>
      <c r="C72" s="96" t="s">
        <v>277</v>
      </c>
      <c r="D72" s="31"/>
      <c r="E72" s="31"/>
      <c r="F72" s="31"/>
      <c r="G72" s="31"/>
      <c r="H72" s="31"/>
      <c r="I72" s="31" t="s">
        <v>106</v>
      </c>
      <c r="J72" s="37" t="s">
        <v>107</v>
      </c>
      <c r="K72" s="31"/>
      <c r="L72" s="31"/>
      <c r="M72" s="31"/>
      <c r="N72" s="31"/>
      <c r="O72" s="31" t="s">
        <v>108</v>
      </c>
      <c r="P72" s="31" t="s">
        <v>109</v>
      </c>
      <c r="Q72" s="31"/>
      <c r="R72" s="31"/>
      <c r="S72" s="31"/>
    </row>
    <row r="73" spans="1:19">
      <c r="A73" s="91" t="s">
        <v>278</v>
      </c>
      <c r="B73" s="91" t="s">
        <v>26</v>
      </c>
      <c r="C73" s="92" t="s">
        <v>275</v>
      </c>
      <c r="D73" s="31"/>
      <c r="E73" s="31"/>
      <c r="F73" s="31"/>
      <c r="G73" s="31"/>
      <c r="H73" s="31"/>
      <c r="I73" s="31" t="s">
        <v>106</v>
      </c>
      <c r="J73" s="37" t="s">
        <v>107</v>
      </c>
      <c r="K73" s="31"/>
      <c r="L73" s="31"/>
      <c r="M73" s="31"/>
      <c r="N73" s="31"/>
      <c r="O73" s="31" t="s">
        <v>108</v>
      </c>
      <c r="P73" s="31" t="s">
        <v>109</v>
      </c>
      <c r="Q73" s="31"/>
      <c r="R73" s="31"/>
      <c r="S73" s="31"/>
    </row>
    <row r="74" spans="1:19">
      <c r="A74" s="93" t="s">
        <v>279</v>
      </c>
      <c r="B74" s="93" t="s">
        <v>26</v>
      </c>
      <c r="C74" s="94" t="s">
        <v>280</v>
      </c>
      <c r="D74" s="31"/>
      <c r="E74" s="31"/>
      <c r="F74" s="31"/>
      <c r="G74" s="31"/>
      <c r="H74" s="31"/>
      <c r="I74" s="31" t="s">
        <v>106</v>
      </c>
      <c r="J74" s="37" t="s">
        <v>107</v>
      </c>
      <c r="K74" s="31"/>
      <c r="L74" s="31"/>
      <c r="M74" s="31"/>
      <c r="N74" s="31"/>
      <c r="O74" s="31" t="s">
        <v>108</v>
      </c>
      <c r="P74" s="31" t="s">
        <v>109</v>
      </c>
      <c r="Q74" s="31"/>
      <c r="R74" s="31"/>
      <c r="S74" s="31"/>
    </row>
    <row r="75" spans="1:19">
      <c r="A75" s="93" t="s">
        <v>281</v>
      </c>
      <c r="B75" s="93" t="s">
        <v>26</v>
      </c>
      <c r="C75" s="94" t="s">
        <v>282</v>
      </c>
      <c r="D75" s="31"/>
      <c r="E75" s="31"/>
      <c r="F75" s="31"/>
      <c r="G75" s="31"/>
      <c r="H75" s="31"/>
      <c r="I75" s="31" t="s">
        <v>106</v>
      </c>
      <c r="J75" s="37" t="s">
        <v>107</v>
      </c>
      <c r="K75" s="31"/>
      <c r="L75" s="31"/>
      <c r="M75" s="31"/>
      <c r="N75" s="31"/>
      <c r="O75" s="31" t="s">
        <v>108</v>
      </c>
      <c r="P75" s="31" t="s">
        <v>109</v>
      </c>
      <c r="Q75" s="31"/>
      <c r="R75" s="31"/>
      <c r="S75" s="31"/>
    </row>
    <row r="76" spans="1:19">
      <c r="A76" s="205" t="s">
        <v>358</v>
      </c>
      <c r="B76" s="206" t="s">
        <v>14</v>
      </c>
      <c r="C76" s="206" t="s">
        <v>359</v>
      </c>
      <c r="D76" s="31"/>
      <c r="E76" s="31"/>
      <c r="F76" s="31"/>
      <c r="G76" s="31"/>
      <c r="H76" s="31"/>
      <c r="I76" s="31"/>
      <c r="J76" s="37"/>
      <c r="K76" s="31"/>
      <c r="L76" s="31"/>
      <c r="M76" s="31"/>
      <c r="N76" s="31"/>
      <c r="O76" s="31" t="s">
        <v>108</v>
      </c>
      <c r="P76" s="31" t="s">
        <v>109</v>
      </c>
      <c r="Q76" s="31"/>
      <c r="R76" s="31"/>
      <c r="S76" s="31"/>
    </row>
    <row r="77" spans="1:19">
      <c r="A77" s="205" t="s">
        <v>395</v>
      </c>
      <c r="B77" s="206" t="s">
        <v>14</v>
      </c>
      <c r="C77" s="206" t="s">
        <v>396</v>
      </c>
      <c r="D77" s="31"/>
      <c r="E77" s="31"/>
      <c r="F77" s="31"/>
      <c r="G77" s="31"/>
      <c r="H77" s="31"/>
      <c r="I77" s="31"/>
      <c r="J77" s="37"/>
      <c r="K77" s="31"/>
      <c r="L77" s="31"/>
      <c r="M77" s="31"/>
      <c r="N77" s="31"/>
      <c r="O77" s="31" t="s">
        <v>108</v>
      </c>
      <c r="P77" s="31" t="s">
        <v>109</v>
      </c>
      <c r="Q77" s="31"/>
      <c r="R77" s="31"/>
      <c r="S77" s="31"/>
    </row>
    <row r="78" spans="1:19">
      <c r="A78" s="205" t="s">
        <v>399</v>
      </c>
      <c r="B78" s="206" t="s">
        <v>14</v>
      </c>
      <c r="C78" s="206" t="s">
        <v>400</v>
      </c>
      <c r="D78" s="31"/>
      <c r="E78" s="31"/>
      <c r="F78" s="31"/>
      <c r="G78" s="31"/>
      <c r="H78" s="31"/>
      <c r="I78" s="31"/>
      <c r="J78" s="37"/>
      <c r="K78" s="31"/>
      <c r="L78" s="31"/>
      <c r="M78" s="31"/>
      <c r="N78" s="31"/>
      <c r="O78" s="31" t="s">
        <v>108</v>
      </c>
      <c r="P78" s="31" t="s">
        <v>109</v>
      </c>
      <c r="Q78" s="31"/>
      <c r="R78" s="31"/>
      <c r="S78" s="31"/>
    </row>
    <row r="79" spans="1:19">
      <c r="A79" s="205" t="s">
        <v>401</v>
      </c>
      <c r="B79" s="206" t="s">
        <v>14</v>
      </c>
      <c r="C79" s="206" t="s">
        <v>402</v>
      </c>
      <c r="D79" s="31"/>
      <c r="E79" s="31"/>
      <c r="F79" s="31"/>
      <c r="G79" s="31"/>
      <c r="H79" s="31"/>
      <c r="I79" s="31"/>
      <c r="J79" s="37"/>
      <c r="K79" s="31"/>
      <c r="L79" s="31"/>
      <c r="M79" s="31"/>
      <c r="N79" s="31"/>
      <c r="O79" s="31" t="s">
        <v>108</v>
      </c>
      <c r="P79" s="31" t="s">
        <v>109</v>
      </c>
      <c r="Q79" s="31"/>
      <c r="R79" s="31"/>
      <c r="S79" s="31"/>
    </row>
    <row r="80" spans="1:19">
      <c r="A80" s="205" t="s">
        <v>403</v>
      </c>
      <c r="B80" s="206" t="s">
        <v>14</v>
      </c>
      <c r="C80" s="206" t="s">
        <v>404</v>
      </c>
      <c r="D80" s="31"/>
      <c r="E80" s="31"/>
      <c r="F80" s="31"/>
      <c r="G80" s="31"/>
      <c r="H80" s="31"/>
      <c r="I80" s="31"/>
      <c r="J80" s="37"/>
      <c r="K80" s="31"/>
      <c r="L80" s="31"/>
      <c r="M80" s="31"/>
      <c r="N80" s="31"/>
      <c r="O80" s="31" t="s">
        <v>108</v>
      </c>
      <c r="P80" s="31" t="s">
        <v>109</v>
      </c>
      <c r="Q80" s="31"/>
      <c r="R80" s="31"/>
      <c r="S80" s="31"/>
    </row>
    <row r="81" spans="1:19">
      <c r="A81" s="205" t="s">
        <v>405</v>
      </c>
      <c r="B81" s="206" t="s">
        <v>14</v>
      </c>
      <c r="C81" s="206" t="s">
        <v>406</v>
      </c>
      <c r="D81" s="31"/>
      <c r="E81" s="31"/>
      <c r="F81" s="31"/>
      <c r="G81" s="31"/>
      <c r="H81" s="31"/>
      <c r="I81" s="31"/>
      <c r="J81" s="37"/>
      <c r="K81" s="31"/>
      <c r="L81" s="31"/>
      <c r="M81" s="31"/>
      <c r="N81" s="31"/>
      <c r="O81" s="31" t="s">
        <v>108</v>
      </c>
      <c r="P81" s="31" t="s">
        <v>109</v>
      </c>
      <c r="Q81" s="31"/>
      <c r="R81" s="31"/>
      <c r="S81" s="31"/>
    </row>
    <row r="82" spans="1:19">
      <c r="A82" s="205" t="s">
        <v>407</v>
      </c>
      <c r="B82" s="206" t="s">
        <v>14</v>
      </c>
      <c r="C82" s="206" t="s">
        <v>408</v>
      </c>
      <c r="D82" s="31"/>
      <c r="E82" s="31"/>
      <c r="F82" s="31"/>
      <c r="G82" s="31"/>
      <c r="H82" s="31"/>
      <c r="I82" s="31"/>
      <c r="J82" s="37"/>
      <c r="K82" s="31"/>
      <c r="L82" s="31"/>
      <c r="M82" s="31"/>
      <c r="N82" s="31"/>
      <c r="O82" s="31" t="s">
        <v>108</v>
      </c>
      <c r="P82" s="31" t="s">
        <v>109</v>
      </c>
      <c r="Q82" s="31"/>
      <c r="R82" s="31"/>
      <c r="S82" s="31"/>
    </row>
    <row r="83" spans="1:19">
      <c r="A83" s="205" t="s">
        <v>409</v>
      </c>
      <c r="B83" s="206" t="s">
        <v>14</v>
      </c>
      <c r="C83" s="206" t="s">
        <v>410</v>
      </c>
      <c r="D83" s="31"/>
      <c r="E83" s="31"/>
      <c r="F83" s="31"/>
      <c r="G83" s="31"/>
      <c r="H83" s="31"/>
      <c r="I83" s="31"/>
      <c r="J83" s="37"/>
      <c r="K83" s="31"/>
      <c r="L83" s="31"/>
      <c r="M83" s="31"/>
      <c r="N83" s="31"/>
      <c r="O83" s="31" t="s">
        <v>108</v>
      </c>
      <c r="P83" s="31" t="s">
        <v>109</v>
      </c>
      <c r="Q83" s="31"/>
      <c r="R83" s="31"/>
      <c r="S83" s="31"/>
    </row>
    <row r="84" spans="1:19">
      <c r="A84" s="205" t="s">
        <v>411</v>
      </c>
      <c r="B84" s="206" t="s">
        <v>14</v>
      </c>
      <c r="C84" s="207" t="s">
        <v>412</v>
      </c>
      <c r="D84" s="31"/>
      <c r="E84" s="31"/>
      <c r="F84" s="31"/>
      <c r="G84" s="31"/>
      <c r="H84" s="31"/>
      <c r="I84" s="31"/>
      <c r="J84" s="37"/>
      <c r="K84" s="31"/>
      <c r="L84" s="31"/>
      <c r="M84" s="31"/>
      <c r="N84" s="31"/>
      <c r="O84" s="31" t="s">
        <v>108</v>
      </c>
      <c r="P84" s="31" t="s">
        <v>109</v>
      </c>
      <c r="Q84" s="31"/>
      <c r="R84" s="31"/>
      <c r="S84" s="31"/>
    </row>
    <row r="85" spans="1:19">
      <c r="A85" s="205" t="s">
        <v>360</v>
      </c>
      <c r="B85" s="206" t="s">
        <v>14</v>
      </c>
      <c r="C85" s="207" t="s">
        <v>361</v>
      </c>
      <c r="D85" s="31"/>
      <c r="E85" s="31"/>
      <c r="F85" s="31"/>
      <c r="G85" s="31"/>
      <c r="H85" s="31"/>
      <c r="I85" s="31"/>
      <c r="J85" s="37"/>
      <c r="K85" s="31"/>
      <c r="L85" s="31"/>
      <c r="M85" s="31"/>
      <c r="N85" s="31"/>
      <c r="O85" s="31" t="s">
        <v>108</v>
      </c>
      <c r="P85" s="31" t="s">
        <v>109</v>
      </c>
      <c r="Q85" s="31"/>
      <c r="R85" s="31"/>
      <c r="S85" s="31"/>
    </row>
    <row r="86" spans="1:19">
      <c r="A86" s="205" t="s">
        <v>383</v>
      </c>
      <c r="B86" s="206" t="s">
        <v>14</v>
      </c>
      <c r="C86" s="207" t="s">
        <v>384</v>
      </c>
      <c r="D86" s="31"/>
      <c r="E86" s="31"/>
      <c r="F86" s="31"/>
      <c r="G86" s="31"/>
      <c r="H86" s="31"/>
      <c r="I86" s="31"/>
      <c r="J86" s="37"/>
      <c r="K86" s="31"/>
      <c r="L86" s="31"/>
      <c r="M86" s="31"/>
      <c r="N86" s="31"/>
      <c r="O86" s="31" t="s">
        <v>108</v>
      </c>
      <c r="P86" s="31" t="s">
        <v>109</v>
      </c>
      <c r="Q86" s="31"/>
      <c r="R86" s="31"/>
      <c r="S86" s="31"/>
    </row>
    <row r="87" spans="1:19">
      <c r="A87" s="205" t="s">
        <v>385</v>
      </c>
      <c r="B87" s="206" t="s">
        <v>14</v>
      </c>
      <c r="C87" s="207" t="s">
        <v>386</v>
      </c>
      <c r="D87" s="31"/>
      <c r="E87" s="31"/>
      <c r="F87" s="31"/>
      <c r="G87" s="31"/>
      <c r="H87" s="31"/>
      <c r="I87" s="31"/>
      <c r="J87" s="37"/>
      <c r="K87" s="31"/>
      <c r="L87" s="31"/>
      <c r="M87" s="31"/>
      <c r="N87" s="31"/>
      <c r="O87" s="31" t="s">
        <v>108</v>
      </c>
      <c r="P87" s="31" t="s">
        <v>109</v>
      </c>
      <c r="Q87" s="31"/>
      <c r="R87" s="31"/>
      <c r="S87" s="31"/>
    </row>
    <row r="88" spans="1:19">
      <c r="A88" s="205" t="s">
        <v>387</v>
      </c>
      <c r="B88" s="206" t="s">
        <v>14</v>
      </c>
      <c r="C88" s="206" t="s">
        <v>388</v>
      </c>
      <c r="D88" s="31"/>
      <c r="E88" s="31"/>
      <c r="F88" s="31"/>
      <c r="G88" s="31"/>
      <c r="H88" s="31"/>
      <c r="I88" s="31"/>
      <c r="J88" s="37"/>
      <c r="K88" s="31"/>
      <c r="L88" s="31"/>
      <c r="M88" s="31"/>
      <c r="N88" s="31"/>
      <c r="O88" s="31" t="s">
        <v>108</v>
      </c>
      <c r="P88" s="31" t="s">
        <v>109</v>
      </c>
      <c r="Q88" s="31"/>
      <c r="R88" s="31"/>
      <c r="S88" s="31"/>
    </row>
    <row r="89" spans="1:19">
      <c r="A89" s="205" t="s">
        <v>370</v>
      </c>
      <c r="B89" s="206" t="s">
        <v>14</v>
      </c>
      <c r="C89" s="206" t="s">
        <v>371</v>
      </c>
      <c r="D89" s="31"/>
      <c r="E89" s="31"/>
      <c r="F89" s="31"/>
      <c r="G89" s="31"/>
      <c r="H89" s="31"/>
      <c r="I89" s="31"/>
      <c r="J89" s="37"/>
      <c r="K89" s="31"/>
      <c r="L89" s="31"/>
      <c r="M89" s="31"/>
      <c r="N89" s="31"/>
      <c r="O89" s="31" t="s">
        <v>108</v>
      </c>
      <c r="P89" s="31" t="s">
        <v>109</v>
      </c>
      <c r="Q89" s="31"/>
      <c r="R89" s="31"/>
      <c r="S89" s="31"/>
    </row>
    <row r="90" spans="1:19">
      <c r="A90" s="205" t="s">
        <v>389</v>
      </c>
      <c r="B90" s="206" t="s">
        <v>14</v>
      </c>
      <c r="C90" s="208" t="s">
        <v>390</v>
      </c>
      <c r="D90" s="31"/>
      <c r="E90" s="31"/>
      <c r="F90" s="31"/>
      <c r="G90" s="31"/>
      <c r="H90" s="31"/>
      <c r="I90" s="31"/>
      <c r="J90" s="37"/>
      <c r="K90" s="31"/>
      <c r="L90" s="31"/>
      <c r="M90" s="31"/>
      <c r="N90" s="31"/>
      <c r="O90" s="31" t="s">
        <v>108</v>
      </c>
      <c r="P90" s="31" t="s">
        <v>109</v>
      </c>
      <c r="Q90" s="31"/>
      <c r="R90" s="31"/>
      <c r="S90" s="31"/>
    </row>
    <row r="91" spans="1:19">
      <c r="A91" s="205" t="s">
        <v>393</v>
      </c>
      <c r="B91" s="206" t="s">
        <v>14</v>
      </c>
      <c r="C91" s="206" t="s">
        <v>394</v>
      </c>
      <c r="D91" s="31"/>
      <c r="E91" s="31"/>
      <c r="F91" s="31"/>
      <c r="G91" s="31"/>
      <c r="H91" s="31"/>
      <c r="I91" s="31"/>
      <c r="J91" s="37"/>
      <c r="K91" s="31"/>
      <c r="L91" s="31"/>
      <c r="M91" s="31"/>
      <c r="N91" s="31"/>
      <c r="O91" s="31" t="s">
        <v>108</v>
      </c>
      <c r="P91" s="31" t="s">
        <v>109</v>
      </c>
      <c r="Q91" s="31"/>
      <c r="R91" s="31"/>
      <c r="S91" s="31"/>
    </row>
    <row r="92" spans="1:19">
      <c r="A92" s="205" t="s">
        <v>397</v>
      </c>
      <c r="B92" s="206" t="s">
        <v>14</v>
      </c>
      <c r="C92" s="206" t="s">
        <v>398</v>
      </c>
      <c r="D92" s="31"/>
      <c r="E92" s="31"/>
      <c r="F92" s="31"/>
      <c r="G92" s="31"/>
      <c r="H92" s="31"/>
      <c r="I92" s="31"/>
      <c r="J92" s="37"/>
      <c r="K92" s="31"/>
      <c r="L92" s="31"/>
      <c r="M92" s="31"/>
      <c r="N92" s="31"/>
      <c r="O92" s="31" t="s">
        <v>108</v>
      </c>
      <c r="P92" s="31" t="s">
        <v>109</v>
      </c>
      <c r="Q92" s="31"/>
      <c r="R92" s="31"/>
      <c r="S92" s="31"/>
    </row>
    <row r="93" spans="1:19">
      <c r="A93" s="205" t="s">
        <v>456</v>
      </c>
      <c r="B93" s="209" t="s">
        <v>14</v>
      </c>
      <c r="C93" s="209" t="s">
        <v>457</v>
      </c>
      <c r="D93" s="31"/>
      <c r="E93" s="31"/>
      <c r="F93" s="31"/>
      <c r="G93" s="31"/>
      <c r="H93" s="31"/>
      <c r="I93" s="31"/>
      <c r="J93" s="37"/>
      <c r="K93" s="31"/>
      <c r="L93" s="31"/>
      <c r="M93" s="31"/>
      <c r="N93" s="31"/>
      <c r="O93" s="31" t="s">
        <v>108</v>
      </c>
      <c r="P93" s="31" t="s">
        <v>109</v>
      </c>
      <c r="Q93" s="31"/>
      <c r="R93" s="31"/>
      <c r="S93" s="31"/>
    </row>
    <row r="94" spans="1:19">
      <c r="A94" s="205" t="s">
        <v>464</v>
      </c>
      <c r="B94" s="206" t="s">
        <v>14</v>
      </c>
      <c r="C94" s="210" t="s">
        <v>465</v>
      </c>
      <c r="D94" s="31"/>
      <c r="E94" s="31"/>
      <c r="F94" s="31"/>
      <c r="G94" s="31"/>
      <c r="H94" s="31"/>
      <c r="I94" s="31"/>
      <c r="J94" s="37"/>
      <c r="K94" s="31"/>
      <c r="L94" s="31"/>
      <c r="M94" s="31"/>
      <c r="N94" s="31"/>
      <c r="O94" s="31" t="s">
        <v>108</v>
      </c>
      <c r="P94" s="31" t="s">
        <v>109</v>
      </c>
      <c r="Q94" s="31"/>
      <c r="R94" s="31"/>
      <c r="S94" s="31"/>
    </row>
    <row r="95" spans="1:19">
      <c r="A95" s="205" t="s">
        <v>554</v>
      </c>
      <c r="B95" s="206" t="s">
        <v>626</v>
      </c>
      <c r="C95" s="206" t="s">
        <v>555</v>
      </c>
      <c r="D95" s="31"/>
      <c r="E95" s="31"/>
      <c r="F95" s="31"/>
      <c r="G95" s="31"/>
      <c r="H95" s="31"/>
      <c r="I95" s="31" t="s">
        <v>106</v>
      </c>
      <c r="J95" s="37" t="s">
        <v>107</v>
      </c>
      <c r="K95" s="31"/>
      <c r="L95" s="31"/>
      <c r="M95" s="31"/>
      <c r="N95" s="31"/>
      <c r="O95" s="31" t="s">
        <v>108</v>
      </c>
      <c r="P95" s="31" t="s">
        <v>109</v>
      </c>
      <c r="Q95" s="31"/>
      <c r="R95" s="31"/>
      <c r="S95" s="31"/>
    </row>
    <row r="96" spans="1:19">
      <c r="A96" s="205" t="s">
        <v>556</v>
      </c>
      <c r="B96" s="206" t="s">
        <v>626</v>
      </c>
      <c r="C96" s="207" t="s">
        <v>838</v>
      </c>
      <c r="D96" s="31"/>
      <c r="E96" s="31"/>
      <c r="F96" s="31"/>
      <c r="G96" s="31"/>
      <c r="H96" s="31"/>
      <c r="I96" s="31"/>
      <c r="J96" s="37"/>
      <c r="K96" s="31"/>
      <c r="L96" s="31"/>
      <c r="M96" s="31"/>
      <c r="N96" s="31"/>
      <c r="O96" s="31" t="s">
        <v>108</v>
      </c>
      <c r="P96" s="31" t="s">
        <v>109</v>
      </c>
      <c r="Q96" s="31"/>
      <c r="R96" s="31"/>
      <c r="S96" s="31"/>
    </row>
    <row r="97" spans="1:19">
      <c r="A97" s="205" t="s">
        <v>363</v>
      </c>
      <c r="B97" s="206" t="s">
        <v>14</v>
      </c>
      <c r="C97" s="211" t="s">
        <v>364</v>
      </c>
      <c r="D97" s="31"/>
      <c r="E97" s="31"/>
      <c r="F97" s="31"/>
      <c r="G97" s="31"/>
      <c r="H97" s="31"/>
      <c r="I97" s="31"/>
      <c r="J97" s="37"/>
      <c r="K97" s="31"/>
      <c r="L97" s="31"/>
      <c r="M97" s="31"/>
      <c r="N97" s="31"/>
      <c r="O97" s="31" t="s">
        <v>108</v>
      </c>
      <c r="P97" s="31" t="s">
        <v>109</v>
      </c>
      <c r="Q97" s="31"/>
      <c r="R97" s="31"/>
      <c r="S97" s="31"/>
    </row>
    <row r="98" spans="1:19">
      <c r="A98" s="205" t="s">
        <v>428</v>
      </c>
      <c r="B98" s="206" t="s">
        <v>14</v>
      </c>
      <c r="C98" s="212" t="s">
        <v>839</v>
      </c>
      <c r="D98" s="31"/>
      <c r="E98" s="31"/>
      <c r="F98" s="31"/>
      <c r="G98" s="31"/>
      <c r="H98" s="31"/>
      <c r="I98" s="31"/>
      <c r="J98" s="37"/>
      <c r="K98" s="31"/>
      <c r="L98" s="31"/>
      <c r="M98" s="31"/>
      <c r="N98" s="31"/>
      <c r="O98" s="31" t="s">
        <v>108</v>
      </c>
      <c r="P98" s="31" t="s">
        <v>109</v>
      </c>
      <c r="Q98" s="31"/>
      <c r="R98" s="31"/>
      <c r="S98" s="31"/>
    </row>
    <row r="99" spans="1:19">
      <c r="A99" s="205" t="s">
        <v>430</v>
      </c>
      <c r="B99" s="209" t="s">
        <v>14</v>
      </c>
      <c r="C99" s="209" t="s">
        <v>431</v>
      </c>
      <c r="D99" s="31"/>
      <c r="E99" s="31"/>
      <c r="F99" s="31"/>
      <c r="G99" s="31"/>
      <c r="H99" s="31"/>
      <c r="I99" s="31"/>
      <c r="J99" s="37"/>
      <c r="K99" s="31"/>
      <c r="L99" s="31"/>
      <c r="M99" s="31"/>
      <c r="N99" s="31"/>
      <c r="O99" s="31" t="s">
        <v>108</v>
      </c>
      <c r="P99" s="31" t="s">
        <v>109</v>
      </c>
      <c r="Q99" s="31"/>
      <c r="R99" s="31"/>
      <c r="S99" s="31"/>
    </row>
    <row r="100" spans="1:19">
      <c r="A100" s="205" t="s">
        <v>433</v>
      </c>
      <c r="B100" s="213" t="s">
        <v>14</v>
      </c>
      <c r="C100" s="213" t="s">
        <v>434</v>
      </c>
      <c r="D100" s="31"/>
      <c r="E100" s="31"/>
      <c r="F100" s="31"/>
      <c r="G100" s="31"/>
      <c r="H100" s="31"/>
      <c r="I100" s="31"/>
      <c r="J100" s="37"/>
      <c r="K100" s="31"/>
      <c r="L100" s="31"/>
      <c r="M100" s="31"/>
      <c r="N100" s="31"/>
      <c r="O100" s="31" t="s">
        <v>108</v>
      </c>
      <c r="P100" s="31" t="s">
        <v>109</v>
      </c>
      <c r="Q100" s="31"/>
      <c r="R100" s="31"/>
      <c r="S100" s="31"/>
    </row>
    <row r="101" spans="1:19">
      <c r="A101" s="205" t="s">
        <v>446</v>
      </c>
      <c r="B101" s="213" t="s">
        <v>14</v>
      </c>
      <c r="C101" s="213" t="s">
        <v>447</v>
      </c>
      <c r="D101" s="31"/>
      <c r="E101" s="31"/>
      <c r="F101" s="31"/>
      <c r="G101" s="31"/>
      <c r="H101" s="31"/>
      <c r="I101" s="31"/>
      <c r="J101" s="37"/>
      <c r="K101" s="31"/>
      <c r="L101" s="31"/>
      <c r="M101" s="31"/>
      <c r="N101" s="31"/>
      <c r="O101" s="31" t="s">
        <v>108</v>
      </c>
      <c r="P101" s="31" t="s">
        <v>109</v>
      </c>
      <c r="Q101" s="31"/>
      <c r="R101" s="31"/>
      <c r="S101" s="31"/>
    </row>
    <row r="102" spans="1:19">
      <c r="A102" s="205" t="s">
        <v>448</v>
      </c>
      <c r="B102" s="214" t="s">
        <v>14</v>
      </c>
      <c r="C102" s="214" t="s">
        <v>461</v>
      </c>
      <c r="D102" s="31"/>
      <c r="E102" s="31"/>
      <c r="F102" s="31"/>
      <c r="G102" s="31"/>
      <c r="H102" s="31"/>
      <c r="I102" s="31"/>
      <c r="J102" s="37"/>
      <c r="K102" s="31"/>
      <c r="L102" s="31"/>
      <c r="M102" s="31"/>
      <c r="N102" s="31"/>
      <c r="O102" s="31" t="s">
        <v>108</v>
      </c>
      <c r="P102" s="31" t="s">
        <v>109</v>
      </c>
      <c r="Q102" s="31"/>
      <c r="R102" s="31"/>
      <c r="S102" s="31"/>
    </row>
    <row r="103" spans="1:19">
      <c r="A103" s="205" t="s">
        <v>452</v>
      </c>
      <c r="B103" s="215" t="s">
        <v>14</v>
      </c>
      <c r="C103" s="215" t="s">
        <v>449</v>
      </c>
      <c r="D103" s="31"/>
      <c r="E103" s="31"/>
      <c r="F103" s="31"/>
      <c r="G103" s="31"/>
      <c r="H103" s="31"/>
      <c r="I103" s="31"/>
      <c r="J103" s="37"/>
      <c r="K103" s="31"/>
      <c r="L103" s="31"/>
      <c r="M103" s="31"/>
      <c r="N103" s="31"/>
      <c r="O103" s="31" t="s">
        <v>108</v>
      </c>
      <c r="P103" s="31" t="s">
        <v>109</v>
      </c>
      <c r="Q103" s="31"/>
      <c r="R103" s="31"/>
      <c r="S103" s="31"/>
    </row>
    <row r="104" spans="1:19">
      <c r="A104" s="205" t="s">
        <v>454</v>
      </c>
      <c r="B104" s="216" t="s">
        <v>14</v>
      </c>
      <c r="C104" s="216" t="s">
        <v>455</v>
      </c>
      <c r="D104" s="31"/>
      <c r="E104" s="31"/>
      <c r="F104" s="31"/>
      <c r="G104" s="31"/>
      <c r="H104" s="31"/>
      <c r="I104" s="31"/>
      <c r="J104" s="37"/>
      <c r="K104" s="31"/>
      <c r="L104" s="31"/>
      <c r="M104" s="31"/>
      <c r="N104" s="31"/>
      <c r="O104" s="31" t="s">
        <v>108</v>
      </c>
      <c r="P104" s="31" t="s">
        <v>109</v>
      </c>
      <c r="Q104" s="31"/>
      <c r="R104" s="31"/>
      <c r="S104" s="31"/>
    </row>
    <row r="105" spans="1:19">
      <c r="A105" s="205" t="s">
        <v>840</v>
      </c>
      <c r="B105" s="217" t="s">
        <v>14</v>
      </c>
      <c r="C105" s="217" t="s">
        <v>453</v>
      </c>
      <c r="D105" s="31"/>
      <c r="E105" s="31"/>
      <c r="F105" s="31"/>
      <c r="G105" s="31"/>
      <c r="H105" s="31"/>
      <c r="I105" s="31"/>
      <c r="J105" s="37"/>
      <c r="K105" s="31"/>
      <c r="L105" s="31"/>
      <c r="M105" s="31"/>
      <c r="N105" s="31"/>
      <c r="O105" s="31" t="s">
        <v>108</v>
      </c>
      <c r="P105" s="31" t="s">
        <v>109</v>
      </c>
      <c r="Q105" s="31"/>
      <c r="R105" s="31"/>
      <c r="S105" s="31"/>
    </row>
    <row r="106" spans="1:19">
      <c r="A106" s="205" t="s">
        <v>458</v>
      </c>
      <c r="B106" s="218" t="s">
        <v>14</v>
      </c>
      <c r="C106" s="218" t="s">
        <v>459</v>
      </c>
      <c r="D106" s="31"/>
      <c r="E106" s="31"/>
      <c r="F106" s="31"/>
      <c r="G106" s="31"/>
      <c r="H106" s="31"/>
      <c r="I106" s="31"/>
      <c r="J106" s="37"/>
      <c r="K106" s="31"/>
      <c r="L106" s="31"/>
      <c r="M106" s="31"/>
      <c r="N106" s="31"/>
      <c r="O106" s="31" t="s">
        <v>108</v>
      </c>
      <c r="P106" s="31" t="s">
        <v>109</v>
      </c>
      <c r="Q106" s="31"/>
      <c r="R106" s="31"/>
      <c r="S106" s="31"/>
    </row>
    <row r="107" spans="1:19" hidden="1">
      <c r="A107" s="205" t="s">
        <v>413</v>
      </c>
      <c r="B107" s="206"/>
      <c r="C107" s="206" t="s">
        <v>414</v>
      </c>
      <c r="D107" s="31"/>
      <c r="E107" s="31"/>
      <c r="F107" s="31"/>
      <c r="G107" s="31"/>
      <c r="H107" s="31"/>
      <c r="I107" s="31"/>
      <c r="J107" s="37"/>
      <c r="K107" s="31"/>
      <c r="L107" s="31"/>
      <c r="M107" s="31"/>
      <c r="N107" s="31"/>
      <c r="O107" s="31" t="s">
        <v>108</v>
      </c>
      <c r="P107" s="31" t="s">
        <v>109</v>
      </c>
      <c r="Q107" s="31"/>
      <c r="R107" s="31"/>
      <c r="S107" s="31"/>
    </row>
    <row r="108" spans="1:19" hidden="1">
      <c r="A108" s="205" t="s">
        <v>415</v>
      </c>
      <c r="B108" s="206"/>
      <c r="C108" s="206" t="s">
        <v>416</v>
      </c>
      <c r="D108" s="31"/>
      <c r="E108" s="31"/>
      <c r="F108" s="31"/>
      <c r="G108" s="31"/>
      <c r="H108" s="31"/>
      <c r="I108" s="31"/>
      <c r="J108" s="37"/>
      <c r="K108" s="31"/>
      <c r="L108" s="31"/>
      <c r="M108" s="31"/>
      <c r="N108" s="31"/>
      <c r="O108" s="31" t="s">
        <v>108</v>
      </c>
      <c r="P108" s="31" t="s">
        <v>109</v>
      </c>
      <c r="Q108" s="31"/>
      <c r="R108" s="31"/>
      <c r="S108" s="31"/>
    </row>
    <row r="109" spans="1:19" hidden="1">
      <c r="A109" s="205" t="s">
        <v>417</v>
      </c>
      <c r="B109" s="206"/>
      <c r="C109" s="206" t="s">
        <v>418</v>
      </c>
      <c r="D109" s="31"/>
      <c r="E109" s="31"/>
      <c r="F109" s="31"/>
      <c r="G109" s="31"/>
      <c r="H109" s="31"/>
      <c r="I109" s="31"/>
      <c r="J109" s="37"/>
      <c r="K109" s="31"/>
      <c r="L109" s="31"/>
      <c r="M109" s="31"/>
      <c r="N109" s="31"/>
      <c r="O109" s="31" t="s">
        <v>108</v>
      </c>
      <c r="P109" s="31" t="s">
        <v>109</v>
      </c>
      <c r="Q109" s="31"/>
      <c r="R109" s="31"/>
      <c r="S109" s="31"/>
    </row>
    <row r="110" spans="1:19" hidden="1">
      <c r="A110" s="205" t="s">
        <v>419</v>
      </c>
      <c r="B110" s="206"/>
      <c r="C110" s="206" t="s">
        <v>420</v>
      </c>
      <c r="D110" s="31"/>
      <c r="E110" s="31"/>
      <c r="F110" s="31"/>
      <c r="G110" s="31"/>
      <c r="H110" s="31"/>
      <c r="I110" s="31"/>
      <c r="J110" s="37"/>
      <c r="K110" s="31"/>
      <c r="L110" s="31"/>
      <c r="M110" s="31"/>
      <c r="N110" s="31"/>
      <c r="O110" s="31" t="s">
        <v>108</v>
      </c>
      <c r="P110" s="31" t="s">
        <v>109</v>
      </c>
      <c r="Q110" s="31"/>
      <c r="R110" s="31"/>
      <c r="S110" s="31"/>
    </row>
    <row r="111" spans="1:19" hidden="1">
      <c r="A111" s="205" t="s">
        <v>466</v>
      </c>
      <c r="B111" s="206"/>
      <c r="C111" s="206" t="s">
        <v>841</v>
      </c>
      <c r="D111" s="31"/>
      <c r="E111" s="31"/>
      <c r="F111" s="31"/>
      <c r="G111" s="31"/>
      <c r="H111" s="31"/>
      <c r="I111" s="31"/>
      <c r="J111" s="37"/>
      <c r="K111" s="31"/>
      <c r="L111" s="31"/>
      <c r="M111" s="31"/>
      <c r="N111" s="31"/>
      <c r="O111" s="31" t="s">
        <v>108</v>
      </c>
      <c r="P111" s="31" t="s">
        <v>109</v>
      </c>
      <c r="Q111" s="31"/>
      <c r="R111" s="31"/>
      <c r="S111" s="31"/>
    </row>
    <row r="112" spans="1:19" hidden="1">
      <c r="A112" s="205" t="s">
        <v>352</v>
      </c>
      <c r="B112" s="206"/>
      <c r="C112" s="206" t="s">
        <v>353</v>
      </c>
      <c r="D112" s="31"/>
      <c r="E112" s="31"/>
      <c r="F112" s="31"/>
      <c r="G112" s="31"/>
      <c r="H112" s="31"/>
      <c r="I112" s="31"/>
      <c r="J112" s="37"/>
      <c r="K112" s="31"/>
      <c r="L112" s="31"/>
      <c r="M112" s="31"/>
      <c r="N112" s="31"/>
      <c r="O112" s="31" t="s">
        <v>108</v>
      </c>
      <c r="P112" s="31" t="s">
        <v>109</v>
      </c>
      <c r="Q112" s="31"/>
      <c r="R112" s="31"/>
      <c r="S112" s="31"/>
    </row>
    <row r="113" spans="1:19" hidden="1">
      <c r="A113" s="205" t="s">
        <v>354</v>
      </c>
      <c r="B113" s="206"/>
      <c r="C113" s="206" t="s">
        <v>355</v>
      </c>
      <c r="D113" s="31"/>
      <c r="E113" s="31"/>
      <c r="F113" s="31"/>
      <c r="G113" s="31"/>
      <c r="H113" s="31"/>
      <c r="I113" s="31"/>
      <c r="J113" s="37"/>
      <c r="K113" s="31"/>
      <c r="L113" s="31"/>
      <c r="M113" s="31"/>
      <c r="N113" s="31"/>
      <c r="O113" s="31" t="s">
        <v>108</v>
      </c>
      <c r="P113" s="31" t="s">
        <v>109</v>
      </c>
      <c r="Q113" s="31"/>
      <c r="R113" s="31"/>
      <c r="S113" s="31"/>
    </row>
    <row r="114" spans="1:19" hidden="1">
      <c r="A114" s="205" t="s">
        <v>356</v>
      </c>
      <c r="B114" s="206"/>
      <c r="C114" s="206" t="s">
        <v>357</v>
      </c>
      <c r="D114" s="31"/>
      <c r="E114" s="31"/>
      <c r="F114" s="31"/>
      <c r="G114" s="31"/>
      <c r="H114" s="31"/>
      <c r="I114" s="31"/>
      <c r="J114" s="37"/>
      <c r="K114" s="31"/>
      <c r="L114" s="31"/>
      <c r="M114" s="31"/>
      <c r="N114" s="31"/>
      <c r="O114" s="31" t="s">
        <v>108</v>
      </c>
      <c r="P114" s="31" t="s">
        <v>109</v>
      </c>
      <c r="Q114" s="31"/>
      <c r="R114" s="31"/>
      <c r="S114" s="31"/>
    </row>
    <row r="115" spans="1:19">
      <c r="A115" s="78" t="s">
        <v>654</v>
      </c>
      <c r="B115" s="271" t="s">
        <v>14</v>
      </c>
      <c r="C115" s="271" t="s">
        <v>842</v>
      </c>
      <c r="D115" s="31"/>
      <c r="E115" s="31"/>
      <c r="F115" s="31"/>
      <c r="G115" s="31"/>
      <c r="H115" s="31"/>
      <c r="I115" s="31"/>
      <c r="J115" s="37"/>
      <c r="K115" s="31"/>
      <c r="L115" s="31"/>
      <c r="M115" s="31"/>
      <c r="N115" s="31"/>
      <c r="O115" s="31" t="s">
        <v>108</v>
      </c>
      <c r="P115" s="31" t="s">
        <v>109</v>
      </c>
      <c r="Q115" s="31"/>
      <c r="R115" s="31"/>
      <c r="S115" s="31"/>
    </row>
    <row r="116" spans="1:19">
      <c r="A116" s="78" t="s">
        <v>654</v>
      </c>
      <c r="B116" s="271" t="s">
        <v>14</v>
      </c>
      <c r="C116" s="271" t="s">
        <v>843</v>
      </c>
      <c r="D116" s="31"/>
      <c r="E116" s="31"/>
      <c r="F116" s="31"/>
      <c r="G116" s="31"/>
      <c r="H116" s="31"/>
      <c r="I116" s="31"/>
      <c r="J116" s="37"/>
      <c r="K116" s="31"/>
      <c r="L116" s="31"/>
      <c r="M116" s="31"/>
      <c r="N116" s="31"/>
      <c r="O116" s="31" t="s">
        <v>108</v>
      </c>
      <c r="P116" s="31" t="s">
        <v>109</v>
      </c>
      <c r="Q116" s="31"/>
      <c r="R116" s="31"/>
      <c r="S116" s="31"/>
    </row>
    <row r="117" spans="1:19">
      <c r="A117" s="78" t="s">
        <v>654</v>
      </c>
      <c r="B117" s="271" t="s">
        <v>14</v>
      </c>
      <c r="C117" s="271" t="s">
        <v>844</v>
      </c>
      <c r="D117" s="31"/>
      <c r="E117" s="31"/>
      <c r="F117" s="31"/>
      <c r="G117" s="31"/>
      <c r="H117" s="31"/>
      <c r="I117" s="31"/>
      <c r="J117" s="37"/>
      <c r="K117" s="31"/>
      <c r="L117" s="31"/>
      <c r="M117" s="31"/>
      <c r="N117" s="31"/>
      <c r="O117" s="31" t="s">
        <v>108</v>
      </c>
      <c r="P117" s="31" t="s">
        <v>109</v>
      </c>
      <c r="Q117" s="31"/>
      <c r="R117" s="31"/>
      <c r="S117" s="31"/>
    </row>
    <row r="118" spans="1:19">
      <c r="A118" s="78" t="s">
        <v>654</v>
      </c>
      <c r="B118" s="272" t="s">
        <v>14</v>
      </c>
      <c r="C118" s="272" t="s">
        <v>845</v>
      </c>
      <c r="D118" s="31"/>
      <c r="E118" s="31"/>
      <c r="F118" s="31"/>
      <c r="G118" s="31"/>
      <c r="H118" s="31"/>
      <c r="I118" s="31"/>
      <c r="J118" s="37"/>
      <c r="K118" s="31"/>
      <c r="L118" s="31"/>
      <c r="M118" s="31"/>
      <c r="N118" s="31"/>
      <c r="O118" s="31" t="s">
        <v>108</v>
      </c>
      <c r="P118" s="31" t="s">
        <v>109</v>
      </c>
      <c r="Q118" s="31"/>
      <c r="R118" s="31"/>
      <c r="S118" s="31"/>
    </row>
    <row r="119" spans="1:19">
      <c r="A119" s="78" t="s">
        <v>654</v>
      </c>
      <c r="B119" s="272" t="s">
        <v>14</v>
      </c>
      <c r="C119" s="272" t="s">
        <v>846</v>
      </c>
      <c r="D119" s="31"/>
      <c r="E119" s="31"/>
      <c r="F119" s="31"/>
      <c r="G119" s="31"/>
      <c r="H119" s="31"/>
      <c r="I119" s="31"/>
      <c r="J119" s="37"/>
      <c r="K119" s="31"/>
      <c r="L119" s="31"/>
      <c r="M119" s="31"/>
      <c r="N119" s="31"/>
      <c r="O119" s="31" t="s">
        <v>108</v>
      </c>
      <c r="P119" s="31" t="s">
        <v>109</v>
      </c>
      <c r="Q119" s="31"/>
      <c r="R119" s="31"/>
      <c r="S119" s="31"/>
    </row>
    <row r="120" spans="1:19">
      <c r="A120" s="78" t="s">
        <v>654</v>
      </c>
      <c r="B120" s="272" t="s">
        <v>14</v>
      </c>
      <c r="C120" s="272" t="s">
        <v>847</v>
      </c>
      <c r="D120" s="31"/>
      <c r="E120" s="31"/>
      <c r="F120" s="31"/>
      <c r="G120" s="31"/>
      <c r="H120" s="31"/>
      <c r="I120" s="31"/>
      <c r="J120" s="37"/>
      <c r="K120" s="31"/>
      <c r="L120" s="31"/>
      <c r="M120" s="31"/>
      <c r="N120" s="31"/>
      <c r="O120" s="31" t="s">
        <v>108</v>
      </c>
      <c r="P120" s="31" t="s">
        <v>109</v>
      </c>
      <c r="Q120" s="31"/>
      <c r="R120" s="31"/>
      <c r="S120" s="31"/>
    </row>
    <row r="121" spans="1:19">
      <c r="A121" s="78" t="s">
        <v>654</v>
      </c>
      <c r="B121" s="272" t="s">
        <v>14</v>
      </c>
      <c r="C121" s="272" t="s">
        <v>848</v>
      </c>
      <c r="D121" s="31"/>
      <c r="E121" s="31"/>
      <c r="F121" s="31"/>
      <c r="G121" s="31"/>
      <c r="H121" s="31"/>
      <c r="I121" s="31"/>
      <c r="J121" s="37"/>
      <c r="K121" s="31"/>
      <c r="L121" s="31"/>
      <c r="M121" s="31"/>
      <c r="N121" s="31"/>
      <c r="O121" s="31" t="s">
        <v>108</v>
      </c>
      <c r="P121" s="31" t="s">
        <v>109</v>
      </c>
      <c r="Q121" s="31"/>
      <c r="R121" s="31"/>
      <c r="S121" s="31"/>
    </row>
    <row r="122" spans="1:19">
      <c r="A122" s="78" t="s">
        <v>654</v>
      </c>
      <c r="B122" s="234" t="s">
        <v>14</v>
      </c>
      <c r="C122" s="234" t="s">
        <v>849</v>
      </c>
      <c r="D122" s="31"/>
      <c r="E122" s="31"/>
      <c r="F122" s="31"/>
      <c r="G122" s="31"/>
      <c r="H122" s="31"/>
      <c r="I122" s="31"/>
      <c r="J122" s="37"/>
      <c r="K122" s="31"/>
      <c r="L122" s="31"/>
      <c r="M122" s="31"/>
      <c r="N122" s="31"/>
      <c r="O122" s="31" t="s">
        <v>108</v>
      </c>
      <c r="P122" s="31" t="s">
        <v>109</v>
      </c>
      <c r="Q122" s="31"/>
      <c r="R122" s="31"/>
      <c r="S122" s="31"/>
    </row>
    <row r="123" spans="1:19">
      <c r="A123" s="78" t="s">
        <v>654</v>
      </c>
      <c r="B123" s="273" t="s">
        <v>14</v>
      </c>
      <c r="C123" s="273" t="s">
        <v>850</v>
      </c>
      <c r="D123" s="31"/>
      <c r="E123" s="31"/>
      <c r="F123" s="31"/>
      <c r="G123" s="31"/>
      <c r="H123" s="31"/>
      <c r="I123" s="31"/>
      <c r="J123" s="37"/>
      <c r="K123" s="31"/>
      <c r="L123" s="31"/>
      <c r="M123" s="31"/>
      <c r="N123" s="31"/>
      <c r="O123" s="31" t="s">
        <v>108</v>
      </c>
      <c r="P123" s="31" t="s">
        <v>109</v>
      </c>
      <c r="Q123" s="31"/>
      <c r="R123" s="31"/>
      <c r="S123" s="31"/>
    </row>
    <row r="124" spans="1:19">
      <c r="A124" s="78" t="s">
        <v>654</v>
      </c>
      <c r="B124" s="273" t="s">
        <v>14</v>
      </c>
      <c r="C124" s="273" t="s">
        <v>463</v>
      </c>
      <c r="D124" s="31"/>
      <c r="E124" s="31"/>
      <c r="F124" s="31"/>
      <c r="G124" s="31"/>
      <c r="H124" s="31"/>
      <c r="I124" s="31"/>
      <c r="J124" s="37"/>
      <c r="K124" s="31"/>
      <c r="L124" s="31"/>
      <c r="M124" s="31"/>
      <c r="N124" s="31"/>
      <c r="O124" s="31" t="s">
        <v>108</v>
      </c>
      <c r="P124" s="31" t="s">
        <v>109</v>
      </c>
      <c r="Q124" s="31"/>
      <c r="R124" s="31"/>
      <c r="S124" s="31"/>
    </row>
    <row r="125" spans="1:19">
      <c r="A125" s="78" t="s">
        <v>654</v>
      </c>
      <c r="B125" s="235" t="s">
        <v>14</v>
      </c>
      <c r="C125" s="235" t="s">
        <v>851</v>
      </c>
      <c r="D125" s="31"/>
      <c r="E125" s="31"/>
      <c r="F125" s="31"/>
      <c r="G125" s="31"/>
      <c r="H125" s="31"/>
      <c r="I125" s="31"/>
      <c r="J125" s="37"/>
      <c r="K125" s="31"/>
      <c r="L125" s="31"/>
      <c r="M125" s="31"/>
      <c r="N125" s="31"/>
      <c r="O125" s="31" t="s">
        <v>108</v>
      </c>
      <c r="P125" s="31" t="s">
        <v>109</v>
      </c>
      <c r="Q125" s="31"/>
      <c r="R125" s="31"/>
      <c r="S125" s="31"/>
    </row>
    <row r="126" spans="1:19">
      <c r="A126" s="78" t="s">
        <v>654</v>
      </c>
      <c r="B126" s="236" t="s">
        <v>14</v>
      </c>
      <c r="C126" s="236" t="s">
        <v>852</v>
      </c>
      <c r="D126" s="31"/>
      <c r="E126" s="31"/>
      <c r="F126" s="31"/>
      <c r="G126" s="31"/>
      <c r="H126" s="31"/>
      <c r="I126" s="31"/>
      <c r="J126" s="37"/>
      <c r="K126" s="31"/>
      <c r="L126" s="31"/>
      <c r="M126" s="31"/>
      <c r="N126" s="31"/>
      <c r="O126" s="31" t="s">
        <v>108</v>
      </c>
      <c r="P126" s="31" t="s">
        <v>109</v>
      </c>
      <c r="Q126" s="31"/>
      <c r="R126" s="31"/>
      <c r="S126" s="31"/>
    </row>
    <row r="127" spans="1:19">
      <c r="A127" s="78" t="s">
        <v>853</v>
      </c>
      <c r="B127" s="78" t="s">
        <v>14</v>
      </c>
      <c r="C127" s="237" t="s">
        <v>471</v>
      </c>
      <c r="D127" s="31"/>
      <c r="E127" s="31"/>
      <c r="F127" s="31"/>
      <c r="G127" s="31"/>
      <c r="H127" s="31"/>
      <c r="I127" s="31"/>
      <c r="J127" s="37"/>
      <c r="K127" s="31"/>
      <c r="L127" s="31"/>
      <c r="M127" s="31"/>
      <c r="N127" s="31"/>
      <c r="O127" s="31" t="s">
        <v>108</v>
      </c>
      <c r="P127" s="31" t="s">
        <v>109</v>
      </c>
      <c r="Q127" s="31"/>
      <c r="R127" s="31"/>
      <c r="S127" s="31"/>
    </row>
    <row r="128" spans="1:19">
      <c r="A128" s="78" t="s">
        <v>853</v>
      </c>
      <c r="B128" s="78" t="s">
        <v>14</v>
      </c>
      <c r="C128" s="78" t="s">
        <v>474</v>
      </c>
      <c r="D128" s="31"/>
      <c r="E128" s="31"/>
      <c r="F128" s="31"/>
      <c r="G128" s="31"/>
      <c r="H128" s="31"/>
      <c r="I128" s="31"/>
      <c r="J128" s="37"/>
      <c r="K128" s="31"/>
      <c r="L128" s="31"/>
      <c r="M128" s="31"/>
      <c r="N128" s="31"/>
      <c r="O128" s="31" t="s">
        <v>108</v>
      </c>
      <c r="P128" s="31" t="s">
        <v>109</v>
      </c>
      <c r="Q128" s="31"/>
      <c r="R128" s="31"/>
      <c r="S128" s="31"/>
    </row>
    <row r="129" spans="1:19">
      <c r="A129" s="78" t="s">
        <v>853</v>
      </c>
      <c r="B129" s="78" t="s">
        <v>14</v>
      </c>
      <c r="C129" s="78" t="s">
        <v>476</v>
      </c>
      <c r="D129" s="31"/>
      <c r="E129" s="31"/>
      <c r="F129" s="31"/>
      <c r="G129" s="31"/>
      <c r="H129" s="31"/>
      <c r="I129" s="31"/>
      <c r="J129" s="37"/>
      <c r="K129" s="31"/>
      <c r="L129" s="31"/>
      <c r="M129" s="31"/>
      <c r="N129" s="31"/>
      <c r="O129" s="31" t="s">
        <v>108</v>
      </c>
      <c r="P129" s="31" t="s">
        <v>109</v>
      </c>
      <c r="Q129" s="31"/>
      <c r="R129" s="31"/>
      <c r="S129" s="31"/>
    </row>
    <row r="130" spans="1:19">
      <c r="A130" s="78" t="s">
        <v>853</v>
      </c>
      <c r="B130" s="78" t="s">
        <v>14</v>
      </c>
      <c r="C130" s="78" t="s">
        <v>478</v>
      </c>
      <c r="D130" s="31"/>
      <c r="E130" s="31"/>
      <c r="F130" s="31"/>
      <c r="G130" s="31"/>
      <c r="H130" s="31"/>
      <c r="I130" s="31"/>
      <c r="J130" s="37"/>
      <c r="K130" s="31"/>
      <c r="L130" s="31"/>
      <c r="M130" s="31"/>
      <c r="N130" s="31"/>
      <c r="O130" s="31" t="s">
        <v>108</v>
      </c>
      <c r="P130" s="31" t="s">
        <v>109</v>
      </c>
      <c r="Q130" s="31"/>
      <c r="R130" s="31"/>
      <c r="S130" s="31"/>
    </row>
    <row r="131" spans="1:19">
      <c r="A131" s="78" t="s">
        <v>853</v>
      </c>
      <c r="B131" s="78" t="s">
        <v>14</v>
      </c>
      <c r="C131" s="78" t="s">
        <v>854</v>
      </c>
      <c r="D131" s="31"/>
      <c r="E131" s="31"/>
      <c r="F131" s="31"/>
      <c r="G131" s="31"/>
      <c r="H131" s="31"/>
      <c r="I131" s="31"/>
      <c r="J131" s="37"/>
      <c r="K131" s="31"/>
      <c r="L131" s="31"/>
      <c r="M131" s="31"/>
      <c r="N131" s="31"/>
      <c r="O131" s="31" t="s">
        <v>108</v>
      </c>
      <c r="P131" s="31" t="s">
        <v>109</v>
      </c>
      <c r="Q131" s="31"/>
      <c r="R131" s="31"/>
      <c r="S131" s="31"/>
    </row>
    <row r="132" spans="1:19">
      <c r="A132" s="78" t="s">
        <v>853</v>
      </c>
      <c r="B132" s="78" t="s">
        <v>626</v>
      </c>
      <c r="C132" s="274" t="s">
        <v>855</v>
      </c>
      <c r="D132" s="31"/>
      <c r="E132" s="147"/>
      <c r="F132" s="147"/>
      <c r="G132" s="147"/>
      <c r="H132" s="147"/>
      <c r="I132" s="147" t="s">
        <v>106</v>
      </c>
      <c r="J132" s="238" t="s">
        <v>107</v>
      </c>
      <c r="K132" s="31"/>
      <c r="L132" s="31"/>
      <c r="M132" s="31"/>
      <c r="N132" s="31"/>
      <c r="O132" s="31" t="s">
        <v>108</v>
      </c>
      <c r="P132" s="31" t="s">
        <v>109</v>
      </c>
      <c r="Q132" s="31"/>
      <c r="R132" s="31"/>
      <c r="S132" s="31"/>
    </row>
    <row r="133" spans="1:19">
      <c r="A133" s="78" t="s">
        <v>853</v>
      </c>
      <c r="B133" s="78" t="s">
        <v>626</v>
      </c>
      <c r="C133" s="78" t="s">
        <v>713</v>
      </c>
      <c r="D133" s="31"/>
      <c r="E133" s="31"/>
      <c r="F133" s="31"/>
      <c r="G133" s="31"/>
      <c r="H133" s="31"/>
      <c r="I133" s="31"/>
      <c r="J133" s="37"/>
      <c r="K133" s="31"/>
      <c r="L133" s="31"/>
      <c r="M133" s="31"/>
      <c r="N133" s="31"/>
      <c r="O133" s="31" t="s">
        <v>108</v>
      </c>
      <c r="P133" s="31" t="s">
        <v>109</v>
      </c>
      <c r="Q133" s="31"/>
      <c r="R133" s="31"/>
      <c r="S133" s="31"/>
    </row>
    <row r="134" spans="1:19">
      <c r="A134" s="78" t="s">
        <v>853</v>
      </c>
      <c r="B134" s="78" t="s">
        <v>626</v>
      </c>
      <c r="C134" s="275" t="s">
        <v>856</v>
      </c>
      <c r="D134" s="31"/>
      <c r="E134" s="31"/>
      <c r="F134" s="31"/>
      <c r="G134" s="31"/>
      <c r="H134" s="31"/>
      <c r="I134" s="31"/>
      <c r="J134" s="37"/>
      <c r="K134" s="31"/>
      <c r="L134" s="31"/>
      <c r="M134" s="31"/>
      <c r="N134" s="31"/>
      <c r="O134" s="31" t="s">
        <v>108</v>
      </c>
      <c r="P134" s="31" t="s">
        <v>109</v>
      </c>
      <c r="Q134" s="31"/>
      <c r="R134" s="31"/>
      <c r="S134" s="31"/>
    </row>
    <row r="135" spans="1:19">
      <c r="A135" s="78" t="s">
        <v>853</v>
      </c>
      <c r="B135" s="78" t="s">
        <v>626</v>
      </c>
      <c r="C135" s="276" t="s">
        <v>857</v>
      </c>
      <c r="D135" s="31"/>
      <c r="E135" s="31"/>
      <c r="F135" s="31"/>
      <c r="G135" s="31"/>
      <c r="H135" s="31"/>
      <c r="I135" s="31"/>
      <c r="J135" s="37"/>
      <c r="K135" s="31"/>
      <c r="L135" s="31"/>
      <c r="M135" s="31"/>
      <c r="N135" s="31"/>
      <c r="O135" s="31" t="s">
        <v>108</v>
      </c>
      <c r="P135" s="31" t="s">
        <v>109</v>
      </c>
      <c r="Q135" s="31"/>
      <c r="R135" s="31"/>
      <c r="S135" s="31"/>
    </row>
    <row r="136" spans="1:19">
      <c r="A136" s="78" t="s">
        <v>853</v>
      </c>
      <c r="B136" s="78" t="s">
        <v>626</v>
      </c>
      <c r="C136" s="277" t="s">
        <v>635</v>
      </c>
      <c r="D136" s="31"/>
      <c r="E136" s="31"/>
      <c r="F136" s="31"/>
      <c r="G136" s="31"/>
      <c r="H136" s="31"/>
      <c r="I136" s="31"/>
      <c r="J136" s="37"/>
      <c r="K136" s="31"/>
      <c r="L136" s="31"/>
      <c r="M136" s="31"/>
      <c r="N136" s="31"/>
      <c r="O136" s="31" t="s">
        <v>108</v>
      </c>
      <c r="P136" s="31" t="s">
        <v>109</v>
      </c>
      <c r="Q136" s="31"/>
      <c r="R136" s="31"/>
      <c r="S136" s="31"/>
    </row>
    <row r="137" spans="1:19">
      <c r="A137" s="78" t="s">
        <v>853</v>
      </c>
      <c r="B137" s="78" t="s">
        <v>626</v>
      </c>
      <c r="C137" s="78" t="s">
        <v>671</v>
      </c>
      <c r="D137" s="31"/>
      <c r="E137" s="31"/>
      <c r="F137" s="31"/>
      <c r="G137" s="31"/>
      <c r="H137" s="31"/>
      <c r="I137" s="31"/>
      <c r="J137" s="37"/>
      <c r="K137" s="31"/>
      <c r="L137" s="31"/>
      <c r="M137" s="31"/>
      <c r="N137" s="31"/>
      <c r="O137" s="31" t="s">
        <v>108</v>
      </c>
      <c r="P137" s="31" t="s">
        <v>109</v>
      </c>
      <c r="Q137" s="31"/>
      <c r="R137" s="31"/>
      <c r="S137" s="31"/>
    </row>
    <row r="138" spans="1:19">
      <c r="A138" s="78" t="s">
        <v>853</v>
      </c>
      <c r="B138" s="78" t="s">
        <v>626</v>
      </c>
      <c r="C138" s="78" t="s">
        <v>669</v>
      </c>
      <c r="D138" s="31"/>
      <c r="E138" s="31"/>
      <c r="F138" s="31"/>
      <c r="G138" s="31"/>
      <c r="H138" s="31"/>
      <c r="I138" s="31"/>
      <c r="J138" s="37"/>
      <c r="K138" s="31"/>
      <c r="L138" s="31"/>
      <c r="M138" s="31"/>
      <c r="N138" s="31"/>
      <c r="O138" s="31" t="s">
        <v>108</v>
      </c>
      <c r="P138" s="31" t="s">
        <v>109</v>
      </c>
      <c r="Q138" s="31"/>
      <c r="R138" s="31"/>
      <c r="S138" s="31"/>
    </row>
    <row r="139" spans="1:19">
      <c r="A139" s="78" t="s">
        <v>858</v>
      </c>
      <c r="B139" s="78" t="s">
        <v>626</v>
      </c>
      <c r="C139" s="78" t="s">
        <v>716</v>
      </c>
      <c r="D139" s="31"/>
      <c r="E139" s="31"/>
      <c r="F139" s="31"/>
      <c r="G139" s="31"/>
      <c r="H139" s="31"/>
      <c r="I139" s="31" t="s">
        <v>106</v>
      </c>
      <c r="J139" s="37" t="s">
        <v>107</v>
      </c>
      <c r="K139" s="31"/>
      <c r="L139" s="31"/>
      <c r="M139" s="31"/>
      <c r="N139" s="31"/>
      <c r="O139" s="31" t="s">
        <v>108</v>
      </c>
      <c r="P139" s="31" t="s">
        <v>109</v>
      </c>
      <c r="Q139" s="31"/>
      <c r="R139" s="31"/>
      <c r="S139" s="31"/>
    </row>
    <row r="140" spans="1:19">
      <c r="A140" s="78" t="s">
        <v>853</v>
      </c>
      <c r="B140" s="78" t="s">
        <v>626</v>
      </c>
      <c r="C140" s="278" t="s">
        <v>859</v>
      </c>
      <c r="D140" s="31"/>
      <c r="E140" s="31"/>
      <c r="F140" s="31"/>
      <c r="G140" s="31"/>
      <c r="H140" s="31"/>
      <c r="I140" s="31"/>
      <c r="J140" s="37"/>
      <c r="K140" s="31"/>
      <c r="L140" s="31"/>
      <c r="M140" s="31"/>
      <c r="N140" s="31"/>
      <c r="O140" s="31" t="s">
        <v>108</v>
      </c>
      <c r="P140" s="31" t="s">
        <v>109</v>
      </c>
      <c r="Q140" s="31"/>
      <c r="R140" s="31"/>
      <c r="S140" s="31"/>
    </row>
    <row r="141" spans="1:19">
      <c r="A141" s="78" t="s">
        <v>853</v>
      </c>
      <c r="B141" s="78" t="s">
        <v>626</v>
      </c>
      <c r="C141" s="279" t="s">
        <v>860</v>
      </c>
      <c r="D141" s="31"/>
      <c r="E141" s="31"/>
      <c r="F141" s="31"/>
      <c r="G141" s="31"/>
      <c r="H141" s="31"/>
      <c r="I141" s="31"/>
      <c r="J141" s="37"/>
      <c r="K141" s="31"/>
      <c r="L141" s="31"/>
      <c r="M141" s="31"/>
      <c r="N141" s="31"/>
      <c r="O141" s="31" t="s">
        <v>108</v>
      </c>
      <c r="P141" s="31" t="s">
        <v>109</v>
      </c>
      <c r="Q141" s="31"/>
      <c r="R141" s="31"/>
      <c r="S141" s="31"/>
    </row>
    <row r="142" spans="1:19">
      <c r="A142" s="78" t="s">
        <v>853</v>
      </c>
      <c r="B142" s="78" t="s">
        <v>626</v>
      </c>
      <c r="C142" s="78" t="s">
        <v>733</v>
      </c>
      <c r="D142" s="31"/>
      <c r="E142" s="31"/>
      <c r="F142" s="31"/>
      <c r="G142" s="31"/>
      <c r="H142" s="31"/>
      <c r="I142" s="31"/>
      <c r="J142" s="37"/>
      <c r="K142" s="31"/>
      <c r="L142" s="31"/>
      <c r="M142" s="31"/>
      <c r="N142" s="31"/>
      <c r="O142" s="31" t="s">
        <v>108</v>
      </c>
      <c r="P142" s="31" t="s">
        <v>109</v>
      </c>
      <c r="Q142" s="31"/>
      <c r="R142" s="31"/>
      <c r="S142" s="31"/>
    </row>
    <row r="143" spans="1:19">
      <c r="A143" s="78" t="s">
        <v>853</v>
      </c>
      <c r="B143" s="78" t="s">
        <v>626</v>
      </c>
      <c r="C143" s="78" t="s">
        <v>861</v>
      </c>
      <c r="D143" s="31"/>
      <c r="E143" s="31"/>
      <c r="F143" s="31"/>
      <c r="G143" s="31"/>
      <c r="H143" s="31"/>
      <c r="I143" s="31"/>
      <c r="J143" s="37"/>
      <c r="K143" s="31"/>
      <c r="L143" s="31"/>
      <c r="M143" s="31"/>
      <c r="N143" s="31"/>
      <c r="O143" s="31" t="s">
        <v>108</v>
      </c>
      <c r="P143" s="31" t="s">
        <v>109</v>
      </c>
      <c r="Q143" s="31"/>
      <c r="R143" s="31"/>
      <c r="S143" s="31"/>
    </row>
    <row r="144" spans="1:19">
      <c r="A144" s="78" t="s">
        <v>858</v>
      </c>
      <c r="B144" s="78" t="s">
        <v>626</v>
      </c>
      <c r="C144" s="78" t="s">
        <v>672</v>
      </c>
      <c r="D144" s="31"/>
      <c r="E144" s="31"/>
      <c r="F144" s="31"/>
      <c r="G144" s="31"/>
      <c r="H144" s="31"/>
      <c r="I144" s="31"/>
      <c r="J144" s="37"/>
      <c r="K144" s="31"/>
      <c r="L144" s="31"/>
      <c r="M144" s="31"/>
      <c r="N144" s="31"/>
      <c r="O144" s="31" t="s">
        <v>108</v>
      </c>
      <c r="P144" s="31" t="s">
        <v>109</v>
      </c>
      <c r="Q144" s="31"/>
      <c r="R144" s="31"/>
      <c r="S144" s="31"/>
    </row>
    <row r="145" spans="1:19">
      <c r="A145" s="78" t="s">
        <v>858</v>
      </c>
      <c r="B145" s="78" t="s">
        <v>626</v>
      </c>
      <c r="C145" s="78" t="s">
        <v>862</v>
      </c>
      <c r="D145" s="31"/>
      <c r="E145" s="147"/>
      <c r="F145" s="147"/>
      <c r="G145" s="147"/>
      <c r="H145" s="147"/>
      <c r="I145" s="147" t="s">
        <v>106</v>
      </c>
      <c r="J145" s="238" t="s">
        <v>107</v>
      </c>
      <c r="K145" s="31"/>
      <c r="L145" s="31"/>
      <c r="M145" s="31"/>
      <c r="N145" s="31"/>
      <c r="O145" s="31" t="s">
        <v>108</v>
      </c>
      <c r="P145" s="31" t="s">
        <v>109</v>
      </c>
      <c r="Q145" s="31"/>
      <c r="R145" s="31"/>
      <c r="S145" s="31"/>
    </row>
    <row r="146" spans="1:19">
      <c r="A146" s="78" t="s">
        <v>853</v>
      </c>
      <c r="B146" s="78" t="s">
        <v>626</v>
      </c>
      <c r="C146" s="78" t="s">
        <v>735</v>
      </c>
      <c r="D146" s="31"/>
      <c r="E146" s="31"/>
      <c r="F146" s="31"/>
      <c r="G146" s="31"/>
      <c r="H146" s="31"/>
      <c r="I146" s="31"/>
      <c r="J146" s="37"/>
      <c r="K146" s="31"/>
      <c r="L146" s="31"/>
      <c r="M146" s="31"/>
      <c r="N146" s="31"/>
      <c r="O146" s="31" t="s">
        <v>108</v>
      </c>
      <c r="P146" s="31" t="s">
        <v>109</v>
      </c>
      <c r="Q146" s="31"/>
      <c r="R146" s="31"/>
      <c r="S146" s="31"/>
    </row>
    <row r="147" spans="1:19">
      <c r="A147" s="78" t="s">
        <v>858</v>
      </c>
      <c r="B147" s="78" t="s">
        <v>626</v>
      </c>
      <c r="C147" s="78" t="s">
        <v>719</v>
      </c>
      <c r="D147" s="31"/>
      <c r="E147" s="31"/>
      <c r="F147" s="31"/>
      <c r="G147" s="31"/>
      <c r="H147" s="31"/>
      <c r="I147" s="31"/>
      <c r="J147" s="37"/>
      <c r="K147" s="31"/>
      <c r="L147" s="31"/>
      <c r="M147" s="31"/>
      <c r="N147" s="31"/>
      <c r="O147" s="31" t="s">
        <v>108</v>
      </c>
      <c r="P147" s="31" t="s">
        <v>109</v>
      </c>
      <c r="Q147" s="31"/>
      <c r="R147" s="31"/>
      <c r="S147" s="31"/>
    </row>
    <row r="148" spans="1:19">
      <c r="A148" s="78" t="s">
        <v>853</v>
      </c>
      <c r="B148" s="78" t="s">
        <v>626</v>
      </c>
      <c r="C148" s="78" t="s">
        <v>721</v>
      </c>
      <c r="D148" s="31"/>
      <c r="E148" s="31"/>
      <c r="F148" s="31"/>
      <c r="G148" s="31"/>
      <c r="H148" s="31"/>
      <c r="I148" s="31"/>
      <c r="J148" s="37"/>
      <c r="K148" s="31"/>
      <c r="L148" s="31"/>
      <c r="M148" s="31"/>
      <c r="N148" s="31"/>
      <c r="O148" s="31" t="s">
        <v>108</v>
      </c>
      <c r="P148" s="31" t="s">
        <v>109</v>
      </c>
      <c r="Q148" s="31"/>
      <c r="R148" s="31"/>
      <c r="S148" s="31"/>
    </row>
    <row r="149" spans="1:19">
      <c r="A149" s="78" t="s">
        <v>853</v>
      </c>
      <c r="B149" s="78" t="s">
        <v>626</v>
      </c>
      <c r="C149" s="78" t="s">
        <v>737</v>
      </c>
      <c r="D149" s="31"/>
      <c r="E149" s="31"/>
      <c r="F149" s="31"/>
      <c r="G149" s="31"/>
      <c r="H149" s="31"/>
      <c r="I149" s="31" t="s">
        <v>106</v>
      </c>
      <c r="J149" s="37" t="s">
        <v>107</v>
      </c>
      <c r="K149" s="31"/>
      <c r="L149" s="31"/>
      <c r="M149" s="31"/>
      <c r="N149" s="31"/>
      <c r="O149" s="31" t="s">
        <v>108</v>
      </c>
      <c r="P149" s="31" t="s">
        <v>109</v>
      </c>
      <c r="Q149" s="31"/>
      <c r="R149" s="31"/>
      <c r="S149" s="31"/>
    </row>
    <row r="150" spans="1:19">
      <c r="A150" s="78" t="s">
        <v>858</v>
      </c>
      <c r="B150" s="78" t="s">
        <v>626</v>
      </c>
      <c r="C150" s="78" t="s">
        <v>863</v>
      </c>
      <c r="D150" s="31"/>
      <c r="E150" s="31"/>
      <c r="F150" s="31"/>
      <c r="G150" s="31"/>
      <c r="H150" s="31"/>
      <c r="I150" s="31" t="s">
        <v>106</v>
      </c>
      <c r="J150" s="37" t="s">
        <v>107</v>
      </c>
      <c r="K150" s="31"/>
      <c r="L150" s="31"/>
      <c r="M150" s="31"/>
      <c r="N150" s="31"/>
      <c r="O150" s="31" t="s">
        <v>108</v>
      </c>
      <c r="P150" s="31" t="s">
        <v>109</v>
      </c>
      <c r="Q150" s="31"/>
      <c r="R150" s="31"/>
      <c r="S150" s="31"/>
    </row>
    <row r="151" spans="1:19">
      <c r="A151" s="78" t="s">
        <v>853</v>
      </c>
      <c r="B151" s="78" t="s">
        <v>626</v>
      </c>
      <c r="C151" s="78" t="s">
        <v>666</v>
      </c>
      <c r="D151" s="31"/>
      <c r="E151" s="31"/>
      <c r="F151" s="31"/>
      <c r="G151" s="31"/>
      <c r="H151" s="31"/>
      <c r="I151" s="31"/>
      <c r="J151" s="37"/>
      <c r="K151" s="31"/>
      <c r="L151" s="31"/>
      <c r="M151" s="31"/>
      <c r="N151" s="31"/>
      <c r="O151" s="31" t="s">
        <v>108</v>
      </c>
      <c r="P151" s="31" t="s">
        <v>109</v>
      </c>
      <c r="Q151" s="31"/>
      <c r="R151" s="31"/>
      <c r="S151" s="31"/>
    </row>
    <row r="152" spans="1:19">
      <c r="A152" s="78" t="s">
        <v>853</v>
      </c>
      <c r="B152" s="78" t="s">
        <v>626</v>
      </c>
      <c r="C152" s="78" t="s">
        <v>739</v>
      </c>
      <c r="D152" s="31"/>
      <c r="E152" s="31"/>
      <c r="F152" s="31"/>
      <c r="G152" s="31"/>
      <c r="H152" s="31"/>
      <c r="I152" s="31"/>
      <c r="J152" s="37"/>
      <c r="K152" s="31"/>
      <c r="L152" s="31"/>
      <c r="M152" s="31"/>
      <c r="N152" s="31"/>
      <c r="O152" s="31" t="s">
        <v>108</v>
      </c>
      <c r="P152" s="31" t="s">
        <v>109</v>
      </c>
      <c r="Q152" s="31"/>
      <c r="R152" s="31"/>
      <c r="S152" s="31"/>
    </row>
    <row r="153" spans="1:19">
      <c r="A153" s="78" t="s">
        <v>853</v>
      </c>
      <c r="B153" s="78" t="s">
        <v>626</v>
      </c>
      <c r="C153" s="78" t="s">
        <v>741</v>
      </c>
      <c r="D153" s="31"/>
      <c r="E153" s="31"/>
      <c r="F153" s="31"/>
      <c r="G153" s="31"/>
      <c r="H153" s="31"/>
      <c r="I153" s="31" t="s">
        <v>106</v>
      </c>
      <c r="J153" s="37" t="s">
        <v>107</v>
      </c>
      <c r="K153" s="31"/>
      <c r="L153" s="31"/>
      <c r="M153" s="31"/>
      <c r="N153" s="31"/>
      <c r="O153" s="31" t="s">
        <v>108</v>
      </c>
      <c r="P153" s="31" t="s">
        <v>109</v>
      </c>
      <c r="Q153" s="31"/>
      <c r="R153" s="31"/>
      <c r="S153" s="31"/>
    </row>
    <row r="154" spans="1:19">
      <c r="A154" s="78" t="s">
        <v>853</v>
      </c>
      <c r="B154" s="78" t="s">
        <v>626</v>
      </c>
      <c r="C154" s="78" t="s">
        <v>723</v>
      </c>
      <c r="D154" s="31"/>
      <c r="E154" s="31"/>
      <c r="F154" s="31"/>
      <c r="G154" s="31"/>
      <c r="H154" s="31"/>
      <c r="I154" s="31"/>
      <c r="J154" s="37"/>
      <c r="K154" s="31"/>
      <c r="L154" s="31"/>
      <c r="M154" s="31"/>
      <c r="N154" s="31"/>
      <c r="O154" s="31" t="s">
        <v>108</v>
      </c>
      <c r="P154" s="31" t="s">
        <v>109</v>
      </c>
      <c r="Q154" s="31"/>
      <c r="R154" s="31"/>
      <c r="S154" s="31"/>
    </row>
    <row r="155" spans="1:19">
      <c r="A155" s="78" t="s">
        <v>853</v>
      </c>
      <c r="B155" s="78" t="s">
        <v>626</v>
      </c>
      <c r="C155" s="78" t="s">
        <v>681</v>
      </c>
      <c r="D155" s="31"/>
      <c r="E155" s="31"/>
      <c r="F155" s="31"/>
      <c r="G155" s="31"/>
      <c r="H155" s="31"/>
      <c r="I155" s="31"/>
      <c r="J155" s="37"/>
      <c r="K155" s="31"/>
      <c r="L155" s="31"/>
      <c r="M155" s="31"/>
      <c r="N155" s="31"/>
      <c r="O155" s="31" t="s">
        <v>108</v>
      </c>
      <c r="P155" s="31" t="s">
        <v>109</v>
      </c>
      <c r="Q155" s="31"/>
      <c r="R155" s="31"/>
      <c r="S155" s="31"/>
    </row>
    <row r="156" spans="1:19">
      <c r="A156" s="78" t="s">
        <v>853</v>
      </c>
      <c r="B156" s="78" t="s">
        <v>626</v>
      </c>
      <c r="C156" s="78" t="s">
        <v>744</v>
      </c>
      <c r="D156" s="31"/>
      <c r="E156" s="31"/>
      <c r="F156" s="31"/>
      <c r="G156" s="31"/>
      <c r="H156" s="31"/>
      <c r="I156" s="31" t="s">
        <v>106</v>
      </c>
      <c r="J156" s="37" t="s">
        <v>107</v>
      </c>
      <c r="K156" s="31"/>
      <c r="L156" s="31"/>
      <c r="M156" s="31"/>
      <c r="N156" s="31"/>
      <c r="O156" s="31" t="s">
        <v>108</v>
      </c>
      <c r="P156" s="31" t="s">
        <v>109</v>
      </c>
      <c r="Q156" s="31"/>
      <c r="R156" s="31"/>
      <c r="S156" s="31"/>
    </row>
    <row r="157" spans="1:19">
      <c r="A157" s="78" t="s">
        <v>853</v>
      </c>
      <c r="B157" s="78" t="s">
        <v>626</v>
      </c>
      <c r="C157" s="78" t="s">
        <v>746</v>
      </c>
      <c r="D157" s="31"/>
      <c r="E157" s="31"/>
      <c r="F157" s="31"/>
      <c r="G157" s="31"/>
      <c r="H157" s="31"/>
      <c r="I157" s="31"/>
      <c r="J157" s="37"/>
      <c r="K157" s="31"/>
      <c r="L157" s="31"/>
      <c r="M157" s="31"/>
      <c r="N157" s="31"/>
      <c r="O157" s="31" t="s">
        <v>108</v>
      </c>
      <c r="P157" s="31" t="s">
        <v>109</v>
      </c>
      <c r="Q157" s="31"/>
      <c r="R157" s="31"/>
      <c r="S157" s="31"/>
    </row>
    <row r="158" spans="1:19">
      <c r="A158" s="78" t="s">
        <v>853</v>
      </c>
      <c r="B158" s="78" t="s">
        <v>626</v>
      </c>
      <c r="C158" s="78" t="s">
        <v>725</v>
      </c>
      <c r="D158" s="31"/>
      <c r="E158" s="31"/>
      <c r="F158" s="31"/>
      <c r="G158" s="31"/>
      <c r="H158" s="31"/>
      <c r="I158" s="31"/>
      <c r="J158" s="37"/>
      <c r="K158" s="31"/>
      <c r="L158" s="31"/>
      <c r="M158" s="31"/>
      <c r="N158" s="31"/>
      <c r="O158" s="31" t="s">
        <v>108</v>
      </c>
      <c r="P158" s="31" t="s">
        <v>109</v>
      </c>
      <c r="Q158" s="31"/>
      <c r="R158" s="31"/>
      <c r="S158" s="31"/>
    </row>
    <row r="159" spans="1:19">
      <c r="A159" s="78" t="s">
        <v>853</v>
      </c>
      <c r="B159" s="78" t="s">
        <v>626</v>
      </c>
      <c r="C159" s="78" t="s">
        <v>677</v>
      </c>
      <c r="D159" s="31"/>
      <c r="E159" s="31"/>
      <c r="F159" s="31"/>
      <c r="G159" s="31"/>
      <c r="H159" s="31"/>
      <c r="I159" s="31"/>
      <c r="J159" s="37"/>
      <c r="K159" s="31"/>
      <c r="L159" s="31"/>
      <c r="M159" s="31"/>
      <c r="N159" s="31"/>
      <c r="O159" s="31" t="s">
        <v>108</v>
      </c>
      <c r="P159" s="31" t="s">
        <v>109</v>
      </c>
      <c r="Q159" s="31"/>
      <c r="R159" s="31"/>
      <c r="S159" s="31"/>
    </row>
    <row r="160" spans="1:19">
      <c r="A160" s="78" t="s">
        <v>858</v>
      </c>
      <c r="B160" s="78" t="s">
        <v>626</v>
      </c>
      <c r="C160" s="78" t="s">
        <v>864</v>
      </c>
      <c r="D160" s="31"/>
      <c r="E160" s="31"/>
      <c r="F160" s="31"/>
      <c r="G160" s="31"/>
      <c r="H160" s="31"/>
      <c r="I160" s="31" t="s">
        <v>106</v>
      </c>
      <c r="J160" s="37" t="s">
        <v>107</v>
      </c>
      <c r="K160" s="31"/>
      <c r="L160" s="31"/>
      <c r="M160" s="31"/>
      <c r="N160" s="31"/>
      <c r="O160" s="31" t="s">
        <v>108</v>
      </c>
      <c r="P160" s="31" t="s">
        <v>109</v>
      </c>
      <c r="Q160" s="31"/>
      <c r="R160" s="31"/>
      <c r="S160" s="31"/>
    </row>
    <row r="161" spans="1:19">
      <c r="A161" s="78" t="s">
        <v>853</v>
      </c>
      <c r="B161" s="78" t="s">
        <v>626</v>
      </c>
      <c r="C161" s="78" t="s">
        <v>865</v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 t="s">
        <v>108</v>
      </c>
      <c r="P161" s="31" t="s">
        <v>109</v>
      </c>
      <c r="Q161" s="31"/>
      <c r="R161" s="31"/>
      <c r="S161" s="31"/>
    </row>
    <row r="162" spans="1:19">
      <c r="A162" s="78" t="s">
        <v>853</v>
      </c>
      <c r="B162" s="78" t="s">
        <v>626</v>
      </c>
      <c r="C162" s="78" t="s">
        <v>866</v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 t="s">
        <v>108</v>
      </c>
      <c r="P162" s="31" t="s">
        <v>109</v>
      </c>
      <c r="Q162" s="31"/>
      <c r="R162" s="31"/>
      <c r="S162" s="31"/>
    </row>
  </sheetData>
  <autoFilter ref="A2:AF162" xr:uid="{00000000-0009-0000-0000-00000D000000}"/>
  <mergeCells count="3">
    <mergeCell ref="D1:H1"/>
    <mergeCell ref="J1:N1"/>
    <mergeCell ref="O1:S1"/>
  </mergeCells>
  <dataValidations count="2">
    <dataValidation type="list" allowBlank="1" showErrorMessage="1" sqref="O3:O162" xr:uid="{00000000-0002-0000-0D00-000000000000}">
      <formula1>"Sí,No,Post MVP"</formula1>
    </dataValidation>
    <dataValidation type="list" allowBlank="1" showErrorMessage="1" sqref="P3:P162" xr:uid="{00000000-0002-0000-0D00-000001000000}">
      <formula1>"Cerrado,En proceso,Por definir"</formula1>
    </dataValidation>
  </dataValidations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1:V50"/>
  <sheetViews>
    <sheetView workbookViewId="0"/>
  </sheetViews>
  <sheetFormatPr defaultColWidth="11.25" defaultRowHeight="15.75" customHeight="1"/>
  <cols>
    <col min="1" max="1" width="2.875" customWidth="1"/>
    <col min="3" max="8" width="7.875" customWidth="1"/>
    <col min="9" max="9" width="1.75" customWidth="1"/>
    <col min="10" max="15" width="7.875" customWidth="1"/>
    <col min="16" max="16" width="1.75" customWidth="1"/>
    <col min="17" max="22" width="7.875" customWidth="1"/>
    <col min="23" max="23" width="1.75" customWidth="1"/>
    <col min="24" max="29" width="7.875" customWidth="1"/>
  </cols>
  <sheetData>
    <row r="1" spans="2:22" ht="11.25" customHeight="1">
      <c r="B1" s="265"/>
      <c r="C1" s="265"/>
      <c r="D1" s="265"/>
      <c r="E1" s="265"/>
      <c r="F1" s="265"/>
      <c r="G1" s="265"/>
      <c r="H1" s="265"/>
    </row>
    <row r="2" spans="2:22">
      <c r="B2" s="265"/>
      <c r="D2" s="197" t="s">
        <v>867</v>
      </c>
      <c r="E2" s="198" t="s">
        <v>868</v>
      </c>
      <c r="F2" s="199" t="s">
        <v>102</v>
      </c>
      <c r="G2" s="265"/>
      <c r="H2" s="265"/>
      <c r="K2" s="197" t="s">
        <v>867</v>
      </c>
      <c r="L2" s="198" t="s">
        <v>868</v>
      </c>
      <c r="M2" s="199" t="s">
        <v>102</v>
      </c>
      <c r="R2" s="197" t="s">
        <v>867</v>
      </c>
      <c r="S2" s="198" t="s">
        <v>868</v>
      </c>
      <c r="T2" s="199" t="s">
        <v>102</v>
      </c>
    </row>
    <row r="3" spans="2:22" ht="11.25" customHeight="1">
      <c r="B3" s="265"/>
      <c r="C3" s="265"/>
      <c r="D3" s="265"/>
      <c r="E3" s="265"/>
      <c r="F3" s="265"/>
      <c r="G3" s="265"/>
      <c r="H3" s="265"/>
    </row>
    <row r="4" spans="2:22">
      <c r="B4" s="265"/>
      <c r="C4" s="248" t="s">
        <v>869</v>
      </c>
      <c r="D4" s="253"/>
      <c r="E4" s="253"/>
      <c r="F4" s="253"/>
      <c r="G4" s="253"/>
      <c r="H4" s="254"/>
      <c r="J4" s="248" t="s">
        <v>870</v>
      </c>
      <c r="K4" s="253"/>
      <c r="L4" s="253"/>
      <c r="M4" s="253"/>
      <c r="N4" s="253"/>
      <c r="O4" s="254"/>
      <c r="Q4" s="248" t="s">
        <v>871</v>
      </c>
      <c r="R4" s="253"/>
      <c r="S4" s="253"/>
      <c r="T4" s="253"/>
      <c r="U4" s="253"/>
      <c r="V4" s="254"/>
    </row>
    <row r="5" spans="2:22">
      <c r="B5" s="249" t="s">
        <v>872</v>
      </c>
      <c r="C5" s="200" t="str">
        <f>'BD_Inventario Fx &amp; Capacidades'!A3</f>
        <v>IC-001</v>
      </c>
      <c r="D5" s="200" t="str">
        <f>'BD_Inventario Fx &amp; Capacidades'!A4</f>
        <v>IC-002</v>
      </c>
      <c r="E5" s="200" t="str">
        <f>'BD_Inventario Fx &amp; Capacidades'!A5</f>
        <v>IC-003</v>
      </c>
      <c r="F5" s="200" t="str">
        <f>'BD_Inventario Fx &amp; Capacidades'!A6</f>
        <v>IC-004</v>
      </c>
      <c r="G5" s="200" t="str">
        <f>'BD_Inventario Fx &amp; Capacidades'!A7</f>
        <v>IC-005</v>
      </c>
      <c r="H5" s="200" t="str">
        <f>'BD_Inventario Fx &amp; Capacidades'!A8</f>
        <v>IC-006</v>
      </c>
      <c r="J5" s="200" t="str">
        <f>'BD_Inventario Fx &amp; Capacidades'!A3</f>
        <v>IC-001</v>
      </c>
      <c r="K5" s="200" t="str">
        <f>'BD_Inventario Fx &amp; Capacidades'!A4</f>
        <v>IC-002</v>
      </c>
      <c r="L5" s="200" t="str">
        <f>'BD_Inventario Fx &amp; Capacidades'!A5</f>
        <v>IC-003</v>
      </c>
      <c r="M5" s="200" t="str">
        <f>'BD_Inventario Fx &amp; Capacidades'!A6</f>
        <v>IC-004</v>
      </c>
      <c r="N5" s="200" t="str">
        <f>'BD_Inventario Fx &amp; Capacidades'!A7</f>
        <v>IC-005</v>
      </c>
      <c r="O5" s="200" t="str">
        <f>'BD_Inventario Fx &amp; Capacidades'!A8</f>
        <v>IC-006</v>
      </c>
      <c r="P5" s="11" t="str">
        <f>'BD_Inventario Fx &amp; Capacidades'!O28</f>
        <v>Sí</v>
      </c>
      <c r="Q5" s="200" t="str">
        <f>'BD_Inventario Fx &amp; Capacidades'!A3</f>
        <v>IC-001</v>
      </c>
      <c r="R5" s="200" t="str">
        <f>'BD_Inventario Fx &amp; Capacidades'!A4</f>
        <v>IC-002</v>
      </c>
      <c r="S5" s="200" t="str">
        <f>'BD_Inventario Fx &amp; Capacidades'!A5</f>
        <v>IC-003</v>
      </c>
      <c r="T5" s="200" t="str">
        <f>'BD_Inventario Fx &amp; Capacidades'!A6</f>
        <v>IC-004</v>
      </c>
      <c r="U5" s="200" t="str">
        <f>'BD_Inventario Fx &amp; Capacidades'!A7</f>
        <v>IC-005</v>
      </c>
      <c r="V5" s="200" t="str">
        <f>'BD_Inventario Fx &amp; Capacidades'!A8</f>
        <v>IC-006</v>
      </c>
    </row>
    <row r="6" spans="2:22">
      <c r="B6" s="280"/>
      <c r="C6" s="200" t="str">
        <f>'BD_Inventario Fx &amp; Capacidades'!A9</f>
        <v>IC-007</v>
      </c>
      <c r="D6" s="201" t="str">
        <f>'BD_Inventario Fx &amp; Capacidades'!A10</f>
        <v>IC-008</v>
      </c>
      <c r="E6" s="201" t="str">
        <f>'BD_Inventario Fx &amp; Capacidades'!A11</f>
        <v>IC-009</v>
      </c>
      <c r="F6" s="201" t="str">
        <f>'BD_Inventario Fx &amp; Capacidades'!A12</f>
        <v>IC-010</v>
      </c>
      <c r="G6" s="202" t="str">
        <f>'BD_Inventario Fx &amp; Capacidades'!A13</f>
        <v>IC-011</v>
      </c>
      <c r="H6" s="202" t="str">
        <f>'BD_Inventario Fx &amp; Capacidades'!A14</f>
        <v>IC-012</v>
      </c>
      <c r="J6" s="200" t="str">
        <f>'BD_Inventario Fx &amp; Capacidades'!A9</f>
        <v>IC-007</v>
      </c>
      <c r="K6" s="200" t="str">
        <f>'BD_Inventario Fx &amp; Capacidades'!A10</f>
        <v>IC-008</v>
      </c>
      <c r="L6" s="200" t="str">
        <f>'BD_Inventario Fx &amp; Capacidades'!A11</f>
        <v>IC-009</v>
      </c>
      <c r="M6" s="200" t="str">
        <f>'BD_Inventario Fx &amp; Capacidades'!A12</f>
        <v>IC-010</v>
      </c>
      <c r="N6" s="200" t="str">
        <f>'BD_Inventario Fx &amp; Capacidades'!A13</f>
        <v>IC-011</v>
      </c>
      <c r="O6" s="200" t="str">
        <f>'BD_Inventario Fx &amp; Capacidades'!A14</f>
        <v>IC-012</v>
      </c>
      <c r="P6" s="11" t="str">
        <f>'BD_Inventario Fx &amp; Capacidades'!O29</f>
        <v>Sí</v>
      </c>
      <c r="Q6" s="200" t="str">
        <f>'BD_Inventario Fx &amp; Capacidades'!A9</f>
        <v>IC-007</v>
      </c>
      <c r="R6" s="200" t="str">
        <f>'BD_Inventario Fx &amp; Capacidades'!A10</f>
        <v>IC-008</v>
      </c>
      <c r="S6" s="200" t="str">
        <f>'BD_Inventario Fx &amp; Capacidades'!A11</f>
        <v>IC-009</v>
      </c>
      <c r="T6" s="200" t="str">
        <f>'BD_Inventario Fx &amp; Capacidades'!A12</f>
        <v>IC-010</v>
      </c>
      <c r="U6" s="200" t="str">
        <f>'BD_Inventario Fx &amp; Capacidades'!A13</f>
        <v>IC-011</v>
      </c>
      <c r="V6" s="200" t="str">
        <f>'BD_Inventario Fx &amp; Capacidades'!A14</f>
        <v>IC-012</v>
      </c>
    </row>
    <row r="7" spans="2:22">
      <c r="B7" s="280"/>
      <c r="C7" s="201" t="str">
        <f>'BD_Inventario Fx &amp; Capacidades'!A15</f>
        <v>IC-013</v>
      </c>
      <c r="D7" s="201" t="str">
        <f>'BD_Inventario Fx &amp; Capacidades'!A16</f>
        <v>IC-014</v>
      </c>
      <c r="E7" s="201" t="str">
        <f>'BD_Inventario Fx &amp; Capacidades'!A17</f>
        <v>IC-015</v>
      </c>
      <c r="F7" s="201" t="str">
        <f>'BD_Inventario Fx &amp; Capacidades'!A18</f>
        <v>IC-016</v>
      </c>
      <c r="G7" s="201" t="str">
        <f>'BD_Inventario Fx &amp; Capacidades'!A19</f>
        <v>IC-017</v>
      </c>
      <c r="H7" s="201" t="str">
        <f>'BD_Inventario Fx &amp; Capacidades'!A20</f>
        <v>IC-018</v>
      </c>
      <c r="J7" s="200" t="str">
        <f>'BD_Inventario Fx &amp; Capacidades'!A15</f>
        <v>IC-013</v>
      </c>
      <c r="K7" s="200" t="str">
        <f>'BD_Inventario Fx &amp; Capacidades'!A16</f>
        <v>IC-014</v>
      </c>
      <c r="L7" s="200" t="str">
        <f>'BD_Inventario Fx &amp; Capacidades'!A17</f>
        <v>IC-015</v>
      </c>
      <c r="M7" s="200" t="str">
        <f>'BD_Inventario Fx &amp; Capacidades'!A18</f>
        <v>IC-016</v>
      </c>
      <c r="N7" s="200" t="str">
        <f>'BD_Inventario Fx &amp; Capacidades'!A19</f>
        <v>IC-017</v>
      </c>
      <c r="O7" s="200" t="str">
        <f>'BD_Inventario Fx &amp; Capacidades'!A20</f>
        <v>IC-018</v>
      </c>
      <c r="P7" s="11" t="str">
        <f>'BD_Inventario Fx &amp; Capacidades'!O30</f>
        <v>Sí</v>
      </c>
      <c r="Q7" s="200" t="str">
        <f>'BD_Inventario Fx &amp; Capacidades'!A15</f>
        <v>IC-013</v>
      </c>
      <c r="R7" s="200" t="str">
        <f>'BD_Inventario Fx &amp; Capacidades'!A16</f>
        <v>IC-014</v>
      </c>
      <c r="S7" s="200" t="str">
        <f>'BD_Inventario Fx &amp; Capacidades'!A17</f>
        <v>IC-015</v>
      </c>
      <c r="T7" s="200" t="str">
        <f>'BD_Inventario Fx &amp; Capacidades'!A18</f>
        <v>IC-016</v>
      </c>
      <c r="U7" s="200" t="str">
        <f>'BD_Inventario Fx &amp; Capacidades'!A19</f>
        <v>IC-017</v>
      </c>
      <c r="V7" s="200" t="str">
        <f>'BD_Inventario Fx &amp; Capacidades'!A20</f>
        <v>IC-018</v>
      </c>
    </row>
    <row r="8" spans="2:22">
      <c r="B8" s="280"/>
      <c r="C8" s="201" t="str">
        <f>'BD_Inventario Fx &amp; Capacidades'!A21</f>
        <v>IC-019</v>
      </c>
      <c r="D8" s="201" t="str">
        <f>'BD_Inventario Fx &amp; Capacidades'!A22</f>
        <v>IC-020</v>
      </c>
      <c r="E8" s="201" t="str">
        <f>'BD_Inventario Fx &amp; Capacidades'!A23</f>
        <v>IC-021</v>
      </c>
      <c r="F8" s="201" t="str">
        <f>'BD_Inventario Fx &amp; Capacidades'!A24</f>
        <v>IC-022</v>
      </c>
      <c r="G8" s="201" t="str">
        <f>'BD_Inventario Fx &amp; Capacidades'!A25</f>
        <v>IC-023</v>
      </c>
      <c r="H8" s="201" t="str">
        <f>'BD_Inventario Fx &amp; Capacidades'!A26</f>
        <v>IC-024</v>
      </c>
      <c r="J8" s="200" t="str">
        <f>'BD_Inventario Fx &amp; Capacidades'!A21</f>
        <v>IC-019</v>
      </c>
      <c r="K8" s="200" t="str">
        <f>'BD_Inventario Fx &amp; Capacidades'!A22</f>
        <v>IC-020</v>
      </c>
      <c r="L8" s="200" t="str">
        <f>'BD_Inventario Fx &amp; Capacidades'!A23</f>
        <v>IC-021</v>
      </c>
      <c r="M8" s="203" t="str">
        <f>'BD_Inventario Fx &amp; Capacidades'!A24</f>
        <v>IC-022</v>
      </c>
      <c r="N8" s="204" t="str">
        <f>'BD_Inventario Fx &amp; Capacidades'!A25</f>
        <v>IC-023</v>
      </c>
      <c r="O8" s="204" t="str">
        <f>'BD_Inventario Fx &amp; Capacidades'!A26</f>
        <v>IC-024</v>
      </c>
      <c r="Q8" s="200" t="str">
        <f>'BD_Inventario Fx &amp; Capacidades'!A21</f>
        <v>IC-019</v>
      </c>
      <c r="R8" s="200" t="str">
        <f>'BD_Inventario Fx &amp; Capacidades'!A22</f>
        <v>IC-020</v>
      </c>
      <c r="S8" s="200" t="str">
        <f>'BD_Inventario Fx &amp; Capacidades'!A23</f>
        <v>IC-021</v>
      </c>
      <c r="T8" s="203" t="str">
        <f>'BD_Inventario Fx &amp; Capacidades'!A24</f>
        <v>IC-022</v>
      </c>
      <c r="U8" s="204" t="str">
        <f>'BD_Inventario Fx &amp; Capacidades'!A25</f>
        <v>IC-023</v>
      </c>
      <c r="V8" s="204" t="str">
        <f>'BD_Inventario Fx &amp; Capacidades'!A26</f>
        <v>IC-024</v>
      </c>
    </row>
    <row r="9" spans="2:22">
      <c r="B9" s="281"/>
      <c r="C9" s="201" t="str">
        <f>'BD_Inventario Fx &amp; Capacidades'!A27</f>
        <v>IC-025</v>
      </c>
      <c r="D9" s="201" t="str">
        <f>'BD_Inventario Fx &amp; Capacidades'!A28</f>
        <v>IC-026</v>
      </c>
      <c r="E9" s="201" t="str">
        <f>'BD_Inventario Fx &amp; Capacidades'!A29</f>
        <v>IC-027</v>
      </c>
      <c r="F9" s="201" t="str">
        <f>'BD_Inventario Fx &amp; Capacidades'!A30</f>
        <v>IC-028</v>
      </c>
      <c r="G9" s="31"/>
      <c r="H9" s="31"/>
      <c r="J9" s="204" t="str">
        <f>'BD_Inventario Fx &amp; Capacidades'!A27</f>
        <v>IC-025</v>
      </c>
      <c r="K9" s="204" t="str">
        <f>'BD_Inventario Fx &amp; Capacidades'!A28</f>
        <v>IC-026</v>
      </c>
      <c r="L9" s="204" t="str">
        <f>'BD_Inventario Fx &amp; Capacidades'!A29</f>
        <v>IC-027</v>
      </c>
      <c r="M9" s="204" t="str">
        <f>'BD_Inventario Fx &amp; Capacidades'!A30</f>
        <v>IC-028</v>
      </c>
      <c r="N9" s="31"/>
      <c r="O9" s="31"/>
      <c r="Q9" s="204" t="str">
        <f>'BD_Inventario Fx &amp; Capacidades'!A27</f>
        <v>IC-025</v>
      </c>
      <c r="R9" s="204" t="str">
        <f>'BD_Inventario Fx &amp; Capacidades'!A28</f>
        <v>IC-026</v>
      </c>
      <c r="S9" s="204" t="str">
        <f>'BD_Inventario Fx &amp; Capacidades'!A29</f>
        <v>IC-027</v>
      </c>
      <c r="T9" s="204" t="str">
        <f>'BD_Inventario Fx &amp; Capacidades'!A30</f>
        <v>IC-028</v>
      </c>
      <c r="U9" s="31"/>
      <c r="V9" s="31"/>
    </row>
    <row r="10" spans="2:22" ht="11.25" customHeight="1"/>
    <row r="11" spans="2:22">
      <c r="B11" s="265"/>
      <c r="C11" s="248" t="s">
        <v>869</v>
      </c>
      <c r="D11" s="253"/>
      <c r="E11" s="253"/>
      <c r="F11" s="253"/>
      <c r="G11" s="253"/>
      <c r="H11" s="254"/>
      <c r="J11" s="248" t="s">
        <v>870</v>
      </c>
      <c r="K11" s="253"/>
      <c r="L11" s="253"/>
      <c r="M11" s="253"/>
      <c r="N11" s="253"/>
      <c r="O11" s="254"/>
      <c r="Q11" s="248" t="s">
        <v>870</v>
      </c>
      <c r="R11" s="253"/>
      <c r="S11" s="253"/>
      <c r="T11" s="253"/>
      <c r="U11" s="253"/>
      <c r="V11" s="254"/>
    </row>
    <row r="12" spans="2:22">
      <c r="B12" s="250" t="s">
        <v>873</v>
      </c>
      <c r="C12" s="200" t="str">
        <f>'BD_Inventario Fx &amp; Capacidades'!A31</f>
        <v>MD - 001</v>
      </c>
      <c r="D12" s="200" t="str">
        <f>'BD_Inventario Fx &amp; Capacidades'!A32</f>
        <v>MD - 002</v>
      </c>
      <c r="E12" s="200" t="str">
        <f>'BD_Inventario Fx &amp; Capacidades'!A33</f>
        <v>MD - 003</v>
      </c>
      <c r="F12" s="200" t="str">
        <f>'BD_Inventario Fx &amp; Capacidades'!A34</f>
        <v>MD - 004</v>
      </c>
      <c r="G12" s="200" t="str">
        <f>'BD_Inventario Fx &amp; Capacidades'!A35</f>
        <v>MD - 005</v>
      </c>
      <c r="H12" s="200" t="str">
        <f>'BD_Inventario Fx &amp; Capacidades'!A36</f>
        <v>MD - 006</v>
      </c>
      <c r="J12" s="200" t="str">
        <f>'BD_Inventario Fx &amp; Capacidades'!A31</f>
        <v>MD - 001</v>
      </c>
      <c r="K12" s="200" t="str">
        <f>'BD_Inventario Fx &amp; Capacidades'!A32</f>
        <v>MD - 002</v>
      </c>
      <c r="L12" s="200" t="str">
        <f>'BD_Inventario Fx &amp; Capacidades'!A33</f>
        <v>MD - 003</v>
      </c>
      <c r="M12" s="200" t="str">
        <f>'BD_Inventario Fx &amp; Capacidades'!A34</f>
        <v>MD - 004</v>
      </c>
      <c r="N12" s="200" t="str">
        <f>'BD_Inventario Fx &amp; Capacidades'!A35</f>
        <v>MD - 005</v>
      </c>
      <c r="O12" s="200" t="str">
        <f>'BD_Inventario Fx &amp; Capacidades'!A36</f>
        <v>MD - 006</v>
      </c>
      <c r="Q12" s="200" t="str">
        <f>'BD_Inventario Fx &amp; Capacidades'!A31</f>
        <v>MD - 001</v>
      </c>
      <c r="R12" s="200" t="str">
        <f>'BD_Inventario Fx &amp; Capacidades'!A32</f>
        <v>MD - 002</v>
      </c>
      <c r="S12" s="200" t="str">
        <f>'BD_Inventario Fx &amp; Capacidades'!A33</f>
        <v>MD - 003</v>
      </c>
      <c r="T12" s="200" t="str">
        <f>'BD_Inventario Fx &amp; Capacidades'!A34</f>
        <v>MD - 004</v>
      </c>
      <c r="U12" s="200" t="str">
        <f>'BD_Inventario Fx &amp; Capacidades'!A35</f>
        <v>MD - 005</v>
      </c>
      <c r="V12" s="200" t="str">
        <f>'BD_Inventario Fx &amp; Capacidades'!A36</f>
        <v>MD - 006</v>
      </c>
    </row>
    <row r="13" spans="2:22">
      <c r="B13" s="282"/>
      <c r="C13" s="200" t="str">
        <f>'BD_Inventario Fx &amp; Capacidades'!A37</f>
        <v>MD - 007</v>
      </c>
      <c r="D13" s="200" t="str">
        <f>'BD_Inventario Fx &amp; Capacidades'!A38</f>
        <v>MD - 008</v>
      </c>
      <c r="E13" s="200" t="str">
        <f>'BD_Inventario Fx &amp; Capacidades'!A39</f>
        <v>MD - 009</v>
      </c>
      <c r="F13" s="201" t="str">
        <f>'BD_Inventario Fx &amp; Capacidades'!A40</f>
        <v>MD - 010</v>
      </c>
      <c r="G13" s="201" t="str">
        <f>'BD_Inventario Fx &amp; Capacidades'!A41</f>
        <v>MD - 011</v>
      </c>
      <c r="H13" s="201" t="str">
        <f>'BD_Inventario Fx &amp; Capacidades'!A42</f>
        <v>MD - 012</v>
      </c>
      <c r="J13" s="200" t="str">
        <f>'BD_Inventario Fx &amp; Capacidades'!A37</f>
        <v>MD - 007</v>
      </c>
      <c r="K13" s="200" t="str">
        <f>'BD_Inventario Fx &amp; Capacidades'!A38</f>
        <v>MD - 008</v>
      </c>
      <c r="L13" s="200" t="str">
        <f>'BD_Inventario Fx &amp; Capacidades'!A39</f>
        <v>MD - 009</v>
      </c>
      <c r="M13" s="200" t="str">
        <f>'BD_Inventario Fx &amp; Capacidades'!A40</f>
        <v>MD - 010</v>
      </c>
      <c r="N13" s="200" t="str">
        <f>'BD_Inventario Fx &amp; Capacidades'!A41</f>
        <v>MD - 011</v>
      </c>
      <c r="O13" s="200" t="str">
        <f>'BD_Inventario Fx &amp; Capacidades'!A42</f>
        <v>MD - 012</v>
      </c>
      <c r="Q13" s="200" t="str">
        <f>'BD_Inventario Fx &amp; Capacidades'!A37</f>
        <v>MD - 007</v>
      </c>
      <c r="R13" s="200" t="str">
        <f>'BD_Inventario Fx &amp; Capacidades'!A38</f>
        <v>MD - 008</v>
      </c>
      <c r="S13" s="200" t="str">
        <f>'BD_Inventario Fx &amp; Capacidades'!A39</f>
        <v>MD - 009</v>
      </c>
      <c r="T13" s="200" t="str">
        <f>'BD_Inventario Fx &amp; Capacidades'!A40</f>
        <v>MD - 010</v>
      </c>
      <c r="U13" s="200" t="str">
        <f>'BD_Inventario Fx &amp; Capacidades'!A41</f>
        <v>MD - 011</v>
      </c>
      <c r="V13" s="200" t="str">
        <f>'BD_Inventario Fx &amp; Capacidades'!A42</f>
        <v>MD - 012</v>
      </c>
    </row>
    <row r="14" spans="2:22">
      <c r="B14" s="283"/>
      <c r="C14" s="201" t="str">
        <f>'BD_Inventario Fx &amp; Capacidades'!A43</f>
        <v>MD - 013</v>
      </c>
      <c r="D14" s="201" t="str">
        <f>'BD_Inventario Fx &amp; Capacidades'!A44</f>
        <v>MD - 014</v>
      </c>
      <c r="E14" s="201" t="str">
        <f>'BD_Inventario Fx &amp; Capacidades'!A45</f>
        <v>MD - 015</v>
      </c>
      <c r="F14" s="201" t="str">
        <f>'BD_Inventario Fx &amp; Capacidades'!A46</f>
        <v>MD - 016</v>
      </c>
      <c r="G14" s="201" t="str">
        <f>'BD_Inventario Fx &amp; Capacidades'!A47</f>
        <v>MD - 017</v>
      </c>
      <c r="H14" s="201"/>
      <c r="J14" s="200" t="str">
        <f>'BD_Inventario Fx &amp; Capacidades'!A43</f>
        <v>MD - 013</v>
      </c>
      <c r="K14" s="200" t="str">
        <f>'BD_Inventario Fx &amp; Capacidades'!A44</f>
        <v>MD - 014</v>
      </c>
      <c r="L14" s="200" t="str">
        <f>'BD_Inventario Fx &amp; Capacidades'!A45</f>
        <v>MD - 015</v>
      </c>
      <c r="M14" s="200" t="str">
        <f>'BD_Inventario Fx &amp; Capacidades'!A46</f>
        <v>MD - 016</v>
      </c>
      <c r="N14" s="200" t="str">
        <f>'BD_Inventario Fx &amp; Capacidades'!A47</f>
        <v>MD - 017</v>
      </c>
      <c r="O14" s="201"/>
      <c r="Q14" s="200" t="str">
        <f>'BD_Inventario Fx &amp; Capacidades'!A43</f>
        <v>MD - 013</v>
      </c>
      <c r="R14" s="200" t="str">
        <f>'BD_Inventario Fx &amp; Capacidades'!A44</f>
        <v>MD - 014</v>
      </c>
      <c r="S14" s="200" t="str">
        <f>'BD_Inventario Fx &amp; Capacidades'!A45</f>
        <v>MD - 015</v>
      </c>
      <c r="T14" s="200" t="str">
        <f>'BD_Inventario Fx &amp; Capacidades'!A46</f>
        <v>MD - 016</v>
      </c>
      <c r="U14" s="200" t="str">
        <f>'BD_Inventario Fx &amp; Capacidades'!A47</f>
        <v>MD - 017</v>
      </c>
      <c r="V14" s="201"/>
    </row>
    <row r="15" spans="2:22" ht="11.25" customHeight="1"/>
    <row r="16" spans="2:22">
      <c r="B16" s="265"/>
      <c r="C16" s="248" t="s">
        <v>869</v>
      </c>
      <c r="D16" s="253"/>
      <c r="E16" s="253"/>
      <c r="F16" s="253"/>
      <c r="G16" s="253"/>
      <c r="H16" s="254"/>
      <c r="J16" s="248" t="s">
        <v>870</v>
      </c>
      <c r="K16" s="253"/>
      <c r="L16" s="253"/>
      <c r="M16" s="253"/>
      <c r="N16" s="253"/>
      <c r="O16" s="254"/>
      <c r="Q16" s="248" t="s">
        <v>871</v>
      </c>
      <c r="R16" s="253"/>
      <c r="S16" s="253"/>
      <c r="T16" s="253"/>
      <c r="U16" s="253"/>
      <c r="V16" s="254"/>
    </row>
    <row r="17" spans="2:22">
      <c r="B17" s="250" t="s">
        <v>874</v>
      </c>
      <c r="C17" s="201" t="str">
        <f>'BD_Inventario Fx &amp; Capacidades'!A48</f>
        <v>OB - 001</v>
      </c>
      <c r="D17" s="201" t="str">
        <f>'BD_Inventario Fx &amp; Capacidades'!A49</f>
        <v>OB - 002</v>
      </c>
      <c r="E17" s="201" t="str">
        <f>'BD_Inventario Fx &amp; Capacidades'!A50</f>
        <v>OB - 003</v>
      </c>
      <c r="F17" s="201" t="str">
        <f>'BD_Inventario Fx &amp; Capacidades'!A51</f>
        <v>OB - 004</v>
      </c>
      <c r="G17" s="201" t="str">
        <f>'BD_Inventario Fx &amp; Capacidades'!A52</f>
        <v>OB - 005</v>
      </c>
      <c r="H17" s="201" t="str">
        <f>'BD_Inventario Fx &amp; Capacidades'!A53</f>
        <v>OB - 006</v>
      </c>
      <c r="J17" s="201" t="str">
        <f>'BD_Inventario Fx &amp; Capacidades'!A48</f>
        <v>OB - 001</v>
      </c>
      <c r="K17" s="201" t="str">
        <f>'BD_Inventario Fx &amp; Capacidades'!A49</f>
        <v>OB - 002</v>
      </c>
      <c r="L17" s="201" t="str">
        <f>'BD_Inventario Fx &amp; Capacidades'!A50</f>
        <v>OB - 003</v>
      </c>
      <c r="M17" s="201" t="str">
        <f>'BD_Inventario Fx &amp; Capacidades'!A51</f>
        <v>OB - 004</v>
      </c>
      <c r="N17" s="201" t="str">
        <f>'BD_Inventario Fx &amp; Capacidades'!A52</f>
        <v>OB - 005</v>
      </c>
      <c r="O17" s="201" t="str">
        <f>'BD_Inventario Fx &amp; Capacidades'!A53</f>
        <v>OB - 006</v>
      </c>
      <c r="Q17" s="204" t="str">
        <f>'BD_Inventario Fx &amp; Capacidades'!A48</f>
        <v>OB - 001</v>
      </c>
      <c r="R17" s="204" t="str">
        <f>'BD_Inventario Fx &amp; Capacidades'!A49</f>
        <v>OB - 002</v>
      </c>
      <c r="S17" s="204" t="str">
        <f>'BD_Inventario Fx &amp; Capacidades'!A50</f>
        <v>OB - 003</v>
      </c>
      <c r="T17" s="204" t="str">
        <f>'BD_Inventario Fx &amp; Capacidades'!A51</f>
        <v>OB - 004</v>
      </c>
      <c r="U17" s="204" t="str">
        <f>'BD_Inventario Fx &amp; Capacidades'!A52</f>
        <v>OB - 005</v>
      </c>
      <c r="V17" s="204" t="str">
        <f>'BD_Inventario Fx &amp; Capacidades'!A53</f>
        <v>OB - 006</v>
      </c>
    </row>
    <row r="18" spans="2:22">
      <c r="B18" s="283"/>
      <c r="C18" s="201" t="str">
        <f>'BD_Inventario Fx &amp; Capacidades'!A54</f>
        <v>OB - 007</v>
      </c>
      <c r="D18" s="31"/>
      <c r="E18" s="31"/>
      <c r="F18" s="31"/>
      <c r="G18" s="31"/>
      <c r="H18" s="31"/>
      <c r="J18" s="201" t="str">
        <f>'BD_Inventario Fx &amp; Capacidades'!A54</f>
        <v>OB - 007</v>
      </c>
      <c r="K18" s="31"/>
      <c r="L18" s="31"/>
      <c r="M18" s="31"/>
      <c r="N18" s="31"/>
      <c r="O18" s="31"/>
      <c r="Q18" s="204" t="str">
        <f>'BD_Inventario Fx &amp; Capacidades'!A54</f>
        <v>OB - 007</v>
      </c>
      <c r="R18" s="31"/>
      <c r="S18" s="31"/>
      <c r="T18" s="31"/>
      <c r="U18" s="31"/>
      <c r="V18" s="31"/>
    </row>
    <row r="19" spans="2:22" ht="11.25" customHeight="1"/>
    <row r="20" spans="2:22">
      <c r="B20" s="265"/>
      <c r="C20" s="248" t="s">
        <v>869</v>
      </c>
      <c r="D20" s="253"/>
      <c r="E20" s="253"/>
      <c r="F20" s="253"/>
      <c r="G20" s="253"/>
      <c r="H20" s="254"/>
      <c r="J20" s="248" t="s">
        <v>870</v>
      </c>
      <c r="K20" s="253"/>
      <c r="L20" s="253"/>
      <c r="M20" s="253"/>
      <c r="N20" s="253"/>
      <c r="O20" s="254"/>
      <c r="Q20" s="248" t="s">
        <v>871</v>
      </c>
      <c r="R20" s="253"/>
      <c r="S20" s="253"/>
      <c r="T20" s="253"/>
      <c r="U20" s="253"/>
      <c r="V20" s="254"/>
    </row>
    <row r="21" spans="2:22">
      <c r="B21" s="250" t="s">
        <v>875</v>
      </c>
      <c r="C21" s="201" t="str">
        <f>'BD_Inventario Fx &amp; Capacidades'!A55</f>
        <v>EX - 001</v>
      </c>
      <c r="D21" s="201" t="str">
        <f>'BD_Inventario Fx &amp; Capacidades'!A56</f>
        <v>EX - 002</v>
      </c>
      <c r="E21" s="201" t="str">
        <f>'BD_Inventario Fx &amp; Capacidades'!A57</f>
        <v>EX - 003</v>
      </c>
      <c r="F21" s="201"/>
      <c r="G21" s="31"/>
      <c r="H21" s="31"/>
      <c r="J21" s="201" t="str">
        <f>'BD_Inventario Fx &amp; Capacidades'!A55</f>
        <v>EX - 001</v>
      </c>
      <c r="K21" s="201" t="str">
        <f>'BD_Inventario Fx &amp; Capacidades'!A56</f>
        <v>EX - 002</v>
      </c>
      <c r="L21" s="201" t="str">
        <f>'BD_Inventario Fx &amp; Capacidades'!A57</f>
        <v>EX - 003</v>
      </c>
      <c r="M21" s="201"/>
      <c r="N21" s="31"/>
      <c r="O21" s="31"/>
      <c r="Q21" s="200" t="str">
        <f>'BD_Inventario Fx &amp; Capacidades'!A55</f>
        <v>EX - 001</v>
      </c>
      <c r="R21" s="200" t="str">
        <f>'BD_Inventario Fx &amp; Capacidades'!A56</f>
        <v>EX - 002</v>
      </c>
      <c r="S21" s="200" t="str">
        <f>'BD_Inventario Fx &amp; Capacidades'!A57</f>
        <v>EX - 003</v>
      </c>
      <c r="T21" s="201"/>
      <c r="U21" s="31"/>
      <c r="V21" s="31"/>
    </row>
    <row r="22" spans="2:22">
      <c r="B22" s="283"/>
      <c r="C22" s="201"/>
      <c r="D22" s="201"/>
      <c r="E22" s="201"/>
      <c r="F22" s="31"/>
      <c r="G22" s="31"/>
      <c r="H22" s="31"/>
      <c r="J22" s="201"/>
      <c r="K22" s="201"/>
      <c r="L22" s="201"/>
      <c r="M22" s="31"/>
      <c r="N22" s="31"/>
      <c r="O22" s="31"/>
      <c r="Q22" s="201"/>
      <c r="R22" s="201"/>
      <c r="S22" s="201"/>
      <c r="T22" s="31"/>
      <c r="U22" s="31"/>
      <c r="V22" s="31"/>
    </row>
    <row r="23" spans="2:22" ht="11.25" customHeight="1"/>
    <row r="24" spans="2:22">
      <c r="B24" s="265"/>
      <c r="C24" s="248" t="s">
        <v>869</v>
      </c>
      <c r="D24" s="253"/>
      <c r="E24" s="253"/>
      <c r="F24" s="253"/>
      <c r="G24" s="253"/>
      <c r="H24" s="254"/>
      <c r="J24" s="248" t="s">
        <v>870</v>
      </c>
      <c r="K24" s="253"/>
      <c r="L24" s="253"/>
      <c r="M24" s="253"/>
      <c r="N24" s="253"/>
      <c r="O24" s="254"/>
      <c r="Q24" s="248" t="s">
        <v>871</v>
      </c>
      <c r="R24" s="253"/>
      <c r="S24" s="253"/>
      <c r="T24" s="253"/>
      <c r="U24" s="253"/>
      <c r="V24" s="254"/>
    </row>
    <row r="25" spans="2:22">
      <c r="B25" s="251" t="s">
        <v>876</v>
      </c>
      <c r="C25" s="201" t="str">
        <f>'BD_Inventario Fx &amp; Capacidades'!A59</f>
        <v>WM - 001</v>
      </c>
      <c r="D25" s="201" t="str">
        <f>'BD_Inventario Fx &amp; Capacidades'!A60</f>
        <v>WM - 002</v>
      </c>
      <c r="E25" s="201" t="str">
        <f>'BD_Inventario Fx &amp; Capacidades'!A61</f>
        <v>WM - 003</v>
      </c>
      <c r="F25" s="201" t="str">
        <f>'BD_Inventario Fx &amp; Capacidades'!A62</f>
        <v>WM - 004</v>
      </c>
      <c r="G25" s="31"/>
      <c r="H25" s="31"/>
      <c r="J25" s="201" t="str">
        <f>'BD_Inventario Fx &amp; Capacidades'!A59</f>
        <v>WM - 001</v>
      </c>
      <c r="K25" s="201" t="str">
        <f>'BD_Inventario Fx &amp; Capacidades'!A60</f>
        <v>WM - 002</v>
      </c>
      <c r="L25" s="201" t="str">
        <f>'BD_Inventario Fx &amp; Capacidades'!A61</f>
        <v>WM - 003</v>
      </c>
      <c r="M25" s="201" t="str">
        <f>'BD_Inventario Fx &amp; Capacidades'!A62</f>
        <v>WM - 004</v>
      </c>
      <c r="N25" s="31"/>
      <c r="O25" s="31"/>
      <c r="Q25" s="201" t="str">
        <f>'BD_Inventario Fx &amp; Capacidades'!A59</f>
        <v>WM - 001</v>
      </c>
      <c r="R25" s="201" t="str">
        <f>'BD_Inventario Fx &amp; Capacidades'!A60</f>
        <v>WM - 002</v>
      </c>
      <c r="S25" s="201" t="str">
        <f>'BD_Inventario Fx &amp; Capacidades'!A61</f>
        <v>WM - 003</v>
      </c>
      <c r="T25" s="201" t="str">
        <f>'BD_Inventario Fx &amp; Capacidades'!A62</f>
        <v>WM - 004</v>
      </c>
      <c r="U25" s="31"/>
      <c r="V25" s="31"/>
    </row>
    <row r="26" spans="2:22">
      <c r="B26" s="283"/>
      <c r="C26" s="201"/>
      <c r="D26" s="201"/>
      <c r="E26" s="201"/>
      <c r="F26" s="31"/>
      <c r="G26" s="31"/>
      <c r="H26" s="31"/>
      <c r="J26" s="201"/>
      <c r="K26" s="201"/>
      <c r="L26" s="201"/>
      <c r="M26" s="31"/>
      <c r="N26" s="31"/>
      <c r="O26" s="31"/>
      <c r="Q26" s="201"/>
      <c r="R26" s="201"/>
      <c r="S26" s="201"/>
      <c r="T26" s="31"/>
      <c r="U26" s="31"/>
      <c r="V26" s="31"/>
    </row>
    <row r="27" spans="2:22" ht="11.25" customHeight="1"/>
    <row r="28" spans="2:22">
      <c r="B28" s="265"/>
      <c r="C28" s="248" t="s">
        <v>869</v>
      </c>
      <c r="D28" s="253"/>
      <c r="E28" s="253"/>
      <c r="F28" s="253"/>
      <c r="G28" s="253"/>
      <c r="H28" s="254"/>
      <c r="J28" s="248" t="s">
        <v>870</v>
      </c>
      <c r="K28" s="253"/>
      <c r="L28" s="253"/>
      <c r="M28" s="253"/>
      <c r="N28" s="253"/>
      <c r="O28" s="254"/>
      <c r="Q28" s="248" t="s">
        <v>871</v>
      </c>
      <c r="R28" s="253"/>
      <c r="S28" s="253"/>
      <c r="T28" s="253"/>
      <c r="U28" s="253"/>
      <c r="V28" s="254"/>
    </row>
    <row r="29" spans="2:22">
      <c r="B29" s="284" t="s">
        <v>877</v>
      </c>
      <c r="C29" s="220" t="s">
        <v>265</v>
      </c>
      <c r="D29" s="220" t="s">
        <v>267</v>
      </c>
      <c r="E29" s="220" t="s">
        <v>269</v>
      </c>
      <c r="F29" s="221" t="s">
        <v>358</v>
      </c>
      <c r="G29" s="221" t="s">
        <v>395</v>
      </c>
      <c r="H29" s="221" t="s">
        <v>399</v>
      </c>
      <c r="J29" s="222" t="s">
        <v>265</v>
      </c>
      <c r="K29" s="222" t="s">
        <v>267</v>
      </c>
      <c r="L29" s="222" t="s">
        <v>269</v>
      </c>
      <c r="M29" s="221" t="s">
        <v>358</v>
      </c>
      <c r="N29" s="221" t="s">
        <v>395</v>
      </c>
      <c r="O29" s="221" t="s">
        <v>399</v>
      </c>
      <c r="Q29" s="222" t="s">
        <v>265</v>
      </c>
      <c r="R29" s="222" t="s">
        <v>267</v>
      </c>
      <c r="S29" s="222" t="s">
        <v>269</v>
      </c>
      <c r="T29" s="225" t="s">
        <v>358</v>
      </c>
      <c r="U29" s="225" t="s">
        <v>395</v>
      </c>
      <c r="V29" s="225" t="s">
        <v>399</v>
      </c>
    </row>
    <row r="30" spans="2:22">
      <c r="B30" s="282"/>
      <c r="C30" s="221" t="s">
        <v>401</v>
      </c>
      <c r="D30" s="221" t="s">
        <v>403</v>
      </c>
      <c r="E30" s="221" t="s">
        <v>405</v>
      </c>
      <c r="F30" s="221" t="s">
        <v>407</v>
      </c>
      <c r="G30" s="221" t="s">
        <v>409</v>
      </c>
      <c r="H30" s="221" t="s">
        <v>411</v>
      </c>
      <c r="J30" s="221" t="s">
        <v>401</v>
      </c>
      <c r="K30" s="221" t="s">
        <v>403</v>
      </c>
      <c r="L30" s="221" t="s">
        <v>405</v>
      </c>
      <c r="M30" s="221" t="s">
        <v>407</v>
      </c>
      <c r="N30" s="221" t="s">
        <v>409</v>
      </c>
      <c r="O30" s="221" t="s">
        <v>411</v>
      </c>
      <c r="Q30" s="225" t="s">
        <v>401</v>
      </c>
      <c r="R30" s="225" t="s">
        <v>403</v>
      </c>
      <c r="S30" s="225" t="s">
        <v>405</v>
      </c>
      <c r="T30" s="225" t="s">
        <v>407</v>
      </c>
      <c r="U30" s="225" t="s">
        <v>409</v>
      </c>
      <c r="V30" s="225" t="s">
        <v>411</v>
      </c>
    </row>
    <row r="31" spans="2:22">
      <c r="B31" s="282"/>
      <c r="C31" s="221" t="s">
        <v>360</v>
      </c>
      <c r="D31" s="221" t="s">
        <v>383</v>
      </c>
      <c r="E31" s="221" t="s">
        <v>385</v>
      </c>
      <c r="F31" s="221" t="s">
        <v>387</v>
      </c>
      <c r="G31" s="221" t="s">
        <v>370</v>
      </c>
      <c r="H31" s="221" t="s">
        <v>389</v>
      </c>
      <c r="J31" s="221" t="s">
        <v>360</v>
      </c>
      <c r="K31" s="221" t="s">
        <v>383</v>
      </c>
      <c r="L31" s="221" t="s">
        <v>385</v>
      </c>
      <c r="M31" s="221" t="s">
        <v>387</v>
      </c>
      <c r="N31" s="221" t="s">
        <v>370</v>
      </c>
      <c r="O31" s="221" t="s">
        <v>389</v>
      </c>
      <c r="Q31" s="225" t="s">
        <v>360</v>
      </c>
      <c r="R31" s="225" t="s">
        <v>383</v>
      </c>
      <c r="S31" s="225" t="s">
        <v>385</v>
      </c>
      <c r="T31" s="225" t="s">
        <v>387</v>
      </c>
      <c r="U31" s="225" t="s">
        <v>370</v>
      </c>
      <c r="V31" s="225" t="s">
        <v>389</v>
      </c>
    </row>
    <row r="32" spans="2:22">
      <c r="B32" s="282"/>
      <c r="C32" s="221" t="s">
        <v>393</v>
      </c>
      <c r="D32" s="221" t="s">
        <v>397</v>
      </c>
      <c r="E32" s="221" t="s">
        <v>456</v>
      </c>
      <c r="F32" s="221" t="s">
        <v>464</v>
      </c>
      <c r="G32" s="221" t="s">
        <v>554</v>
      </c>
      <c r="H32" s="221" t="s">
        <v>556</v>
      </c>
      <c r="J32" s="221" t="s">
        <v>393</v>
      </c>
      <c r="K32" s="221" t="s">
        <v>397</v>
      </c>
      <c r="L32" s="221" t="s">
        <v>456</v>
      </c>
      <c r="M32" s="221" t="s">
        <v>464</v>
      </c>
      <c r="N32" s="221" t="s">
        <v>554</v>
      </c>
      <c r="O32" s="221" t="s">
        <v>556</v>
      </c>
      <c r="Q32" s="221" t="s">
        <v>393</v>
      </c>
      <c r="R32" s="221" t="s">
        <v>397</v>
      </c>
      <c r="S32" s="221" t="s">
        <v>456</v>
      </c>
      <c r="T32" s="221" t="s">
        <v>464</v>
      </c>
      <c r="U32" s="221" t="s">
        <v>554</v>
      </c>
      <c r="V32" s="221" t="s">
        <v>556</v>
      </c>
    </row>
    <row r="33" spans="2:22">
      <c r="B33" s="282"/>
      <c r="C33" s="221" t="s">
        <v>363</v>
      </c>
      <c r="D33" s="221" t="s">
        <v>428</v>
      </c>
      <c r="E33" s="221" t="s">
        <v>413</v>
      </c>
      <c r="F33" s="221" t="s">
        <v>415</v>
      </c>
      <c r="G33" s="221" t="s">
        <v>417</v>
      </c>
      <c r="H33" s="221" t="s">
        <v>419</v>
      </c>
      <c r="J33" s="221" t="s">
        <v>363</v>
      </c>
      <c r="K33" s="221" t="s">
        <v>428</v>
      </c>
      <c r="L33" s="221" t="s">
        <v>413</v>
      </c>
      <c r="M33" s="221" t="s">
        <v>415</v>
      </c>
      <c r="N33" s="221" t="s">
        <v>417</v>
      </c>
      <c r="O33" s="221" t="s">
        <v>419</v>
      </c>
      <c r="Q33" s="221" t="s">
        <v>363</v>
      </c>
      <c r="R33" s="221" t="s">
        <v>428</v>
      </c>
      <c r="S33" s="221" t="s">
        <v>413</v>
      </c>
      <c r="T33" s="221" t="s">
        <v>415</v>
      </c>
      <c r="U33" s="221" t="s">
        <v>417</v>
      </c>
      <c r="V33" s="221" t="s">
        <v>419</v>
      </c>
    </row>
    <row r="34" spans="2:22">
      <c r="B34" s="283"/>
      <c r="C34" s="221" t="s">
        <v>466</v>
      </c>
      <c r="D34" s="221" t="s">
        <v>352</v>
      </c>
      <c r="E34" s="221" t="s">
        <v>354</v>
      </c>
      <c r="F34" s="221" t="s">
        <v>356</v>
      </c>
      <c r="J34" s="221" t="s">
        <v>466</v>
      </c>
      <c r="K34" s="221" t="s">
        <v>352</v>
      </c>
      <c r="L34" s="221" t="s">
        <v>354</v>
      </c>
      <c r="M34" s="221" t="s">
        <v>356</v>
      </c>
      <c r="Q34" s="221" t="s">
        <v>466</v>
      </c>
      <c r="R34" s="221" t="s">
        <v>352</v>
      </c>
      <c r="S34" s="221" t="s">
        <v>354</v>
      </c>
      <c r="T34" s="221" t="s">
        <v>356</v>
      </c>
    </row>
    <row r="35" spans="2:22" ht="11.25" customHeight="1"/>
    <row r="36" spans="2:22">
      <c r="B36" s="265"/>
      <c r="C36" s="248" t="s">
        <v>869</v>
      </c>
      <c r="D36" s="253"/>
      <c r="E36" s="253"/>
      <c r="F36" s="253"/>
      <c r="G36" s="253"/>
      <c r="H36" s="254"/>
      <c r="J36" s="248" t="s">
        <v>870</v>
      </c>
      <c r="K36" s="253"/>
      <c r="L36" s="253"/>
      <c r="M36" s="253"/>
      <c r="N36" s="253"/>
      <c r="O36" s="254"/>
      <c r="Q36" s="248" t="s">
        <v>871</v>
      </c>
      <c r="R36" s="253"/>
      <c r="S36" s="253"/>
      <c r="T36" s="253"/>
      <c r="U36" s="253"/>
      <c r="V36" s="254"/>
    </row>
    <row r="37" spans="2:22">
      <c r="B37" s="284" t="s">
        <v>878</v>
      </c>
      <c r="C37" s="201" t="str">
        <f>'BD_Inventario Fx &amp; Capacidades'!A64</f>
        <v>LA - 001</v>
      </c>
      <c r="D37" s="201" t="str">
        <f>'BD_Inventario Fx &amp; Capacidades'!A65</f>
        <v>LA - 002</v>
      </c>
      <c r="E37" s="201"/>
      <c r="F37" s="201"/>
      <c r="G37" s="31"/>
      <c r="H37" s="31"/>
      <c r="J37" s="201" t="str">
        <f>'BD_Inventario Fx &amp; Capacidades'!A64</f>
        <v>LA - 001</v>
      </c>
      <c r="K37" s="201" t="str">
        <f>'BD_Inventario Fx &amp; Capacidades'!A65</f>
        <v>LA - 002</v>
      </c>
      <c r="L37" s="201"/>
      <c r="M37" s="201"/>
      <c r="N37" s="31"/>
      <c r="O37" s="31"/>
      <c r="Q37" s="201" t="str">
        <f>'BD_Inventario Fx &amp; Capacidades'!A64</f>
        <v>LA - 001</v>
      </c>
      <c r="R37" s="201" t="str">
        <f>'BD_Inventario Fx &amp; Capacidades'!A65</f>
        <v>LA - 002</v>
      </c>
      <c r="S37" s="201"/>
      <c r="T37" s="201"/>
      <c r="U37" s="31"/>
      <c r="V37" s="31"/>
    </row>
    <row r="38" spans="2:22">
      <c r="B38" s="283"/>
      <c r="C38" s="201"/>
      <c r="D38" s="201"/>
      <c r="E38" s="201"/>
      <c r="F38" s="31"/>
      <c r="G38" s="31"/>
      <c r="H38" s="31"/>
      <c r="J38" s="201"/>
      <c r="K38" s="201"/>
      <c r="L38" s="201"/>
      <c r="M38" s="31"/>
      <c r="N38" s="31"/>
      <c r="O38" s="31"/>
      <c r="Q38" s="201"/>
      <c r="R38" s="201"/>
      <c r="S38" s="201"/>
      <c r="T38" s="31"/>
      <c r="U38" s="31"/>
      <c r="V38" s="31"/>
    </row>
    <row r="39" spans="2:22" ht="11.25" customHeight="1"/>
    <row r="40" spans="2:22">
      <c r="B40" s="265"/>
      <c r="C40" s="248" t="s">
        <v>869</v>
      </c>
      <c r="D40" s="253"/>
      <c r="E40" s="253"/>
      <c r="F40" s="253"/>
      <c r="G40" s="253"/>
      <c r="H40" s="254"/>
      <c r="J40" s="248" t="s">
        <v>870</v>
      </c>
      <c r="K40" s="253"/>
      <c r="L40" s="253"/>
      <c r="M40" s="253"/>
      <c r="N40" s="253"/>
      <c r="O40" s="254"/>
      <c r="Q40" s="248" t="s">
        <v>871</v>
      </c>
      <c r="R40" s="253"/>
      <c r="S40" s="253"/>
      <c r="T40" s="253"/>
      <c r="U40" s="253"/>
      <c r="V40" s="254"/>
    </row>
    <row r="41" spans="2:22">
      <c r="B41" s="284" t="s">
        <v>879</v>
      </c>
      <c r="C41" s="201" t="str">
        <f>'BD_Inventario Fx &amp; Capacidades'!A66</f>
        <v>EXP - 001</v>
      </c>
      <c r="D41" s="201"/>
      <c r="E41" s="201"/>
      <c r="F41" s="201"/>
      <c r="G41" s="31"/>
      <c r="H41" s="31"/>
      <c r="J41" s="201" t="str">
        <f>'BD_Inventario Fx &amp; Capacidades'!A66</f>
        <v>EXP - 001</v>
      </c>
      <c r="K41" s="201"/>
      <c r="L41" s="201"/>
      <c r="M41" s="201"/>
      <c r="N41" s="31"/>
      <c r="O41" s="31"/>
      <c r="Q41" s="201" t="str">
        <f>'BD_Inventario Fx &amp; Capacidades'!A66</f>
        <v>EXP - 001</v>
      </c>
      <c r="R41" s="201"/>
      <c r="S41" s="201"/>
      <c r="T41" s="201"/>
      <c r="U41" s="31"/>
      <c r="V41" s="31"/>
    </row>
    <row r="42" spans="2:22">
      <c r="B42" s="283"/>
      <c r="C42" s="201"/>
      <c r="D42" s="201"/>
      <c r="E42" s="201"/>
      <c r="F42" s="31"/>
      <c r="G42" s="31"/>
      <c r="H42" s="31"/>
      <c r="J42" s="201"/>
      <c r="K42" s="201"/>
      <c r="L42" s="201"/>
      <c r="M42" s="31"/>
      <c r="N42" s="31"/>
      <c r="O42" s="31"/>
      <c r="Q42" s="201"/>
      <c r="R42" s="201"/>
      <c r="S42" s="201"/>
      <c r="T42" s="31"/>
      <c r="U42" s="31"/>
      <c r="V42" s="31"/>
    </row>
    <row r="43" spans="2:22" ht="11.25" customHeight="1"/>
    <row r="44" spans="2:22">
      <c r="B44" s="265"/>
      <c r="C44" s="248" t="s">
        <v>869</v>
      </c>
      <c r="D44" s="253"/>
      <c r="E44" s="253"/>
      <c r="F44" s="253"/>
      <c r="G44" s="253"/>
      <c r="H44" s="254"/>
      <c r="J44" s="248" t="s">
        <v>870</v>
      </c>
      <c r="K44" s="253"/>
      <c r="L44" s="253"/>
      <c r="M44" s="253"/>
      <c r="N44" s="253"/>
      <c r="O44" s="254"/>
      <c r="Q44" s="248" t="s">
        <v>871</v>
      </c>
      <c r="R44" s="253"/>
      <c r="S44" s="253"/>
      <c r="T44" s="253"/>
      <c r="U44" s="253"/>
      <c r="V44" s="254"/>
    </row>
    <row r="45" spans="2:22">
      <c r="B45" s="284" t="s">
        <v>880</v>
      </c>
      <c r="C45" s="201" t="str">
        <f>'BD_Inventario Fx &amp; Capacidades'!A70</f>
        <v>AG - 001</v>
      </c>
      <c r="D45" s="201" t="str">
        <f>'BD_Inventario Fx &amp; Capacidades'!A71</f>
        <v>AG- 002</v>
      </c>
      <c r="E45" s="201" t="str">
        <f>'BD_Inventario Fx &amp; Capacidades'!A72</f>
        <v>AG - 003</v>
      </c>
      <c r="F45" s="201"/>
      <c r="G45" s="31"/>
      <c r="H45" s="31"/>
      <c r="J45" s="201" t="str">
        <f>'BD_Inventario Fx &amp; Capacidades'!A70</f>
        <v>AG - 001</v>
      </c>
      <c r="K45" s="201" t="str">
        <f>'BD_Inventario Fx &amp; Capacidades'!A71</f>
        <v>AG- 002</v>
      </c>
      <c r="L45" s="201" t="str">
        <f>'BD_Inventario Fx &amp; Capacidades'!A72</f>
        <v>AG - 003</v>
      </c>
      <c r="M45" s="201"/>
      <c r="N45" s="31"/>
      <c r="O45" s="31"/>
      <c r="Q45" s="201" t="str">
        <f>'BD_Inventario Fx &amp; Capacidades'!A70</f>
        <v>AG - 001</v>
      </c>
      <c r="R45" s="201" t="str">
        <f>'BD_Inventario Fx &amp; Capacidades'!A71</f>
        <v>AG- 002</v>
      </c>
      <c r="S45" s="201" t="str">
        <f>'BD_Inventario Fx &amp; Capacidades'!A72</f>
        <v>AG - 003</v>
      </c>
      <c r="T45" s="201"/>
      <c r="U45" s="31"/>
      <c r="V45" s="31"/>
    </row>
    <row r="46" spans="2:22">
      <c r="B46" s="283"/>
      <c r="C46" s="201"/>
      <c r="D46" s="201"/>
      <c r="E46" s="201"/>
      <c r="F46" s="31"/>
      <c r="G46" s="31"/>
      <c r="H46" s="31"/>
      <c r="J46" s="201"/>
      <c r="K46" s="201"/>
      <c r="L46" s="201"/>
      <c r="M46" s="31"/>
      <c r="N46" s="31"/>
      <c r="O46" s="31"/>
      <c r="Q46" s="201"/>
      <c r="R46" s="201"/>
      <c r="S46" s="201"/>
      <c r="T46" s="31"/>
      <c r="U46" s="31"/>
      <c r="V46" s="31"/>
    </row>
    <row r="47" spans="2:22" ht="11.25" customHeight="1"/>
    <row r="48" spans="2:22">
      <c r="B48" s="265"/>
      <c r="C48" s="248" t="s">
        <v>869</v>
      </c>
      <c r="D48" s="253"/>
      <c r="E48" s="253"/>
      <c r="F48" s="253"/>
      <c r="G48" s="253"/>
      <c r="H48" s="254"/>
      <c r="J48" s="248" t="s">
        <v>870</v>
      </c>
      <c r="K48" s="253"/>
      <c r="L48" s="253"/>
      <c r="M48" s="253"/>
      <c r="N48" s="253"/>
      <c r="O48" s="254"/>
      <c r="Q48" s="248" t="s">
        <v>871</v>
      </c>
      <c r="R48" s="253"/>
      <c r="S48" s="253"/>
      <c r="T48" s="253"/>
      <c r="U48" s="253"/>
      <c r="V48" s="254"/>
    </row>
    <row r="49" spans="2:22">
      <c r="B49" s="284" t="s">
        <v>881</v>
      </c>
      <c r="C49" s="201" t="str">
        <f>'BD_Inventario Fx &amp; Capacidades'!A73</f>
        <v>MS - 001</v>
      </c>
      <c r="D49" s="201" t="str">
        <f>'BD_Inventario Fx &amp; Capacidades'!A74</f>
        <v>MS - 002</v>
      </c>
      <c r="E49" s="201" t="str">
        <f>'BD_Inventario Fx &amp; Capacidades'!A75</f>
        <v>MS - 003</v>
      </c>
      <c r="F49" s="201"/>
      <c r="G49" s="31"/>
      <c r="H49" s="31"/>
      <c r="J49" s="201" t="str">
        <f>'BD_Inventario Fx &amp; Capacidades'!A73</f>
        <v>MS - 001</v>
      </c>
      <c r="K49" s="201" t="str">
        <f>'BD_Inventario Fx &amp; Capacidades'!A74</f>
        <v>MS - 002</v>
      </c>
      <c r="L49" s="201" t="str">
        <f>'BD_Inventario Fx &amp; Capacidades'!A75</f>
        <v>MS - 003</v>
      </c>
      <c r="M49" s="201"/>
      <c r="N49" s="31"/>
      <c r="O49" s="31"/>
      <c r="Q49" s="201" t="str">
        <f>'BD_Inventario Fx &amp; Capacidades'!A73</f>
        <v>MS - 001</v>
      </c>
      <c r="R49" s="201" t="str">
        <f>'BD_Inventario Fx &amp; Capacidades'!A74</f>
        <v>MS - 002</v>
      </c>
      <c r="S49" s="201" t="str">
        <f>'BD_Inventario Fx &amp; Capacidades'!A75</f>
        <v>MS - 003</v>
      </c>
      <c r="T49" s="201"/>
      <c r="U49" s="31"/>
      <c r="V49" s="31"/>
    </row>
    <row r="50" spans="2:22">
      <c r="B50" s="283"/>
      <c r="C50" s="201"/>
      <c r="D50" s="201"/>
      <c r="E50" s="201"/>
      <c r="F50" s="31"/>
      <c r="G50" s="31"/>
      <c r="H50" s="31"/>
      <c r="J50" s="201"/>
      <c r="K50" s="201"/>
      <c r="L50" s="201"/>
      <c r="M50" s="31"/>
      <c r="N50" s="31"/>
      <c r="O50" s="31"/>
      <c r="Q50" s="201"/>
      <c r="R50" s="201"/>
      <c r="S50" s="201"/>
      <c r="T50" s="31"/>
      <c r="U50" s="31"/>
      <c r="V50" s="31"/>
    </row>
  </sheetData>
  <mergeCells count="40">
    <mergeCell ref="Q44:V44"/>
    <mergeCell ref="C16:H16"/>
    <mergeCell ref="B17:B18"/>
    <mergeCell ref="C20:H20"/>
    <mergeCell ref="B21:B22"/>
    <mergeCell ref="C24:H24"/>
    <mergeCell ref="J16:O16"/>
    <mergeCell ref="Q16:V16"/>
    <mergeCell ref="J20:O20"/>
    <mergeCell ref="Q20:V20"/>
    <mergeCell ref="J24:O24"/>
    <mergeCell ref="Q24:V24"/>
    <mergeCell ref="B45:B46"/>
    <mergeCell ref="B49:B50"/>
    <mergeCell ref="J28:O28"/>
    <mergeCell ref="J36:O36"/>
    <mergeCell ref="Q36:V36"/>
    <mergeCell ref="Q28:V28"/>
    <mergeCell ref="C28:H28"/>
    <mergeCell ref="C48:H48"/>
    <mergeCell ref="J48:O48"/>
    <mergeCell ref="Q48:V48"/>
    <mergeCell ref="C36:H36"/>
    <mergeCell ref="C40:H40"/>
    <mergeCell ref="J40:O40"/>
    <mergeCell ref="Q40:V40"/>
    <mergeCell ref="C44:H44"/>
    <mergeCell ref="J44:O44"/>
    <mergeCell ref="B12:B14"/>
    <mergeCell ref="B25:B26"/>
    <mergeCell ref="B29:B34"/>
    <mergeCell ref="B37:B38"/>
    <mergeCell ref="B41:B42"/>
    <mergeCell ref="C4:H4"/>
    <mergeCell ref="J4:O4"/>
    <mergeCell ref="Q4:V4"/>
    <mergeCell ref="B5:B9"/>
    <mergeCell ref="J11:O11"/>
    <mergeCell ref="Q11:V11"/>
    <mergeCell ref="C11:H11"/>
  </mergeCells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113"/>
  <sheetViews>
    <sheetView showGridLines="0" tabSelected="1" workbookViewId="0">
      <pane xSplit="1" ySplit="2" topLeftCell="B3" activePane="bottomRight" state="frozen"/>
      <selection pane="bottomRight" activeCell="B3" sqref="B3"/>
      <selection pane="bottomLeft" activeCell="A3" sqref="A3"/>
      <selection pane="topRight" activeCell="B1" sqref="B1"/>
    </sheetView>
  </sheetViews>
  <sheetFormatPr defaultColWidth="11.25" defaultRowHeight="15.75" customHeight="1"/>
  <cols>
    <col min="1" max="1" width="14" customWidth="1"/>
    <col min="2" max="2" width="4.75" customWidth="1"/>
    <col min="3" max="3" width="5" customWidth="1"/>
    <col min="4" max="4" width="5.25" customWidth="1"/>
    <col min="5" max="5" width="4.5" customWidth="1"/>
    <col min="6" max="6" width="5" customWidth="1"/>
    <col min="7" max="8" width="4.625" customWidth="1"/>
    <col min="9" max="9" width="4.75" customWidth="1"/>
    <col min="10" max="10" width="5" customWidth="1"/>
  </cols>
  <sheetData>
    <row r="1" spans="1:10">
      <c r="A1" s="219" t="s">
        <v>882</v>
      </c>
      <c r="B1" s="252" t="s">
        <v>883</v>
      </c>
      <c r="C1" s="253"/>
      <c r="D1" s="253"/>
      <c r="E1" s="253"/>
      <c r="F1" s="253"/>
      <c r="G1" s="253"/>
      <c r="H1" s="253"/>
      <c r="I1" s="253"/>
      <c r="J1" s="254"/>
    </row>
    <row r="2" spans="1:10">
      <c r="A2" s="223" t="s">
        <v>66</v>
      </c>
      <c r="B2" s="224" t="s">
        <v>884</v>
      </c>
      <c r="C2" s="224" t="s">
        <v>885</v>
      </c>
      <c r="D2" s="224" t="s">
        <v>886</v>
      </c>
      <c r="E2" s="224" t="s">
        <v>887</v>
      </c>
      <c r="F2" s="224" t="s">
        <v>888</v>
      </c>
      <c r="G2" s="224" t="s">
        <v>889</v>
      </c>
      <c r="H2" s="224" t="s">
        <v>890</v>
      </c>
      <c r="I2" s="224" t="s">
        <v>891</v>
      </c>
      <c r="J2" s="224" t="s">
        <v>892</v>
      </c>
    </row>
    <row r="3" spans="1:10">
      <c r="A3" s="226" t="s">
        <v>893</v>
      </c>
      <c r="B3" s="227">
        <v>27</v>
      </c>
      <c r="C3" s="58"/>
      <c r="D3" s="58"/>
      <c r="E3" s="228"/>
      <c r="F3" s="229"/>
      <c r="G3" s="229"/>
      <c r="H3" s="229"/>
      <c r="I3" s="229"/>
      <c r="J3" s="230"/>
    </row>
    <row r="4" spans="1:10">
      <c r="A4" s="226" t="s">
        <v>894</v>
      </c>
      <c r="B4" s="58"/>
      <c r="C4" s="227">
        <v>12</v>
      </c>
      <c r="D4" s="58"/>
      <c r="E4" s="58"/>
      <c r="F4" s="58"/>
      <c r="G4" s="58"/>
      <c r="H4" s="58"/>
      <c r="I4" s="58"/>
      <c r="J4" s="230"/>
    </row>
    <row r="5" spans="1:10">
      <c r="A5" s="226" t="s">
        <v>895</v>
      </c>
      <c r="B5" s="58"/>
      <c r="C5" s="58"/>
      <c r="D5" s="227">
        <v>7</v>
      </c>
      <c r="E5" s="58"/>
      <c r="F5" s="58"/>
      <c r="G5" s="58"/>
      <c r="H5" s="58"/>
      <c r="I5" s="58"/>
      <c r="J5" s="230"/>
    </row>
    <row r="6" spans="1:10">
      <c r="A6" s="226" t="s">
        <v>896</v>
      </c>
      <c r="B6" s="58"/>
      <c r="C6" s="58"/>
      <c r="D6" s="58"/>
      <c r="E6" s="227">
        <v>4</v>
      </c>
      <c r="F6" s="58"/>
      <c r="G6" s="58"/>
      <c r="H6" s="58"/>
      <c r="I6" s="58"/>
      <c r="J6" s="230"/>
    </row>
    <row r="7" spans="1:10">
      <c r="A7" s="226" t="s">
        <v>897</v>
      </c>
      <c r="B7" s="58"/>
      <c r="C7" s="58"/>
      <c r="D7" s="58"/>
      <c r="E7" s="58"/>
      <c r="F7" s="227">
        <v>5</v>
      </c>
      <c r="G7" s="58"/>
      <c r="H7" s="58"/>
      <c r="I7" s="58"/>
      <c r="J7" s="230"/>
    </row>
    <row r="8" spans="1:10">
      <c r="A8" s="226" t="s">
        <v>247</v>
      </c>
      <c r="B8" s="58"/>
      <c r="C8" s="58"/>
      <c r="D8" s="58"/>
      <c r="E8" s="58"/>
      <c r="F8" s="58"/>
      <c r="G8" s="227">
        <v>1</v>
      </c>
      <c r="H8" s="58"/>
      <c r="I8" s="58"/>
      <c r="J8" s="230"/>
    </row>
    <row r="9" spans="1:10">
      <c r="A9" s="226" t="s">
        <v>898</v>
      </c>
      <c r="B9" s="58"/>
      <c r="C9" s="58"/>
      <c r="D9" s="58"/>
      <c r="E9" s="58"/>
      <c r="F9" s="58"/>
      <c r="G9" s="58"/>
      <c r="H9" s="227">
        <v>5</v>
      </c>
      <c r="I9" s="58"/>
      <c r="J9" s="230"/>
    </row>
    <row r="10" spans="1:10">
      <c r="A10" s="226" t="s">
        <v>899</v>
      </c>
      <c r="B10" s="58"/>
      <c r="C10" s="58"/>
      <c r="D10" s="58"/>
      <c r="E10" s="58"/>
      <c r="F10" s="58"/>
      <c r="G10" s="58"/>
      <c r="H10" s="58"/>
      <c r="I10" s="227">
        <v>6</v>
      </c>
      <c r="J10" s="230"/>
    </row>
    <row r="11" spans="1:10">
      <c r="A11" s="226" t="s">
        <v>900</v>
      </c>
      <c r="B11" s="231"/>
      <c r="C11" s="231"/>
      <c r="D11" s="231"/>
      <c r="E11" s="231"/>
      <c r="F11" s="231"/>
      <c r="G11" s="231"/>
      <c r="H11" s="231"/>
      <c r="I11" s="231"/>
      <c r="J11" s="232">
        <v>4</v>
      </c>
    </row>
    <row r="12" spans="1:10">
      <c r="A12" s="233"/>
      <c r="B12" s="58"/>
      <c r="C12" s="58"/>
      <c r="D12" s="58"/>
      <c r="E12" s="58"/>
      <c r="F12" s="58"/>
      <c r="G12" s="58"/>
      <c r="H12" s="58"/>
      <c r="I12" s="58"/>
      <c r="J12" s="58"/>
    </row>
    <row r="13" spans="1:10">
      <c r="A13" s="233"/>
      <c r="B13" s="58"/>
      <c r="C13" s="58"/>
      <c r="D13" s="58"/>
      <c r="E13" s="58"/>
      <c r="F13" s="58"/>
      <c r="G13" s="58"/>
      <c r="H13" s="58"/>
      <c r="I13" s="58"/>
      <c r="J13" s="58"/>
    </row>
    <row r="14" spans="1:10">
      <c r="A14" s="233"/>
      <c r="B14" s="58"/>
      <c r="C14" s="58"/>
      <c r="D14" s="58"/>
      <c r="E14" s="58"/>
      <c r="F14" s="58"/>
      <c r="G14" s="58"/>
      <c r="H14" s="58"/>
      <c r="I14" s="58"/>
      <c r="J14" s="58"/>
    </row>
    <row r="15" spans="1:10">
      <c r="A15" s="233"/>
      <c r="B15" s="58"/>
      <c r="C15" s="58"/>
      <c r="D15" s="58"/>
      <c r="E15" s="58"/>
      <c r="F15" s="58"/>
      <c r="G15" s="58"/>
      <c r="H15" s="58"/>
      <c r="I15" s="58"/>
      <c r="J15" s="58"/>
    </row>
    <row r="16" spans="1:10">
      <c r="A16" s="233"/>
      <c r="B16" s="58"/>
      <c r="C16" s="58"/>
      <c r="D16" s="58"/>
      <c r="E16" s="58"/>
      <c r="F16" s="58"/>
      <c r="G16" s="58"/>
      <c r="H16" s="58"/>
      <c r="I16" s="58"/>
      <c r="J16" s="58"/>
    </row>
    <row r="17" spans="1:10">
      <c r="A17" s="233"/>
      <c r="B17" s="58"/>
      <c r="C17" s="58"/>
      <c r="D17" s="58"/>
      <c r="E17" s="58"/>
      <c r="F17" s="58"/>
      <c r="G17" s="58"/>
      <c r="H17" s="58"/>
      <c r="I17" s="58"/>
      <c r="J17" s="58"/>
    </row>
    <row r="18" spans="1:10">
      <c r="A18" s="233"/>
      <c r="B18" s="58"/>
      <c r="C18" s="58"/>
      <c r="D18" s="58"/>
      <c r="E18" s="58"/>
      <c r="F18" s="58"/>
      <c r="G18" s="58"/>
      <c r="H18" s="58"/>
      <c r="I18" s="58"/>
      <c r="J18" s="58"/>
    </row>
    <row r="19" spans="1:10">
      <c r="A19" s="233"/>
      <c r="B19" s="58"/>
      <c r="C19" s="58"/>
      <c r="D19" s="58"/>
      <c r="E19" s="58"/>
      <c r="F19" s="58"/>
      <c r="G19" s="58"/>
      <c r="H19" s="58"/>
      <c r="I19" s="58"/>
      <c r="J19" s="58"/>
    </row>
    <row r="20" spans="1:10">
      <c r="A20" s="233"/>
      <c r="B20" s="58"/>
      <c r="C20" s="58"/>
      <c r="D20" s="58"/>
      <c r="E20" s="58"/>
      <c r="F20" s="58"/>
      <c r="G20" s="58"/>
      <c r="H20" s="58"/>
      <c r="I20" s="58"/>
      <c r="J20" s="58"/>
    </row>
    <row r="21" spans="1:10">
      <c r="A21" s="233"/>
      <c r="B21" s="58"/>
      <c r="C21" s="58"/>
      <c r="D21" s="58"/>
      <c r="E21" s="58"/>
      <c r="F21" s="58"/>
      <c r="G21" s="58"/>
      <c r="H21" s="58"/>
      <c r="I21" s="58"/>
      <c r="J21" s="58"/>
    </row>
    <row r="22" spans="1:10">
      <c r="A22" s="233"/>
      <c r="B22" s="58"/>
      <c r="C22" s="58"/>
      <c r="D22" s="58"/>
      <c r="E22" s="58"/>
      <c r="F22" s="58"/>
      <c r="G22" s="58"/>
      <c r="H22" s="58"/>
      <c r="I22" s="58"/>
      <c r="J22" s="58"/>
    </row>
    <row r="23" spans="1:10">
      <c r="A23" s="233"/>
      <c r="B23" s="58"/>
      <c r="C23" s="58"/>
      <c r="D23" s="58"/>
      <c r="E23" s="58"/>
      <c r="F23" s="58"/>
      <c r="G23" s="58"/>
      <c r="H23" s="58"/>
      <c r="I23" s="58"/>
      <c r="J23" s="58"/>
    </row>
    <row r="24" spans="1:10">
      <c r="A24" s="233"/>
      <c r="B24" s="58"/>
      <c r="C24" s="58"/>
      <c r="D24" s="58"/>
      <c r="E24" s="58"/>
      <c r="F24" s="58"/>
      <c r="G24" s="58"/>
      <c r="H24" s="58"/>
      <c r="I24" s="58"/>
      <c r="J24" s="58"/>
    </row>
    <row r="25" spans="1:10">
      <c r="A25" s="233"/>
      <c r="B25" s="58"/>
      <c r="C25" s="58"/>
      <c r="D25" s="58"/>
      <c r="E25" s="58"/>
      <c r="F25" s="58"/>
      <c r="G25" s="58"/>
      <c r="H25" s="58"/>
      <c r="I25" s="58"/>
      <c r="J25" s="58"/>
    </row>
    <row r="26" spans="1:10">
      <c r="A26" s="233"/>
      <c r="B26" s="58"/>
      <c r="C26" s="58"/>
      <c r="D26" s="58"/>
      <c r="E26" s="58"/>
      <c r="F26" s="58"/>
      <c r="G26" s="58"/>
      <c r="H26" s="58"/>
      <c r="I26" s="58"/>
      <c r="J26" s="58"/>
    </row>
    <row r="27" spans="1:10">
      <c r="A27" s="233"/>
      <c r="B27" s="58"/>
      <c r="C27" s="58"/>
      <c r="D27" s="58"/>
      <c r="E27" s="58"/>
      <c r="F27" s="58"/>
      <c r="G27" s="58"/>
      <c r="H27" s="58"/>
      <c r="I27" s="58"/>
      <c r="J27" s="58"/>
    </row>
    <row r="28" spans="1:10">
      <c r="A28" s="233"/>
      <c r="B28" s="58"/>
      <c r="C28" s="58"/>
      <c r="D28" s="58"/>
      <c r="E28" s="58"/>
      <c r="F28" s="58"/>
      <c r="G28" s="58"/>
      <c r="H28" s="58"/>
      <c r="I28" s="58"/>
      <c r="J28" s="58"/>
    </row>
    <row r="29" spans="1:10">
      <c r="A29" s="233"/>
      <c r="B29" s="58"/>
      <c r="C29" s="58"/>
      <c r="D29" s="58"/>
      <c r="E29" s="58"/>
      <c r="F29" s="58"/>
      <c r="G29" s="58"/>
      <c r="H29" s="58"/>
      <c r="I29" s="58"/>
      <c r="J29" s="58"/>
    </row>
    <row r="30" spans="1:10">
      <c r="A30" s="233"/>
      <c r="B30" s="58"/>
      <c r="C30" s="58"/>
      <c r="D30" s="58"/>
      <c r="E30" s="58"/>
      <c r="F30" s="58"/>
      <c r="G30" s="58"/>
      <c r="H30" s="58"/>
      <c r="I30" s="58"/>
      <c r="J30" s="58"/>
    </row>
    <row r="31" spans="1:10">
      <c r="A31" s="233"/>
      <c r="B31" s="58"/>
      <c r="C31" s="58"/>
      <c r="D31" s="58"/>
      <c r="E31" s="58"/>
      <c r="F31" s="58"/>
      <c r="G31" s="58"/>
      <c r="H31" s="58"/>
      <c r="I31" s="58"/>
      <c r="J31" s="58"/>
    </row>
    <row r="32" spans="1:10">
      <c r="A32" s="233"/>
      <c r="B32" s="58"/>
      <c r="C32" s="58"/>
      <c r="D32" s="58"/>
      <c r="E32" s="58"/>
      <c r="F32" s="58"/>
      <c r="G32" s="58"/>
      <c r="H32" s="58"/>
      <c r="I32" s="58"/>
      <c r="J32" s="58"/>
    </row>
    <row r="33" spans="1:10">
      <c r="A33" s="233"/>
      <c r="B33" s="58"/>
      <c r="C33" s="58"/>
      <c r="D33" s="58"/>
      <c r="E33" s="58"/>
      <c r="F33" s="58"/>
      <c r="G33" s="58"/>
      <c r="H33" s="58"/>
      <c r="I33" s="58"/>
      <c r="J33" s="58"/>
    </row>
    <row r="34" spans="1:10">
      <c r="A34" s="233"/>
      <c r="B34" s="58"/>
      <c r="C34" s="58"/>
      <c r="D34" s="58"/>
      <c r="E34" s="58"/>
      <c r="F34" s="58"/>
      <c r="G34" s="58"/>
      <c r="H34" s="58"/>
      <c r="I34" s="58"/>
      <c r="J34" s="58"/>
    </row>
    <row r="35" spans="1:10">
      <c r="A35" s="233"/>
      <c r="B35" s="58"/>
      <c r="C35" s="58"/>
      <c r="D35" s="58"/>
      <c r="E35" s="58"/>
      <c r="F35" s="58"/>
      <c r="G35" s="58"/>
      <c r="H35" s="58"/>
      <c r="I35" s="58"/>
      <c r="J35" s="58"/>
    </row>
    <row r="36" spans="1:10">
      <c r="A36" s="233"/>
      <c r="B36" s="58"/>
      <c r="C36" s="58"/>
      <c r="D36" s="58"/>
      <c r="E36" s="58"/>
      <c r="F36" s="58"/>
      <c r="G36" s="58"/>
      <c r="H36" s="58"/>
      <c r="I36" s="58"/>
      <c r="J36" s="58"/>
    </row>
    <row r="37" spans="1:10">
      <c r="A37" s="233"/>
      <c r="B37" s="58"/>
      <c r="C37" s="58"/>
      <c r="D37" s="58"/>
      <c r="E37" s="58"/>
      <c r="F37" s="58"/>
      <c r="G37" s="58"/>
      <c r="H37" s="58"/>
      <c r="I37" s="58"/>
      <c r="J37" s="58"/>
    </row>
    <row r="38" spans="1:10">
      <c r="A38" s="233"/>
      <c r="B38" s="58"/>
      <c r="C38" s="58"/>
      <c r="D38" s="58"/>
      <c r="E38" s="58"/>
      <c r="F38" s="58"/>
      <c r="G38" s="58"/>
      <c r="H38" s="58"/>
      <c r="I38" s="58"/>
      <c r="J38" s="58"/>
    </row>
    <row r="39" spans="1:10">
      <c r="A39" s="233"/>
      <c r="B39" s="58"/>
      <c r="C39" s="58"/>
      <c r="D39" s="58"/>
      <c r="E39" s="58"/>
      <c r="F39" s="58"/>
      <c r="G39" s="58"/>
      <c r="H39" s="58"/>
      <c r="I39" s="58"/>
      <c r="J39" s="58"/>
    </row>
    <row r="40" spans="1:10">
      <c r="A40" s="233"/>
      <c r="B40" s="58"/>
      <c r="C40" s="58"/>
      <c r="D40" s="58"/>
      <c r="E40" s="58"/>
      <c r="F40" s="58"/>
      <c r="G40" s="58"/>
      <c r="H40" s="58"/>
      <c r="I40" s="58"/>
      <c r="J40" s="58"/>
    </row>
    <row r="41" spans="1:10">
      <c r="A41" s="233"/>
      <c r="B41" s="58"/>
      <c r="C41" s="58"/>
      <c r="D41" s="58"/>
      <c r="E41" s="58"/>
      <c r="F41" s="58"/>
      <c r="G41" s="58"/>
      <c r="H41" s="58"/>
      <c r="I41" s="58"/>
      <c r="J41" s="58"/>
    </row>
    <row r="42" spans="1:10">
      <c r="A42" s="233"/>
      <c r="B42" s="58"/>
      <c r="C42" s="58"/>
      <c r="D42" s="58"/>
      <c r="E42" s="58"/>
      <c r="F42" s="58"/>
      <c r="G42" s="58"/>
      <c r="H42" s="58"/>
      <c r="I42" s="58"/>
      <c r="J42" s="58"/>
    </row>
    <row r="43" spans="1:10">
      <c r="A43" s="233"/>
      <c r="B43" s="58"/>
      <c r="C43" s="58"/>
      <c r="D43" s="58"/>
      <c r="E43" s="58"/>
      <c r="F43" s="58"/>
      <c r="G43" s="58"/>
      <c r="H43" s="58"/>
      <c r="I43" s="58"/>
      <c r="J43" s="58"/>
    </row>
    <row r="44" spans="1:10">
      <c r="A44" s="233"/>
      <c r="B44" s="58"/>
      <c r="C44" s="58"/>
      <c r="D44" s="58"/>
      <c r="E44" s="58"/>
      <c r="F44" s="58"/>
      <c r="G44" s="58"/>
      <c r="H44" s="58"/>
      <c r="I44" s="58"/>
      <c r="J44" s="58"/>
    </row>
    <row r="45" spans="1:10">
      <c r="A45" s="233"/>
      <c r="B45" s="58"/>
      <c r="C45" s="58"/>
      <c r="D45" s="58"/>
      <c r="E45" s="58"/>
      <c r="F45" s="58"/>
      <c r="G45" s="58"/>
      <c r="H45" s="58"/>
      <c r="I45" s="58"/>
      <c r="J45" s="58"/>
    </row>
    <row r="46" spans="1:10">
      <c r="A46" s="233"/>
      <c r="B46" s="58"/>
      <c r="C46" s="58"/>
      <c r="D46" s="58"/>
      <c r="E46" s="58"/>
      <c r="F46" s="58"/>
      <c r="G46" s="58"/>
      <c r="H46" s="58"/>
      <c r="I46" s="58"/>
      <c r="J46" s="58"/>
    </row>
    <row r="47" spans="1:10">
      <c r="A47" s="233"/>
      <c r="B47" s="58"/>
      <c r="C47" s="58"/>
      <c r="D47" s="58"/>
      <c r="E47" s="58"/>
      <c r="F47" s="58"/>
      <c r="G47" s="58"/>
      <c r="H47" s="58"/>
      <c r="I47" s="58"/>
      <c r="J47" s="58"/>
    </row>
    <row r="48" spans="1:10">
      <c r="A48" s="233"/>
      <c r="B48" s="58"/>
      <c r="C48" s="58"/>
      <c r="D48" s="58"/>
      <c r="E48" s="58"/>
      <c r="F48" s="58"/>
      <c r="G48" s="58"/>
      <c r="H48" s="58"/>
      <c r="I48" s="58"/>
      <c r="J48" s="58"/>
    </row>
    <row r="49" spans="1:10">
      <c r="A49" s="233"/>
      <c r="B49" s="58"/>
      <c r="C49" s="58"/>
      <c r="D49" s="58"/>
      <c r="E49" s="58"/>
      <c r="F49" s="58"/>
      <c r="G49" s="58"/>
      <c r="H49" s="58"/>
      <c r="I49" s="58"/>
      <c r="J49" s="58"/>
    </row>
    <row r="50" spans="1:10">
      <c r="A50" s="233"/>
      <c r="B50" s="58"/>
      <c r="C50" s="58"/>
      <c r="D50" s="58"/>
      <c r="E50" s="58"/>
      <c r="F50" s="58"/>
      <c r="G50" s="58"/>
      <c r="H50" s="58"/>
      <c r="I50" s="58"/>
      <c r="J50" s="58"/>
    </row>
    <row r="51" spans="1:10">
      <c r="A51" s="233"/>
      <c r="B51" s="58"/>
      <c r="C51" s="58"/>
      <c r="D51" s="58"/>
      <c r="E51" s="58"/>
      <c r="F51" s="58"/>
      <c r="G51" s="58"/>
      <c r="H51" s="58"/>
      <c r="I51" s="58"/>
      <c r="J51" s="58"/>
    </row>
    <row r="52" spans="1:10">
      <c r="A52" s="233"/>
      <c r="B52" s="58"/>
      <c r="C52" s="58"/>
      <c r="D52" s="58"/>
      <c r="E52" s="58"/>
      <c r="F52" s="58"/>
      <c r="G52" s="58"/>
      <c r="H52" s="58"/>
      <c r="I52" s="58"/>
      <c r="J52" s="58"/>
    </row>
    <row r="53" spans="1:10">
      <c r="A53" s="233"/>
      <c r="B53" s="58"/>
      <c r="C53" s="58"/>
      <c r="D53" s="58"/>
      <c r="E53" s="58"/>
      <c r="F53" s="58"/>
      <c r="G53" s="58"/>
      <c r="H53" s="58"/>
      <c r="I53" s="58"/>
      <c r="J53" s="58"/>
    </row>
    <row r="54" spans="1:10">
      <c r="A54" s="233"/>
      <c r="B54" s="58"/>
      <c r="C54" s="58"/>
      <c r="D54" s="58"/>
      <c r="E54" s="58"/>
      <c r="F54" s="58"/>
      <c r="G54" s="58"/>
      <c r="H54" s="58"/>
      <c r="I54" s="58"/>
      <c r="J54" s="58"/>
    </row>
    <row r="55" spans="1:10">
      <c r="A55" s="233"/>
      <c r="B55" s="58"/>
      <c r="C55" s="58"/>
      <c r="D55" s="58"/>
      <c r="E55" s="58"/>
      <c r="F55" s="58"/>
      <c r="G55" s="58"/>
      <c r="H55" s="58"/>
      <c r="I55" s="58"/>
      <c r="J55" s="58"/>
    </row>
    <row r="56" spans="1:10">
      <c r="A56" s="233"/>
      <c r="B56" s="58"/>
      <c r="C56" s="58"/>
      <c r="D56" s="58"/>
      <c r="E56" s="58"/>
      <c r="F56" s="58"/>
      <c r="G56" s="58"/>
      <c r="H56" s="58"/>
      <c r="I56" s="58"/>
      <c r="J56" s="58"/>
    </row>
    <row r="57" spans="1:10">
      <c r="A57" s="233"/>
      <c r="B57" s="58"/>
      <c r="C57" s="58"/>
      <c r="D57" s="58"/>
      <c r="E57" s="58"/>
      <c r="F57" s="58"/>
      <c r="G57" s="58"/>
      <c r="H57" s="58"/>
      <c r="I57" s="58"/>
      <c r="J57" s="58"/>
    </row>
    <row r="58" spans="1:10">
      <c r="A58" s="233"/>
      <c r="B58" s="58"/>
      <c r="C58" s="58"/>
      <c r="D58" s="58"/>
      <c r="E58" s="58"/>
      <c r="F58" s="58"/>
      <c r="G58" s="58"/>
      <c r="H58" s="58"/>
      <c r="I58" s="58"/>
      <c r="J58" s="58"/>
    </row>
    <row r="59" spans="1:10">
      <c r="A59" s="233"/>
      <c r="B59" s="58"/>
      <c r="C59" s="58"/>
      <c r="D59" s="58"/>
      <c r="E59" s="58"/>
      <c r="F59" s="58"/>
      <c r="G59" s="58"/>
      <c r="H59" s="58"/>
      <c r="I59" s="58"/>
      <c r="J59" s="58"/>
    </row>
    <row r="60" spans="1:10">
      <c r="A60" s="233"/>
      <c r="B60" s="58"/>
      <c r="C60" s="58"/>
      <c r="D60" s="58"/>
      <c r="E60" s="58"/>
      <c r="F60" s="58"/>
      <c r="G60" s="58"/>
      <c r="H60" s="58"/>
      <c r="I60" s="58"/>
      <c r="J60" s="58"/>
    </row>
    <row r="61" spans="1:10">
      <c r="A61" s="233"/>
      <c r="B61" s="58"/>
      <c r="C61" s="58"/>
      <c r="D61" s="58"/>
      <c r="E61" s="58"/>
      <c r="F61" s="58"/>
      <c r="G61" s="58"/>
      <c r="H61" s="58"/>
      <c r="I61" s="58"/>
      <c r="J61" s="58"/>
    </row>
    <row r="62" spans="1:10">
      <c r="A62" s="233"/>
      <c r="B62" s="58"/>
      <c r="C62" s="58"/>
      <c r="D62" s="58"/>
      <c r="E62" s="58"/>
      <c r="F62" s="58"/>
      <c r="G62" s="58"/>
      <c r="H62" s="58"/>
      <c r="I62" s="58"/>
      <c r="J62" s="58"/>
    </row>
    <row r="63" spans="1:10">
      <c r="A63" s="233"/>
      <c r="B63" s="58"/>
      <c r="C63" s="58"/>
      <c r="D63" s="58"/>
      <c r="E63" s="58"/>
      <c r="F63" s="58"/>
      <c r="G63" s="58"/>
      <c r="H63" s="58"/>
      <c r="I63" s="58"/>
      <c r="J63" s="58"/>
    </row>
    <row r="64" spans="1:10">
      <c r="A64" s="233"/>
      <c r="B64" s="58"/>
      <c r="C64" s="58"/>
      <c r="D64" s="58"/>
      <c r="E64" s="58"/>
      <c r="F64" s="58"/>
      <c r="G64" s="58"/>
      <c r="H64" s="58"/>
      <c r="I64" s="58"/>
      <c r="J64" s="58"/>
    </row>
    <row r="65" spans="1:10">
      <c r="A65" s="233"/>
      <c r="B65" s="58"/>
      <c r="C65" s="58"/>
      <c r="D65" s="58"/>
      <c r="E65" s="58"/>
      <c r="F65" s="58"/>
      <c r="G65" s="58"/>
      <c r="H65" s="58"/>
      <c r="I65" s="58"/>
      <c r="J65" s="58"/>
    </row>
    <row r="66" spans="1:10">
      <c r="A66" s="233"/>
      <c r="B66" s="58"/>
      <c r="C66" s="58"/>
      <c r="D66" s="58"/>
      <c r="E66" s="58"/>
      <c r="F66" s="58"/>
      <c r="G66" s="58"/>
      <c r="H66" s="58"/>
      <c r="I66" s="58"/>
      <c r="J66" s="58"/>
    </row>
    <row r="67" spans="1:10">
      <c r="A67" s="233"/>
      <c r="B67" s="58"/>
      <c r="C67" s="58"/>
      <c r="D67" s="58"/>
      <c r="E67" s="58"/>
      <c r="F67" s="58"/>
      <c r="G67" s="58"/>
      <c r="H67" s="58"/>
      <c r="I67" s="58"/>
      <c r="J67" s="58"/>
    </row>
    <row r="68" spans="1:10">
      <c r="A68" s="233"/>
      <c r="B68" s="58"/>
      <c r="C68" s="58"/>
      <c r="D68" s="58"/>
      <c r="E68" s="58"/>
      <c r="F68" s="58"/>
      <c r="G68" s="58"/>
      <c r="H68" s="58"/>
      <c r="I68" s="58"/>
      <c r="J68" s="58"/>
    </row>
    <row r="69" spans="1:10">
      <c r="A69" s="233"/>
      <c r="B69" s="58"/>
      <c r="C69" s="58"/>
      <c r="D69" s="58"/>
      <c r="E69" s="58"/>
      <c r="F69" s="58"/>
      <c r="G69" s="58"/>
      <c r="H69" s="58"/>
      <c r="I69" s="58"/>
      <c r="J69" s="58"/>
    </row>
    <row r="70" spans="1:10">
      <c r="A70" s="233"/>
      <c r="B70" s="58"/>
      <c r="C70" s="58"/>
      <c r="D70" s="58"/>
      <c r="E70" s="58"/>
      <c r="F70" s="58"/>
      <c r="G70" s="58"/>
      <c r="H70" s="58"/>
      <c r="I70" s="58"/>
      <c r="J70" s="58"/>
    </row>
    <row r="71" spans="1:10">
      <c r="A71" s="233"/>
      <c r="B71" s="58"/>
      <c r="C71" s="58"/>
      <c r="D71" s="58"/>
      <c r="E71" s="58"/>
      <c r="F71" s="58"/>
      <c r="G71" s="58"/>
      <c r="H71" s="58"/>
      <c r="I71" s="58"/>
      <c r="J71" s="58"/>
    </row>
    <row r="72" spans="1:10">
      <c r="A72" s="233"/>
      <c r="B72" s="58"/>
      <c r="C72" s="58"/>
      <c r="D72" s="58"/>
      <c r="E72" s="58"/>
      <c r="F72" s="58"/>
      <c r="G72" s="58"/>
      <c r="H72" s="58"/>
      <c r="I72" s="58"/>
      <c r="J72" s="58"/>
    </row>
    <row r="73" spans="1:10">
      <c r="A73" s="233"/>
      <c r="B73" s="58"/>
      <c r="C73" s="58"/>
      <c r="D73" s="58"/>
      <c r="E73" s="58"/>
      <c r="F73" s="58"/>
      <c r="G73" s="58"/>
      <c r="H73" s="58"/>
      <c r="I73" s="58"/>
      <c r="J73" s="58"/>
    </row>
    <row r="74" spans="1:10">
      <c r="A74" s="233"/>
      <c r="B74" s="58"/>
      <c r="C74" s="58"/>
      <c r="D74" s="58"/>
      <c r="E74" s="58"/>
      <c r="F74" s="58"/>
      <c r="G74" s="58"/>
      <c r="H74" s="58"/>
      <c r="I74" s="58"/>
      <c r="J74" s="58"/>
    </row>
    <row r="75" spans="1:10">
      <c r="A75" s="233"/>
      <c r="B75" s="58"/>
      <c r="C75" s="58"/>
      <c r="D75" s="58"/>
      <c r="E75" s="58"/>
      <c r="F75" s="58"/>
      <c r="G75" s="58"/>
      <c r="H75" s="58"/>
      <c r="I75" s="58"/>
      <c r="J75" s="58"/>
    </row>
    <row r="76" spans="1:10">
      <c r="A76" s="233"/>
      <c r="B76" s="58"/>
      <c r="C76" s="58"/>
      <c r="D76" s="58"/>
      <c r="E76" s="58"/>
      <c r="F76" s="58"/>
      <c r="G76" s="58"/>
      <c r="H76" s="58"/>
      <c r="I76" s="58"/>
      <c r="J76" s="58"/>
    </row>
    <row r="77" spans="1:10">
      <c r="A77" s="233"/>
      <c r="B77" s="58"/>
      <c r="C77" s="58"/>
      <c r="D77" s="58"/>
      <c r="E77" s="58"/>
      <c r="F77" s="58"/>
      <c r="G77" s="58"/>
      <c r="H77" s="58"/>
      <c r="I77" s="58"/>
      <c r="J77" s="58"/>
    </row>
    <row r="78" spans="1:10">
      <c r="A78" s="233"/>
      <c r="B78" s="58"/>
      <c r="C78" s="58"/>
      <c r="D78" s="58"/>
      <c r="E78" s="58"/>
      <c r="F78" s="58"/>
      <c r="G78" s="58"/>
      <c r="H78" s="58"/>
      <c r="I78" s="58"/>
      <c r="J78" s="58"/>
    </row>
    <row r="79" spans="1:10">
      <c r="A79" s="233"/>
      <c r="B79" s="58"/>
      <c r="C79" s="58"/>
      <c r="D79" s="58"/>
      <c r="E79" s="58"/>
      <c r="F79" s="58"/>
      <c r="G79" s="58"/>
      <c r="H79" s="58"/>
      <c r="I79" s="58"/>
      <c r="J79" s="58"/>
    </row>
    <row r="80" spans="1:10">
      <c r="A80" s="233"/>
      <c r="B80" s="58"/>
      <c r="C80" s="58"/>
      <c r="D80" s="58"/>
      <c r="E80" s="58"/>
      <c r="F80" s="58"/>
      <c r="G80" s="58"/>
      <c r="H80" s="58"/>
      <c r="I80" s="58"/>
      <c r="J80" s="58"/>
    </row>
    <row r="81" spans="1:10">
      <c r="A81" s="233"/>
      <c r="B81" s="58"/>
      <c r="C81" s="58"/>
      <c r="D81" s="58"/>
      <c r="E81" s="58"/>
      <c r="F81" s="58"/>
      <c r="G81" s="58"/>
      <c r="H81" s="58"/>
      <c r="I81" s="58"/>
      <c r="J81" s="58"/>
    </row>
    <row r="82" spans="1:10">
      <c r="A82" s="233"/>
      <c r="B82" s="58"/>
      <c r="C82" s="58"/>
      <c r="D82" s="58"/>
      <c r="E82" s="58"/>
      <c r="F82" s="58"/>
      <c r="G82" s="58"/>
      <c r="H82" s="58"/>
      <c r="I82" s="58"/>
      <c r="J82" s="58"/>
    </row>
    <row r="83" spans="1:10">
      <c r="A83" s="233"/>
      <c r="B83" s="58"/>
      <c r="C83" s="58"/>
      <c r="D83" s="58"/>
      <c r="E83" s="58"/>
      <c r="F83" s="58"/>
      <c r="G83" s="58"/>
      <c r="H83" s="58"/>
      <c r="I83" s="58"/>
      <c r="J83" s="58"/>
    </row>
    <row r="84" spans="1:10">
      <c r="A84" s="233"/>
      <c r="B84" s="58"/>
      <c r="C84" s="58"/>
      <c r="D84" s="58"/>
      <c r="E84" s="58"/>
      <c r="F84" s="58"/>
      <c r="G84" s="58"/>
      <c r="H84" s="58"/>
      <c r="I84" s="58"/>
      <c r="J84" s="58"/>
    </row>
    <row r="85" spans="1:10">
      <c r="A85" s="233"/>
      <c r="B85" s="58"/>
      <c r="C85" s="58"/>
      <c r="D85" s="58"/>
      <c r="E85" s="58"/>
      <c r="F85" s="58"/>
      <c r="G85" s="58"/>
      <c r="H85" s="58"/>
      <c r="I85" s="58"/>
      <c r="J85" s="58"/>
    </row>
    <row r="86" spans="1:10">
      <c r="A86" s="233"/>
      <c r="B86" s="58"/>
      <c r="C86" s="58"/>
      <c r="D86" s="58"/>
      <c r="E86" s="58"/>
      <c r="F86" s="58"/>
      <c r="G86" s="58"/>
      <c r="H86" s="58"/>
      <c r="I86" s="58"/>
      <c r="J86" s="58"/>
    </row>
    <row r="87" spans="1:10">
      <c r="A87" s="233"/>
      <c r="B87" s="58"/>
      <c r="C87" s="58"/>
      <c r="D87" s="58"/>
      <c r="E87" s="58"/>
      <c r="F87" s="58"/>
      <c r="G87" s="58"/>
      <c r="H87" s="58"/>
      <c r="I87" s="58"/>
      <c r="J87" s="58"/>
    </row>
    <row r="88" spans="1:10">
      <c r="A88" s="233"/>
      <c r="B88" s="58"/>
      <c r="C88" s="58"/>
      <c r="D88" s="58"/>
      <c r="E88" s="58"/>
      <c r="F88" s="58"/>
      <c r="G88" s="58"/>
      <c r="H88" s="58"/>
      <c r="I88" s="58"/>
      <c r="J88" s="58"/>
    </row>
    <row r="89" spans="1:10">
      <c r="A89" s="233"/>
      <c r="B89" s="58"/>
      <c r="C89" s="58"/>
      <c r="D89" s="58"/>
      <c r="E89" s="58"/>
      <c r="F89" s="58"/>
      <c r="G89" s="58"/>
      <c r="H89" s="58"/>
      <c r="I89" s="58"/>
      <c r="J89" s="58"/>
    </row>
    <row r="90" spans="1:10">
      <c r="A90" s="233"/>
      <c r="B90" s="58"/>
      <c r="C90" s="58"/>
      <c r="D90" s="58"/>
      <c r="E90" s="58"/>
      <c r="F90" s="58"/>
      <c r="G90" s="58"/>
      <c r="H90" s="58"/>
      <c r="I90" s="58"/>
      <c r="J90" s="58"/>
    </row>
    <row r="91" spans="1:10">
      <c r="A91" s="233"/>
      <c r="B91" s="58"/>
      <c r="C91" s="58"/>
      <c r="D91" s="58"/>
      <c r="E91" s="58"/>
      <c r="F91" s="58"/>
      <c r="G91" s="58"/>
      <c r="H91" s="58"/>
      <c r="I91" s="58"/>
      <c r="J91" s="58"/>
    </row>
    <row r="92" spans="1:10">
      <c r="A92" s="233"/>
      <c r="B92" s="58"/>
      <c r="C92" s="58"/>
      <c r="D92" s="58"/>
      <c r="E92" s="58"/>
      <c r="F92" s="58"/>
      <c r="G92" s="58"/>
      <c r="H92" s="58"/>
      <c r="I92" s="58"/>
      <c r="J92" s="58"/>
    </row>
    <row r="93" spans="1:10">
      <c r="A93" s="233"/>
      <c r="B93" s="58"/>
      <c r="C93" s="58"/>
      <c r="D93" s="58"/>
      <c r="E93" s="58"/>
      <c r="F93" s="58"/>
      <c r="G93" s="58"/>
      <c r="H93" s="58"/>
      <c r="I93" s="58"/>
      <c r="J93" s="58"/>
    </row>
    <row r="94" spans="1:10">
      <c r="A94" s="233"/>
      <c r="B94" s="58"/>
      <c r="C94" s="58"/>
      <c r="D94" s="58"/>
      <c r="E94" s="58"/>
      <c r="F94" s="58"/>
      <c r="G94" s="58"/>
      <c r="H94" s="58"/>
      <c r="I94" s="58"/>
      <c r="J94" s="58"/>
    </row>
    <row r="95" spans="1:10">
      <c r="A95" s="233"/>
      <c r="B95" s="58"/>
      <c r="C95" s="58"/>
      <c r="D95" s="58"/>
      <c r="E95" s="58"/>
      <c r="F95" s="58"/>
      <c r="G95" s="58"/>
      <c r="H95" s="58"/>
      <c r="I95" s="58"/>
      <c r="J95" s="58"/>
    </row>
    <row r="96" spans="1:10">
      <c r="A96" s="233"/>
      <c r="B96" s="58"/>
      <c r="C96" s="58"/>
      <c r="D96" s="58"/>
      <c r="E96" s="58"/>
      <c r="F96" s="58"/>
      <c r="G96" s="58"/>
      <c r="H96" s="58"/>
      <c r="I96" s="58"/>
      <c r="J96" s="58"/>
    </row>
    <row r="97" spans="1:10">
      <c r="A97" s="233"/>
      <c r="B97" s="58"/>
      <c r="C97" s="58"/>
      <c r="D97" s="58"/>
      <c r="E97" s="58"/>
      <c r="F97" s="58"/>
      <c r="G97" s="58"/>
      <c r="H97" s="58"/>
      <c r="I97" s="58"/>
      <c r="J97" s="58"/>
    </row>
    <row r="98" spans="1:10">
      <c r="A98" s="233"/>
      <c r="B98" s="58"/>
      <c r="C98" s="58"/>
      <c r="D98" s="58"/>
      <c r="E98" s="58"/>
      <c r="F98" s="58"/>
      <c r="G98" s="58"/>
      <c r="H98" s="58"/>
      <c r="I98" s="58"/>
      <c r="J98" s="58"/>
    </row>
    <row r="99" spans="1:10">
      <c r="A99" s="233"/>
      <c r="B99" s="58"/>
      <c r="C99" s="58"/>
      <c r="D99" s="58"/>
      <c r="E99" s="58"/>
      <c r="F99" s="58"/>
      <c r="G99" s="58"/>
      <c r="H99" s="58"/>
      <c r="I99" s="58"/>
      <c r="J99" s="58"/>
    </row>
    <row r="100" spans="1:10">
      <c r="A100" s="233"/>
      <c r="B100" s="58"/>
      <c r="C100" s="58"/>
      <c r="D100" s="58"/>
      <c r="E100" s="58"/>
      <c r="F100" s="58"/>
      <c r="G100" s="58"/>
      <c r="H100" s="58"/>
      <c r="I100" s="58"/>
      <c r="J100" s="58"/>
    </row>
    <row r="101" spans="1:10">
      <c r="A101" s="233"/>
      <c r="B101" s="58"/>
      <c r="C101" s="58"/>
      <c r="D101" s="58"/>
      <c r="E101" s="58"/>
      <c r="F101" s="58"/>
      <c r="G101" s="58"/>
      <c r="H101" s="58"/>
      <c r="I101" s="58"/>
      <c r="J101" s="58"/>
    </row>
    <row r="102" spans="1:10">
      <c r="A102" s="233"/>
      <c r="B102" s="58"/>
      <c r="C102" s="58"/>
      <c r="D102" s="58"/>
      <c r="E102" s="58"/>
      <c r="F102" s="58"/>
      <c r="G102" s="58"/>
      <c r="H102" s="58"/>
      <c r="I102" s="58"/>
      <c r="J102" s="58"/>
    </row>
    <row r="103" spans="1:10">
      <c r="A103" s="233"/>
      <c r="B103" s="58"/>
      <c r="C103" s="58"/>
      <c r="D103" s="58"/>
      <c r="E103" s="58"/>
      <c r="F103" s="58"/>
      <c r="G103" s="58"/>
      <c r="H103" s="58"/>
      <c r="I103" s="58"/>
      <c r="J103" s="58"/>
    </row>
    <row r="104" spans="1:10">
      <c r="A104" s="233"/>
      <c r="B104" s="58"/>
      <c r="C104" s="58"/>
      <c r="D104" s="58"/>
      <c r="E104" s="58"/>
      <c r="F104" s="58"/>
      <c r="G104" s="58"/>
      <c r="H104" s="58"/>
      <c r="I104" s="58"/>
      <c r="J104" s="58"/>
    </row>
    <row r="105" spans="1:10">
      <c r="A105" s="233"/>
      <c r="B105" s="58"/>
      <c r="C105" s="58"/>
      <c r="D105" s="58"/>
      <c r="E105" s="58"/>
      <c r="F105" s="58"/>
      <c r="G105" s="58"/>
      <c r="H105" s="58"/>
      <c r="I105" s="58"/>
      <c r="J105" s="58"/>
    </row>
    <row r="106" spans="1:10">
      <c r="A106" s="233"/>
      <c r="B106" s="58"/>
      <c r="C106" s="58"/>
      <c r="D106" s="58"/>
      <c r="E106" s="58"/>
      <c r="F106" s="58"/>
      <c r="G106" s="58"/>
      <c r="H106" s="58"/>
      <c r="I106" s="58"/>
      <c r="J106" s="58"/>
    </row>
    <row r="107" spans="1:10">
      <c r="A107" s="233"/>
      <c r="B107" s="58"/>
      <c r="C107" s="58"/>
      <c r="D107" s="58"/>
      <c r="E107" s="58"/>
      <c r="F107" s="58"/>
      <c r="G107" s="58"/>
      <c r="H107" s="58"/>
      <c r="I107" s="58"/>
      <c r="J107" s="58"/>
    </row>
    <row r="108" spans="1:10">
      <c r="A108" s="233"/>
      <c r="B108" s="58"/>
      <c r="C108" s="58"/>
      <c r="D108" s="58"/>
      <c r="E108" s="58"/>
      <c r="F108" s="58"/>
      <c r="G108" s="58"/>
      <c r="H108" s="58"/>
      <c r="I108" s="58"/>
      <c r="J108" s="58"/>
    </row>
    <row r="109" spans="1:10">
      <c r="A109" s="233"/>
      <c r="B109" s="58"/>
      <c r="C109" s="58"/>
      <c r="D109" s="58"/>
      <c r="E109" s="58"/>
      <c r="F109" s="58"/>
      <c r="G109" s="58"/>
      <c r="H109" s="58"/>
      <c r="I109" s="58"/>
      <c r="J109" s="58"/>
    </row>
    <row r="110" spans="1:10">
      <c r="A110" s="233"/>
      <c r="B110" s="58"/>
      <c r="C110" s="58"/>
      <c r="D110" s="58"/>
      <c r="E110" s="58"/>
      <c r="F110" s="58"/>
      <c r="G110" s="58"/>
      <c r="H110" s="58"/>
      <c r="I110" s="58"/>
      <c r="J110" s="58"/>
    </row>
    <row r="111" spans="1:10">
      <c r="A111" s="233"/>
      <c r="B111" s="58"/>
      <c r="C111" s="58"/>
      <c r="D111" s="58"/>
      <c r="E111" s="58"/>
      <c r="F111" s="58"/>
      <c r="G111" s="58"/>
      <c r="H111" s="58"/>
      <c r="I111" s="58"/>
      <c r="J111" s="58"/>
    </row>
    <row r="112" spans="1:10">
      <c r="A112" s="233"/>
      <c r="B112" s="58"/>
      <c r="C112" s="58"/>
      <c r="D112" s="58"/>
      <c r="E112" s="58"/>
      <c r="F112" s="58"/>
      <c r="G112" s="58"/>
      <c r="H112" s="58"/>
      <c r="I112" s="58"/>
      <c r="J112" s="58"/>
    </row>
    <row r="113" spans="1:10">
      <c r="A113" s="233"/>
      <c r="B113" s="58"/>
      <c r="C113" s="58"/>
      <c r="D113" s="58"/>
      <c r="E113" s="58"/>
      <c r="F113" s="58"/>
      <c r="G113" s="58"/>
      <c r="H113" s="58"/>
      <c r="I113" s="58"/>
      <c r="J113" s="58"/>
    </row>
  </sheetData>
  <mergeCells count="1">
    <mergeCell ref="B1:J1"/>
  </mergeCells>
  <pageMargins left="0" right="0" top="0" bottom="0" header="0" footer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E22"/>
  <sheetViews>
    <sheetView workbookViewId="0"/>
  </sheetViews>
  <sheetFormatPr defaultColWidth="11.25" defaultRowHeight="15.75" customHeight="1"/>
  <cols>
    <col min="1" max="1" width="24" customWidth="1"/>
    <col min="2" max="2" width="8.25" customWidth="1"/>
    <col min="5" max="5" width="9.625" customWidth="1"/>
  </cols>
  <sheetData>
    <row r="1" spans="1:5">
      <c r="A1" s="239"/>
      <c r="B1" s="239"/>
    </row>
    <row r="2" spans="1:5">
      <c r="A2" s="224" t="s">
        <v>901</v>
      </c>
      <c r="B2" s="226" t="s">
        <v>884</v>
      </c>
    </row>
    <row r="3" spans="1:5">
      <c r="A3" s="224" t="s">
        <v>902</v>
      </c>
      <c r="B3" s="226" t="s">
        <v>885</v>
      </c>
    </row>
    <row r="4" spans="1:5">
      <c r="A4" s="224" t="s">
        <v>903</v>
      </c>
      <c r="B4" s="226" t="s">
        <v>886</v>
      </c>
    </row>
    <row r="5" spans="1:5">
      <c r="A5" s="224" t="s">
        <v>904</v>
      </c>
      <c r="B5" s="226" t="s">
        <v>887</v>
      </c>
    </row>
    <row r="6" spans="1:5">
      <c r="A6" s="224" t="s">
        <v>905</v>
      </c>
      <c r="B6" s="226" t="s">
        <v>888</v>
      </c>
    </row>
    <row r="7" spans="1:5">
      <c r="A7" s="224" t="s">
        <v>906</v>
      </c>
      <c r="B7" s="226" t="s">
        <v>889</v>
      </c>
    </row>
    <row r="8" spans="1:5">
      <c r="A8" s="224" t="s">
        <v>907</v>
      </c>
      <c r="B8" s="226" t="s">
        <v>890</v>
      </c>
    </row>
    <row r="9" spans="1:5">
      <c r="A9" s="224" t="s">
        <v>908</v>
      </c>
      <c r="B9" s="226" t="s">
        <v>891</v>
      </c>
    </row>
    <row r="10" spans="1:5">
      <c r="A10" s="224" t="s">
        <v>909</v>
      </c>
      <c r="B10" s="226" t="s">
        <v>892</v>
      </c>
    </row>
    <row r="13" spans="1:5">
      <c r="D13" s="224" t="s">
        <v>872</v>
      </c>
      <c r="E13" s="226" t="s">
        <v>910</v>
      </c>
    </row>
    <row r="14" spans="1:5">
      <c r="D14" s="224" t="s">
        <v>873</v>
      </c>
      <c r="E14" s="226" t="s">
        <v>911</v>
      </c>
    </row>
    <row r="15" spans="1:5">
      <c r="D15" s="224" t="s">
        <v>874</v>
      </c>
      <c r="E15" s="226" t="s">
        <v>38</v>
      </c>
    </row>
    <row r="16" spans="1:5">
      <c r="D16" s="224" t="s">
        <v>912</v>
      </c>
      <c r="E16" s="226" t="s">
        <v>913</v>
      </c>
    </row>
    <row r="17" spans="4:5">
      <c r="D17" s="224" t="s">
        <v>876</v>
      </c>
      <c r="E17" s="226" t="s">
        <v>914</v>
      </c>
    </row>
    <row r="18" spans="4:5">
      <c r="D18" s="224" t="s">
        <v>878</v>
      </c>
      <c r="E18" s="226" t="s">
        <v>915</v>
      </c>
    </row>
    <row r="19" spans="4:5">
      <c r="D19" s="224" t="s">
        <v>916</v>
      </c>
      <c r="E19" s="226" t="s">
        <v>917</v>
      </c>
    </row>
    <row r="20" spans="4:5">
      <c r="D20" s="224" t="s">
        <v>918</v>
      </c>
      <c r="E20" s="226" t="s">
        <v>877</v>
      </c>
    </row>
    <row r="21" spans="4:5">
      <c r="D21" s="224" t="s">
        <v>919</v>
      </c>
      <c r="E21" s="226" t="s">
        <v>920</v>
      </c>
    </row>
    <row r="22" spans="4:5">
      <c r="D22" s="224" t="s">
        <v>921</v>
      </c>
      <c r="E22" s="226" t="s">
        <v>922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16950A-52FF-4DED-AF1A-6E6D5E8523B2}"/>
</file>

<file path=customXml/itemProps2.xml><?xml version="1.0" encoding="utf-8"?>
<ds:datastoreItem xmlns:ds="http://schemas.openxmlformats.org/officeDocument/2006/customXml" ds:itemID="{311617DE-4399-4178-83CC-92347FC48201}"/>
</file>

<file path=customXml/itemProps3.xml><?xml version="1.0" encoding="utf-8"?>
<ds:datastoreItem xmlns:ds="http://schemas.openxmlformats.org/officeDocument/2006/customXml" ds:itemID="{78B25EB8-9378-4414-9A80-9E2163911E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Villena, Jose</cp:lastModifiedBy>
  <cp:revision/>
  <dcterms:created xsi:type="dcterms:W3CDTF">2026-07-30T08:30:38Z</dcterms:created>
  <dcterms:modified xsi:type="dcterms:W3CDTF">2026-07-30T08:30:38Z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