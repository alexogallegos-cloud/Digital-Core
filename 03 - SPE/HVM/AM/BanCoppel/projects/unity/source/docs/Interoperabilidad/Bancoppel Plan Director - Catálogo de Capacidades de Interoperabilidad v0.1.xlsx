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7" documentId="11_A833B150B506C12D83E2863AACFEEA4828012BD3" xr6:coauthVersionLast="47" xr6:coauthVersionMax="47" xr10:uidLastSave="{39ACCDD9-EC4D-44D1-9A17-862E7AE4E5A0}"/>
  <bookViews>
    <workbookView xWindow="0" yWindow="0" windowWidth="16384" windowHeight="8192" tabRatio="500" activeTab="1" xr2:uid="{00000000-000D-0000-FFFF-FFFF00000000}"/>
  </bookViews>
  <sheets>
    <sheet name="Portada" sheetId="1" r:id="rId1"/>
    <sheet name="Capabilities Catalog" sheetId="2" r:id="rId2"/>
    <sheet name="Resumen" sheetId="3" r:id="rId3"/>
  </sheets>
  <definedNames>
    <definedName name="_xlnm._FilterDatabase" localSheetId="1" hidden="1">'Capabilities Catalog'!$A$1:$L$84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3" l="1"/>
  <c r="B18" i="3"/>
  <c r="B17" i="3"/>
  <c r="B16" i="3"/>
  <c r="B15" i="3"/>
  <c r="B14" i="3"/>
  <c r="B13" i="3"/>
  <c r="B8" i="3"/>
  <c r="E7" i="3"/>
  <c r="B7" i="3"/>
  <c r="E6" i="3"/>
  <c r="B6" i="3"/>
  <c r="E5" i="3"/>
  <c r="B5" i="3"/>
  <c r="B9" i="3" s="1"/>
</calcChain>
</file>

<file path=xl/sharedStrings.xml><?xml version="1.0" encoding="utf-8"?>
<sst xmlns="http://schemas.openxmlformats.org/spreadsheetml/2006/main" count="1020" uniqueCount="384">
  <si>
    <t>Bancoppel Plan Director - Catálogo de Capacidades de Interoperabilidad v0.1</t>
  </si>
  <si>
    <t>Programa UNITY · BanCoppel · Accenture AMS · Julio 2026 · Borrador</t>
  </si>
  <si>
    <t>Alimenta E-IN-05 (bases de la estrategia de interoperabilidad) · insumo de E-IN-07 (estrategia completa)</t>
  </si>
  <si>
    <t>Propósito</t>
  </si>
  <si>
    <t>Catálogo maestro de capacidades, patrones y herramientas de la capa de interoperabilidad de UNITY. Sigue un modelo estándar de capacidades de interoperabilidad, adaptado al contexto BanCoppel: dos cores objetivo (Transact T24 y SmartVista BPC), onboarding en Apolo, y el legado PISA/Informix en coexistencia. Es el artefacto de gobierno que acompaña al PPTX de arquitectura y el insumo de convocatoria para los talleres de diseño (workshops).</t>
  </si>
  <si>
    <t>Cómo se completa (celdas a editar)</t>
  </si>
  <si>
    <t>Owner AMS / Accenture</t>
  </si>
  <si>
    <t>Responsable técnico del diseño de la capacidad. Actualmente 'Por asignar' — se completa en el taller de arranque.</t>
  </si>
  <si>
    <t>Owner BanCoppel</t>
  </si>
  <si>
    <t>Contraparte de BanCoppel dueña del negocio/sistema. 'Por asignar' — pendiente de confirmar. NO se han inventado nombres.</t>
  </si>
  <si>
    <t>Estado UNITY</t>
  </si>
  <si>
    <t>Se actualiza por release, con gate de arquitectura antes de SIT (ver notas de gobierno de E-IN-03).</t>
  </si>
  <si>
    <t>Notas UNITY</t>
  </si>
  <si>
    <t>Decisión pendiente o dependencia. Editar conforme avancen los workshops (Pre-Workshop → After Workshop → Cerrado).</t>
  </si>
  <si>
    <t>Semáforo — columna Estado UNITY</t>
  </si>
  <si>
    <t>Existe</t>
  </si>
  <si>
    <t>Capacidad presente y operando en el ecosistema actual (aunque no formalizada para la capa de interop unificada).</t>
  </si>
  <si>
    <t>Parcial</t>
  </si>
  <si>
    <t>Existe de forma fragmentada o en el legado; requiere definición como capacidad unificada UNITY.</t>
  </si>
  <si>
    <t>Gap</t>
  </si>
  <si>
    <t>No existe o no está documentada. Requiere diseño. Varias son escalables a Design Authority.</t>
  </si>
  <si>
    <t>Pendiente DA</t>
  </si>
  <si>
    <t>Decisión de arquitectura no tomada. Corresponde a E-IN-05/E-IN-07 y validación del Design Authority. No se prescribe patrón objetivo.</t>
  </si>
  <si>
    <t>Taxonomía: modelo estándar de interoperabilidad (7 tracks). Pendiente: re-anclar los tracks al modelo de capacidades de soporte propio de UNITY (docs 10 y 12) para trazabilidad — diferido a E-IN-05/E-IN-07. Fuentes UNITY: E-IN-03 (inventario de interfaces), docs 09/12/13 (AS-IS), registro de riesgos (INT-*, ARQ-*).</t>
  </si>
  <si>
    <t>ID</t>
  </si>
  <si>
    <t>Track</t>
  </si>
  <si>
    <t>Área</t>
  </si>
  <si>
    <t>Capacidad</t>
  </si>
  <si>
    <t>Descripción</t>
  </si>
  <si>
    <t>Tipo</t>
  </si>
  <si>
    <t>Plataforma(s)</t>
  </si>
  <si>
    <t>Riesgo asociado</t>
  </si>
  <si>
    <t>Notas UNITY / Decisión pendiente</t>
  </si>
  <si>
    <t>IC-01</t>
  </si>
  <si>
    <t>Kernel &amp; Platform</t>
  </si>
  <si>
    <t>Security</t>
  </si>
  <si>
    <t>Identity &amp; Access Management (IAM)</t>
  </si>
  <si>
    <t>Políticas y tecnologías para gestionar identidades digitales y controlar acceso a recursos: quién accede a qué, bajo qué condiciones y por cuánto tiempo.</t>
  </si>
  <si>
    <t>Capability</t>
  </si>
  <si>
    <t>Transversal</t>
  </si>
  <si>
    <t>INT-01</t>
  </si>
  <si>
    <t>Por asignar</t>
  </si>
  <si>
    <t>Fragmentada entre canales legado. Requiere definición como capacidad unificada de la capa de interop.</t>
  </si>
  <si>
    <t>IC-02</t>
  </si>
  <si>
    <t>Access Token / SSO</t>
  </si>
  <si>
    <t>Identificador digital (JWT) para autenticar/autorizar sin reenviar credenciales; SSO permite un único login para múltiples apps.</t>
  </si>
  <si>
    <t>INT-11</t>
  </si>
  <si>
    <t>INT-11 propone caché de tokens para reducir latencia de Apolo. Sin diseño E2E documentado.</t>
  </si>
  <si>
    <t>IC-03</t>
  </si>
  <si>
    <t>Authentication Services</t>
  </si>
  <si>
    <t>Verificación de identidad antes de otorgar acceso (password, MFA, biometría, token) vía OAuth/OIDC/LDAP.</t>
  </si>
  <si>
    <t>IC-04</t>
  </si>
  <si>
    <t>Authorization Services</t>
  </si>
  <si>
    <t>Determina qué acciones puede ejecutar un usuario autenticado (RBAC/ABAC), integrado con IAM.</t>
  </si>
  <si>
    <t>IC-05</t>
  </si>
  <si>
    <t>Session Services</t>
  </si>
  <si>
    <t>Gestión del estado de autenticación (stateful/stateless-JWT): duración, logout, renovación de token.</t>
  </si>
  <si>
    <t>Replicación de sesión inter-dominio a evaluar (Redis).</t>
  </si>
  <si>
    <t>IC-06</t>
  </si>
  <si>
    <t>Certificate Management</t>
  </si>
  <si>
    <t>Emisión, renovación y revocación de certificados SSL/TLS y de dispositivo.</t>
  </si>
  <si>
    <t>-</t>
  </si>
  <si>
    <t>IC-07</t>
  </si>
  <si>
    <t>Secret Management</t>
  </si>
  <si>
    <t>Protección y rotación de credenciales sensibles (passwords, API keys, certificados).</t>
  </si>
  <si>
    <t>Sin herramienta/vault definido para la capa de interoperabilidad UNITY.</t>
  </si>
  <si>
    <t>IC-08</t>
  </si>
  <si>
    <t>HSM</t>
  </si>
  <si>
    <t>Dispositivo físico para asegurar y gestionar llaves criptográficas (cifrado, firma, autenticación).</t>
  </si>
  <si>
    <t>HSM presente en el stack (doc 12: HSM NIP · Thales).</t>
  </si>
  <si>
    <t>IC-09</t>
  </si>
  <si>
    <t>Vulnerability &amp; Threat Mgmt (VTM)</t>
  </si>
  <si>
    <t>Identificación, evaluación y mitigación de vulnerabilidades y amenazas en sistemas TI (SIEM, pentesting).</t>
  </si>
  <si>
    <t>Capa aislada de pentesting mencionada; sin observabilidad de seguridad E2E.</t>
  </si>
  <si>
    <t>IC-10</t>
  </si>
  <si>
    <t>Crypto Services</t>
  </si>
  <si>
    <t>Signature Ops</t>
  </si>
  <si>
    <t>Generación y verificación de firmas digitales para autenticidad, integridad y no-repudio.</t>
  </si>
  <si>
    <t>IC-11</t>
  </si>
  <si>
    <t>Encryption Ops</t>
  </si>
  <si>
    <t>Cifrado/descifrado de datos en tránsito y en reposo (AES, RSA, ECC).</t>
  </si>
  <si>
    <t>IC-12</t>
  </si>
  <si>
    <t>E2E Encryption</t>
  </si>
  <si>
    <t>Cifrado extremo a extremo donde solo emisor y receptor acceden al dato.</t>
  </si>
  <si>
    <t>IC-13</t>
  </si>
  <si>
    <t>Observability</t>
  </si>
  <si>
    <t>Audit Logging</t>
  </si>
  <si>
    <t>Registro auditable de eventos relevantes del sistema.</t>
  </si>
  <si>
    <t>Pattern</t>
  </si>
  <si>
    <t>IC-14</t>
  </si>
  <si>
    <t>Log Aggregation</t>
  </si>
  <si>
    <t>Recolección y centralización de logs de múltiples fuentes en un repositorio único.</t>
  </si>
  <si>
    <t>Splunk cubre monitoreo técnico (doc 12); sin agregación unificada para la capa de interop.</t>
  </si>
  <si>
    <t>IC-15</t>
  </si>
  <si>
    <t>Distributed Tracing</t>
  </si>
  <si>
    <t>Observación de peticiones a través de un sistema distribuido.</t>
  </si>
  <si>
    <t>Extensión Datadog E2E propuesta en remediación INT-01, sin documentar.</t>
  </si>
  <si>
    <t>IC-16</t>
  </si>
  <si>
    <t>API Health</t>
  </si>
  <si>
    <t>Estado y salud de APIs; valida disponibilidad, performance y corrección funcional.</t>
  </si>
  <si>
    <t>IC-17</t>
  </si>
  <si>
    <t>Health Monitoring</t>
  </si>
  <si>
    <t>Monitoreo continuo del estado y desempeño de los sistemas (preventivo/mantenimiento).</t>
  </si>
  <si>
    <t>IC-18</t>
  </si>
  <si>
    <t>E2E Tracing</t>
  </si>
  <si>
    <t>Trazabilidad completa de un proceso/transacción a lo largo de su ciclo de vida.</t>
  </si>
  <si>
    <t>Núcleo del gap INT-01: sin visión E2E entre 6 protocolos activos.</t>
  </si>
  <si>
    <t>IC-19</t>
  </si>
  <si>
    <t>Metrics / Analytics</t>
  </si>
  <si>
    <t>KPIs de desempeño y salud de aplicaciones y sistemas.</t>
  </si>
  <si>
    <t>IC-20</t>
  </si>
  <si>
    <t>Business / Technical Dashboards</t>
  </si>
  <si>
    <t>Tableros de indicadores de negocio y técnicos en tiempo real.</t>
  </si>
  <si>
    <t>IC-21</t>
  </si>
  <si>
    <t>Alerts</t>
  </si>
  <si>
    <t>Detección de condiciones complejas por regla que dispara acciones.</t>
  </si>
  <si>
    <t>IC-22</t>
  </si>
  <si>
    <t>Feature Flag</t>
  </si>
  <si>
    <t>Activar/desactivar funcionalidades para probar en producción separando despliegue de liberación.</t>
  </si>
  <si>
    <t>IC-23</t>
  </si>
  <si>
    <t>Distributed UUID Services</t>
  </si>
  <si>
    <t>Identificadores únicos de 128 bits sin autoridad central de registro.</t>
  </si>
  <si>
    <t>IC-24</t>
  </si>
  <si>
    <t>Gateway Services</t>
  </si>
  <si>
    <t>Inbound - API Gateway</t>
  </si>
  <si>
    <t>Enruta peticiones a servicios, gestiona autenticación/autorización, transforma datos y aplica políticas (rate limit, caché).</t>
  </si>
  <si>
    <t>Middleware</t>
  </si>
  <si>
    <t>ARQ-09</t>
  </si>
  <si>
    <t>Apigee es proveedor líder actual. EOL 2027 → migrar a MuleSoft.</t>
  </si>
  <si>
    <t>IC-25</t>
  </si>
  <si>
    <t>Outbound - API Gateway</t>
  </si>
  <si>
    <t>Exposición saliente vía DMZ hacia terceros, procesadores de pago e instituciones.</t>
  </si>
  <si>
    <t>Salida vía DMZ + SSG.</t>
  </si>
  <si>
    <t>IC-26</t>
  </si>
  <si>
    <t>File Gateway (SFTP)</t>
  </si>
  <si>
    <t>Transferencia segura de archivos con socios internos/externos (múltiples protocolos y formatos).</t>
  </si>
  <si>
    <t>INT-05</t>
  </si>
  <si>
    <t>SFTP actual (remesas, CECOBAN, batch). Diseño formal de File Gateway pendiente.</t>
  </si>
  <si>
    <t>IC-27</t>
  </si>
  <si>
    <t>Event Gateway</t>
  </si>
  <si>
    <t>Puerta de enlace de eventos entrante/saliente.</t>
  </si>
  <si>
    <t>Sin definición (TBD). Depende de la decisión de arquitectura de eventos (E-IN-05/07 + DA).</t>
  </si>
  <si>
    <t>IC-28</t>
  </si>
  <si>
    <t>OpenBanking Edge</t>
  </si>
  <si>
    <t>Acceso a APIs de Open Banking hacia terceros/agregadores.</t>
  </si>
  <si>
    <t>OpenBanking (#133) sobre Apigee/3scale. EOL 2027.</t>
  </si>
  <si>
    <t>IC-29</t>
  </si>
  <si>
    <t>Sandbox</t>
  </si>
  <si>
    <t>Entorno aislado de pruebas para partners/desarrolladores.</t>
  </si>
  <si>
    <t>IC-30</t>
  </si>
  <si>
    <t>API Management</t>
  </si>
  <si>
    <t>Routing</t>
  </si>
  <si>
    <t>Definición de rutas, métodos y lógica de enrutamiento de peticiones.</t>
  </si>
  <si>
    <t>INT-02</t>
  </si>
  <si>
    <t>Coexistencia Apigee + MuleSoft. INT-02: redespliegues por errores de config (IPs).</t>
  </si>
  <si>
    <t>IC-31</t>
  </si>
  <si>
    <t>API Versioning</t>
  </si>
  <si>
    <t>Gestión y versionado de cambios de API comunicados a consumidores.</t>
  </si>
  <si>
    <t>IC-32</t>
  </si>
  <si>
    <t>Error Handling</t>
  </si>
  <si>
    <t>Anticipación y respuesta a fallos con degradación controlada y feedback significativo.</t>
  </si>
  <si>
    <t>IC-33</t>
  </si>
  <si>
    <t>Lifecycle Management</t>
  </si>
  <si>
    <t>Diseño, desarrollo, despliegue y mantenimiento del ciclo de vida de APIs.</t>
  </si>
  <si>
    <t>IC-34</t>
  </si>
  <si>
    <t>API Manager</t>
  </si>
  <si>
    <t>Herramienta que gestiona y asegura el tráfico de APIs (deploy, escalado, analítica, seguridad).</t>
  </si>
  <si>
    <t>Apigee (actual) → MuleSoft (objetivo).</t>
  </si>
  <si>
    <t>IC-35</t>
  </si>
  <si>
    <t>Developer Portal</t>
  </si>
  <si>
    <t>Portal con documentación, herramientas y ejemplos de uso de APIs.</t>
  </si>
  <si>
    <t>IC-36</t>
  </si>
  <si>
    <t>GraphQL</t>
  </si>
  <si>
    <t>Lenguaje de consulta y runtime para APIs como alternativa a REST.</t>
  </si>
  <si>
    <t>IC-37</t>
  </si>
  <si>
    <t>Coexistencia &amp; Legacy</t>
  </si>
  <si>
    <t>Legacy Adaptors</t>
  </si>
  <si>
    <t>Legacy Adaptor PISA / Informix</t>
  </si>
  <si>
    <t>Wrappers (APIs/microservicios) para exponer servicios de PISA y orquestarlos con Apolo/Transact/SmartVista durante la coexistencia.</t>
  </si>
  <si>
    <t>PISA</t>
  </si>
  <si>
    <t>ARQ-07</t>
  </si>
  <si>
    <t>GAP CRÍTICO. No existe CaaS/adaptador genérico. 13-14k stored procedures sin mapa funcional. Escalar a Design Authority.</t>
  </si>
  <si>
    <t>IC-38</t>
  </si>
  <si>
    <t>SPL sobre Informix — Wrapper</t>
  </si>
  <si>
    <t>Encapsulamiento del acceso a stored procedures (SPL) del core Informix como servicios gestionables.</t>
  </si>
  <si>
    <t>~80 SUDs ejecutan SPL sobre Informix. Prerequisito de viabilidad de decomiso.</t>
  </si>
  <si>
    <t>IC-39</t>
  </si>
  <si>
    <t>IBM BUS → MuleSoft Bridge</t>
  </si>
  <si>
    <t>Puente transitorio entre el ESB actual (IBM BUS/Interact) y MuleSoft durante la migración.</t>
  </si>
  <si>
    <t>ARQ-02</t>
  </si>
  <si>
    <t>Componente transitorio que desacopla el ESB actual durante la migración.</t>
  </si>
  <si>
    <t>IC-40</t>
  </si>
  <si>
    <t>Coexistencia</t>
  </si>
  <si>
    <t>Anti-Corruption Layer (ACL)</t>
  </si>
  <si>
    <t>Capa que aísla el modelo de dominio nuevo del modelo del legado para evitar contaminación.</t>
  </si>
  <si>
    <t>Opción de diseño; la estrategia objetivo la define E-IN-05/07 + DA.</t>
  </si>
  <si>
    <t>IC-41</t>
  </si>
  <si>
    <t>Strangler Pattern</t>
  </si>
  <si>
    <t>Sustitución incremental de capacidades del legado por servicios nuevos hasta poder decomisar.</t>
  </si>
  <si>
    <t>Mencionado como opción de desacople; no adoptado formalmente como estándar.</t>
  </si>
  <si>
    <t>IC-42</t>
  </si>
  <si>
    <t>Interact / Syndein Adaptor</t>
  </si>
  <si>
    <t>Adaptador hacia el middleware de sucursales (OFI, SIWEB) basado en tramas Interact/Syndein.</t>
  </si>
  <si>
    <t>Activo en canales físicos. Sin plan de re-integración documentado.</t>
  </si>
  <si>
    <t>IC-43</t>
  </si>
  <si>
    <t>Distributed Transactions</t>
  </si>
  <si>
    <t>Service Orchestration</t>
  </si>
  <si>
    <t>Service Orchestrator (stateless)</t>
  </si>
  <si>
    <t>Combina dos o más servicios de grano fino en un servicio complejo, straight-through y sin estado.</t>
  </si>
  <si>
    <t>INT-11: Apolo sobre-orquesta (+10 invocaciones encadenadas, hop innecesario).</t>
  </si>
  <si>
    <t>IC-44</t>
  </si>
  <si>
    <t>Choreography</t>
  </si>
  <si>
    <t>Coordinación basada en mensajes/eventos (pub-sub) sin componente central; mejor desacople.</t>
  </si>
  <si>
    <t>Depende de la arquitectura de eventos (pendiente DA).</t>
  </si>
  <si>
    <t>IC-45</t>
  </si>
  <si>
    <t>Store &amp; Forward</t>
  </si>
  <si>
    <t>Programación de acciones futuras con reintentos y manejo de error; continuidad cuando un sistema anfitrión no está disponible.</t>
  </si>
  <si>
    <t>Sin diseño. Relevante para continuidad cuando PISA está en ventana de mantenimiento.</t>
  </si>
  <si>
    <t>IC-46</t>
  </si>
  <si>
    <t>Transaction Mgmt</t>
  </si>
  <si>
    <t>Transaction Consistency (2PC)</t>
  </si>
  <si>
    <t>Algoritmo distribuido que coordina commit/rollback de una transacción atómica entre participantes.</t>
  </si>
  <si>
    <t>ARQ-10</t>
  </si>
  <si>
    <t>Opción de diseño. Con Informix cerca de límites transaccionales, evaluar cuidadosamente.</t>
  </si>
  <si>
    <t>IC-47</t>
  </si>
  <si>
    <t>Transaction Consistency (Saga / Compensation)</t>
  </si>
  <si>
    <t>Transacción que abarca múltiples servicios mediante acciones de compensación (reversos).</t>
  </si>
  <si>
    <t>GAP CRÍTICO. Con dos cores (Transact + SmartVista) + PISA, la atomicidad distribuida no está diseñada. Mecanismo a evaluar en el Design Authority.</t>
  </si>
  <si>
    <t>IC-48</t>
  </si>
  <si>
    <t>Online Administration</t>
  </si>
  <si>
    <t>Identificación de transacciones incompletas y restauración de consistencia (reintentos, rollback, compensación) con consola de operación.</t>
  </si>
  <si>
    <t>IC-49</t>
  </si>
  <si>
    <t>Event Processing</t>
  </si>
  <si>
    <t>Event Messaging</t>
  </si>
  <si>
    <t>Event Streaming</t>
  </si>
  <si>
    <t>Gestión y procesamiento de flujos de eventos en tiempo real.</t>
  </si>
  <si>
    <t>Arquitectura de eventos UNITY no documentada. Plataforma y patrón: decisión pendiente de E-IN-05/07 + Design Authority.</t>
  </si>
  <si>
    <t>IC-50</t>
  </si>
  <si>
    <t>Guaranteed Delivery</t>
  </si>
  <si>
    <t>Entrega confiable de mensajes/eventos (at-least/exactly/at-most-once) ante fallos.</t>
  </si>
  <si>
    <t>IC-51</t>
  </si>
  <si>
    <t>Event Registry</t>
  </si>
  <si>
    <t>Registro de eventos con contexto y estado para auditoría y monitoreo.</t>
  </si>
  <si>
    <t>IC-52</t>
  </si>
  <si>
    <t>Multi-protocol</t>
  </si>
  <si>
    <t>Soporte de varios protocolos de mensajería (Kafka, JMS, AMQP, MQTT, WebSockets).</t>
  </si>
  <si>
    <t>IC-53</t>
  </si>
  <si>
    <t>Event Sourcing</t>
  </si>
  <si>
    <t>Almacena los eventos como fuente única de verdad para reconstruir estado, auditar y depurar.</t>
  </si>
  <si>
    <t>IC-54</t>
  </si>
  <si>
    <t>Complex Event Processing (CEP)</t>
  </si>
  <si>
    <t>Detección de patrones significativos entre eventos en tiempo real.</t>
  </si>
  <si>
    <t>IC-55</t>
  </si>
  <si>
    <t>Event Mesh</t>
  </si>
  <si>
    <t>Arquitectura distribuida que conecta múltiples flujos de eventos entre aplicaciones y líneas de negocio.</t>
  </si>
  <si>
    <t>IC-56</t>
  </si>
  <si>
    <t>Event Monitoring</t>
  </si>
  <si>
    <t>Recolección, análisis y monitoreo de eventos (métricas de uso, eventos perdidos).</t>
  </si>
  <si>
    <t>IC-57</t>
  </si>
  <si>
    <t>Lambda / Kappa</t>
  </si>
  <si>
    <t>Arquitecturas de procesamiento de eventos en tiempo real y batch como pipelines.</t>
  </si>
  <si>
    <t>IC-58</t>
  </si>
  <si>
    <t>Omnichannel &amp; Canales</t>
  </si>
  <si>
    <t>Omnichannel</t>
  </si>
  <si>
    <t>Omnichannel Data Management</t>
  </si>
  <si>
    <t>Almacena y recupera datos capturados en canales vía API, asociados a cada workflow; recarga/autocompleta al retomar navegación.</t>
  </si>
  <si>
    <t>Apolo</t>
  </si>
  <si>
    <t>Reduce abandono en onboarding/originación. Relevante para Apolo.</t>
  </si>
  <si>
    <t>IC-59</t>
  </si>
  <si>
    <t>Process Orchestration (stateful workflow)</t>
  </si>
  <si>
    <t>Secuencia de tareas de un proceso long-running con múltiples actores/canales; contexto con estado.</t>
  </si>
  <si>
    <t>Herramienta de orquestación de procesos por decidir. Decisión pendiente de Design Authority.</t>
  </si>
  <si>
    <t>IC-60</t>
  </si>
  <si>
    <t>Approvals</t>
  </si>
  <si>
    <t>Intercepta servicios que requieren aprobación (auto-confirmación, 4-ojos, supervisor) vía workflow.</t>
  </si>
  <si>
    <t>Relevante para flujos de onboarding CED N4.</t>
  </si>
  <si>
    <t>IC-61</t>
  </si>
  <si>
    <t>Canales</t>
  </si>
  <si>
    <t>CED N4 — Arquitectura Dual</t>
  </si>
  <si>
    <t>Onboarding en Apolo + core transaccional en Transact para Cuenta Efectiva Digital N4.</t>
  </si>
  <si>
    <t>Apolo + Transact</t>
  </si>
  <si>
    <t>Arquitectura dual: Apolo (onboarding) + Transact (core). Integración Apolo↔PISA/Transact en Confianza Baja (T-03/T-04).</t>
  </si>
  <si>
    <t>IC-62</t>
  </si>
  <si>
    <t>Integración Canales Digitales</t>
  </si>
  <si>
    <t>App BanCoppel Móvil, Banca por Internet (BPI), Portal Público hacia el core vía ESB.</t>
  </si>
  <si>
    <t>HTTPS·REST/SOAP/JSON sobre IBM BUS/Interact (L-01, L-02, L-03).</t>
  </si>
  <si>
    <t>IC-63</t>
  </si>
  <si>
    <t>Integración Canales Físicos / OFI</t>
  </si>
  <si>
    <t>OFI y SIWEB hacia core vía Interact/Syndein (tramas).</t>
  </si>
  <si>
    <t>L-04, L-05 del inventario E-IN-03.</t>
  </si>
  <si>
    <t>IC-64</t>
  </si>
  <si>
    <t>Caching</t>
  </si>
  <si>
    <t>Caching / Session Replication</t>
  </si>
  <si>
    <t>Replicación de sesión inter-dominio y caché (probablemente Redis).</t>
  </si>
  <si>
    <t>Caché de tokens propuesta para mitigar latencia de Apolo (INT-11).</t>
  </si>
  <si>
    <t>IC-65</t>
  </si>
  <si>
    <t>Infrastructure</t>
  </si>
  <si>
    <t>Microservices Framework</t>
  </si>
  <si>
    <t>Language Runtimes</t>
  </si>
  <si>
    <t>Entornos de ejecución por lenguaje (Java dominante; Python en evaluación para capa de datos).</t>
  </si>
  <si>
    <t>IC-66</t>
  </si>
  <si>
    <t>Automate Platform Configurations</t>
  </si>
  <si>
    <t>Automatización de configuraciones de plataforma (p.ej. Spring Config Server).</t>
  </si>
  <si>
    <t>INT-02: errores de configuración causan 3 redespliegues por despliegue.</t>
  </si>
  <si>
    <t>IC-67</t>
  </si>
  <si>
    <t>Automated Testing</t>
  </si>
  <si>
    <t>Pruebas automatizadas dentro del framework de microservicios.</t>
  </si>
  <si>
    <t>Sin COE de Testing en Coppel SSFF.</t>
  </si>
  <si>
    <t>IC-68</t>
  </si>
  <si>
    <t>Deployment Strategies</t>
  </si>
  <si>
    <t>Estrategias de despliegue (blue-green, canary) y su automatización.</t>
  </si>
  <si>
    <t>IC-69</t>
  </si>
  <si>
    <t>Service Mesh</t>
  </si>
  <si>
    <t>Malla de servicios para validación de llamadas (p.ej. validación de token) — en evaluación.</t>
  </si>
  <si>
    <t>Service Mesh en evaluación; decisión pendiente de Design Authority.</t>
  </si>
  <si>
    <t>IC-70</t>
  </si>
  <si>
    <t>Resiliency</t>
  </si>
  <si>
    <t>Circuit Breaker</t>
  </si>
  <si>
    <t>Patrón para prevenir fallos en cascada detectando servicios no disponibles.</t>
  </si>
  <si>
    <t>IC-71</t>
  </si>
  <si>
    <t>Chaos Engineering</t>
  </si>
  <si>
    <t>Introducción intencional de fallos para probar resiliencia (Chaos/Conformity Monkey).</t>
  </si>
  <si>
    <t>Tool</t>
  </si>
  <si>
    <t>Modelo conceptual; no implementado. Herramienta por decidir.</t>
  </si>
  <si>
    <t>IC-72</t>
  </si>
  <si>
    <t>Common Business Services</t>
  </si>
  <si>
    <t>Risk Scoring</t>
  </si>
  <si>
    <t>Motor de scoring de riesgo en tiempo real (analítica + IA).</t>
  </si>
  <si>
    <t>SmartVista</t>
  </si>
  <si>
    <t>SmartVista, Motor de Evaluación y TRIAD gestionan riesgo (doc 12); no modelado como capacidad de interop.</t>
  </si>
  <si>
    <t>IC-73</t>
  </si>
  <si>
    <t>Data Delivery</t>
  </si>
  <si>
    <t>Data Catalog &amp; Modeling</t>
  </si>
  <si>
    <t>Data Catalog</t>
  </si>
  <si>
    <t>Repositorio de metadatos para localizar, inventariar, enriquecer y compartir datos entre sistemas.</t>
  </si>
  <si>
    <t>Datos</t>
  </si>
  <si>
    <t>IC-74</t>
  </si>
  <si>
    <t>Metadata Management</t>
  </si>
  <si>
    <t>Gestión de metadatos activos (de pasivo a activo) para alinear 'data as designed' vs operación.</t>
  </si>
  <si>
    <t>IC-75</t>
  </si>
  <si>
    <t>Data Pipelines</t>
  </si>
  <si>
    <t>Stream Data Integration</t>
  </si>
  <si>
    <t>Integración de datos en tiempo real vía pipelines de streaming.</t>
  </si>
  <si>
    <t>Depende de arquitectura de eventos.</t>
  </si>
  <si>
    <t>IC-76</t>
  </si>
  <si>
    <t>Batch Data Integration</t>
  </si>
  <si>
    <t>Procesamiento e integración de grandes volúmenes en lotes programados (CECOBAN, remesas).</t>
  </si>
  <si>
    <t>DataStage + Control-M. INT-05: gobierno batch.</t>
  </si>
  <si>
    <t>IC-77</t>
  </si>
  <si>
    <t>Data Replication</t>
  </si>
  <si>
    <t>Copia y sincronización de datos entre sistemas para disponibilidad y redundancia.</t>
  </si>
  <si>
    <t>IC-78</t>
  </si>
  <si>
    <t>Data Virtualization</t>
  </si>
  <si>
    <t>Acceso y consulta en tiempo real de datos de múltiples fuentes sin moverlos ni replicarlos.</t>
  </si>
  <si>
    <t>IC-79</t>
  </si>
  <si>
    <t>Data Patterns</t>
  </si>
  <si>
    <t>Change Data Capture (CDC)</t>
  </si>
  <si>
    <t>Captura de cambios (insert/update/delete) en una BD para replicarlos o analizarlos.</t>
  </si>
  <si>
    <t>Propuesto para desacople gradual de Informix (ARQ-07). Adopción pendiente DA.</t>
  </si>
  <si>
    <t>IC-80</t>
  </si>
  <si>
    <t>CQRS</t>
  </si>
  <si>
    <t>Separación de operaciones de lectura (query) y escritura (command).</t>
  </si>
  <si>
    <t>IC-81</t>
  </si>
  <si>
    <t>Data Aggregation</t>
  </si>
  <si>
    <t>Recolección, combinación y resumen de datos de fuentes diversas.</t>
  </si>
  <si>
    <t>IC-82</t>
  </si>
  <si>
    <t>MDM / Golden Record</t>
  </si>
  <si>
    <t>ATLAS — Golden Record</t>
  </si>
  <si>
    <t>Master Data Management: registro único de cliente (Golden Record) que alimenta SmartVista y Transact.</t>
  </si>
  <si>
    <t>ATLAS</t>
  </si>
  <si>
    <t>INT-09</t>
  </si>
  <si>
    <t>CRÍTICO. Fase 2 (Sep-2026) condiciona migración TDC R4 (SmartVista). Integración con SmartVista/Transact sin diseñar (T-05/T-06/T-07). Escalar a DA.</t>
  </si>
  <si>
    <t>IC-83</t>
  </si>
  <si>
    <t>DataStage — Re-mapeo de fuentes</t>
  </si>
  <si>
    <t>Re-mapeo de pipelines DataStage cuando Informix deje de ser fuente (post-decomiso).</t>
  </si>
  <si>
    <t>T-17/T-19 en Confianza Baja. Continuidad analítica y regulatoria depende de esto.</t>
  </si>
  <si>
    <t>Resumen del catálogo</t>
  </si>
  <si>
    <t>Por Estado</t>
  </si>
  <si>
    <t>Por Tipo</t>
  </si>
  <si>
    <t>Estado</t>
  </si>
  <si>
    <t>Conteo</t>
  </si>
  <si>
    <t>Total</t>
  </si>
  <si>
    <t>Por Track</t>
  </si>
  <si>
    <t>Los conteos por Estado son la métrica de avance de los talleres: la meta es reducir 'Gap' y 'Pendiente DA' a medida que las decisiones se cierran en el Design Authority.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</si>
</sst>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1"/>
      <color rgb="FF052879"/>
      <name val="Arial"/>
      <charset val="1"/>
    </font>
    <font>
      <sz val="9"/>
      <color rgb="FF7F7F7F"/>
      <name val="Arial"/>
      <charset val="1"/>
    </font>
    <font>
      <b/>
      <sz val="12"/>
      <color rgb="FF052879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196B24"/>
      <name val="Arial"/>
      <charset val="1"/>
    </font>
    <font>
      <b/>
      <sz val="10"/>
      <color rgb="FF7A5B00"/>
      <name val="Arial"/>
      <charset val="1"/>
    </font>
    <font>
      <b/>
      <sz val="10"/>
      <color rgb="FF8A0050"/>
      <name val="Arial"/>
      <charset val="1"/>
    </font>
    <font>
      <b/>
      <sz val="10"/>
      <color rgb="FF0A5E80"/>
      <name val="Arial"/>
      <charset val="1"/>
    </font>
    <font>
      <sz val="8"/>
      <color rgb="FF7F7F7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7A5B00"/>
      <name val="Arial"/>
      <charset val="1"/>
    </font>
    <font>
      <b/>
      <sz val="9"/>
      <color rgb="FF8A0050"/>
      <name val="Arial"/>
      <charset val="1"/>
    </font>
    <font>
      <b/>
      <sz val="9"/>
      <color rgb="FF196B24"/>
      <name val="Arial"/>
      <charset val="1"/>
    </font>
    <font>
      <b/>
      <sz val="9"/>
      <color rgb="FF0A5E80"/>
      <name val="Arial"/>
      <charset val="1"/>
    </font>
    <font>
      <b/>
      <sz val="14"/>
      <color rgb="FF052879"/>
      <name val="Arial"/>
      <charset val="1"/>
    </font>
    <font>
      <b/>
      <sz val="11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52879"/>
        <bgColor rgb="FF333399"/>
      </patternFill>
    </fill>
    <fill>
      <patternFill patternType="solid">
        <fgColor rgb="FFF9EDA7"/>
        <bgColor rgb="FFFCEFB4"/>
      </patternFill>
    </fill>
    <fill>
      <patternFill patternType="solid">
        <fgColor rgb="FFC7E5CD"/>
        <bgColor rgb="FFD8D8D8"/>
      </patternFill>
    </fill>
    <fill>
      <patternFill patternType="solid">
        <fgColor rgb="FFFCEFB4"/>
        <bgColor rgb="FFF9EDA7"/>
      </patternFill>
    </fill>
    <fill>
      <patternFill patternType="solid">
        <fgColor rgb="FFF7C6DF"/>
        <bgColor rgb="FFD8D8D8"/>
      </patternFill>
    </fill>
    <fill>
      <patternFill patternType="solid">
        <fgColor rgb="FFCFE9F5"/>
        <bgColor rgb="FFC7E5CD"/>
      </patternFill>
    </fill>
    <fill>
      <patternFill patternType="solid">
        <fgColor rgb="FFF7F9FF"/>
        <bgColor rgb="FFFFFFFF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8" fillId="5" borderId="0" xfId="0" applyFont="1" applyFill="1" applyAlignment="1">
      <alignment horizontal="center" vertical="top"/>
    </xf>
    <xf numFmtId="0" fontId="9" fillId="6" borderId="0" xfId="0" applyFont="1" applyFill="1" applyAlignment="1">
      <alignment horizontal="center" vertical="top"/>
    </xf>
    <xf numFmtId="0" fontId="10" fillId="7" borderId="0" xfId="0" applyFont="1" applyFill="1" applyAlignment="1">
      <alignment horizontal="center" vertical="top"/>
    </xf>
    <xf numFmtId="0" fontId="12" fillId="2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center" vertical="top"/>
    </xf>
    <xf numFmtId="0" fontId="14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top"/>
    </xf>
    <xf numFmtId="0" fontId="15" fillId="6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9" fillId="0" borderId="0" xfId="0" applyFont="1"/>
    <xf numFmtId="0" fontId="7" fillId="4" borderId="0" xfId="0" applyFont="1" applyFill="1"/>
    <xf numFmtId="0" fontId="20" fillId="0" borderId="0" xfId="0" applyFont="1"/>
    <xf numFmtId="0" fontId="8" fillId="5" borderId="0" xfId="0" applyFont="1" applyFill="1"/>
    <xf numFmtId="0" fontId="9" fillId="6" borderId="0" xfId="0" applyFont="1" applyFill="1"/>
    <xf numFmtId="0" fontId="10" fillId="7" borderId="0" xfId="0" applyFont="1" applyFill="1"/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7A5B00"/>
      <rgbColor rgb="FF8A0050"/>
      <rgbColor rgb="FF008080"/>
      <rgbColor rgb="FFC0C0C0"/>
      <rgbColor rgb="FF7F7F7F"/>
      <rgbColor rgb="FF9999FF"/>
      <rgbColor rgb="FF993366"/>
      <rgbColor rgb="FFFCEFB4"/>
      <rgbColor rgb="FFCFE9F5"/>
      <rgbColor rgb="FF660066"/>
      <rgbColor rgb="FFFF8080"/>
      <rgbColor rgb="FF0A5E80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F"/>
      <rgbColor rgb="FFC7E5CD"/>
      <rgbColor rgb="FFF9EDA7"/>
      <rgbColor rgb="FF99CCFF"/>
      <rgbColor rgb="FFFF99CC"/>
      <rgbColor rgb="FFCC99FF"/>
      <rgbColor rgb="FFF7C6D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287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zoomScaleNormal="100" workbookViewId="0"/>
  </sheetViews>
  <sheetFormatPr defaultColWidth="8.7109375" defaultRowHeight="15"/>
  <cols>
    <col min="1" max="1" width="22" customWidth="1"/>
    <col min="2" max="6" width="16" customWidth="1"/>
  </cols>
  <sheetData>
    <row r="1" spans="1:6" ht="24" customHeight="1">
      <c r="A1" s="26" t="s">
        <v>0</v>
      </c>
      <c r="B1" s="26"/>
      <c r="C1" s="26"/>
      <c r="D1" s="26"/>
      <c r="E1" s="26"/>
      <c r="F1" s="26"/>
    </row>
    <row r="2" spans="1:6" ht="19.5" customHeight="1">
      <c r="A2" s="26"/>
      <c r="B2" s="26"/>
      <c r="C2" s="26"/>
      <c r="D2" s="26"/>
      <c r="E2" s="26"/>
      <c r="F2" s="26"/>
    </row>
    <row r="3" spans="1:6" ht="19.5" customHeight="1">
      <c r="A3" s="26"/>
      <c r="B3" s="26"/>
      <c r="C3" s="26"/>
      <c r="D3" s="26"/>
      <c r="E3" s="26"/>
      <c r="F3" s="26"/>
    </row>
    <row r="4" spans="1:6">
      <c r="A4" s="27" t="s">
        <v>1</v>
      </c>
      <c r="B4" s="27"/>
      <c r="C4" s="27"/>
      <c r="D4" s="27"/>
      <c r="E4" s="27"/>
      <c r="F4" s="27"/>
    </row>
    <row r="5" spans="1:6">
      <c r="A5" s="28" t="s">
        <v>2</v>
      </c>
      <c r="B5" s="28"/>
      <c r="C5" s="28"/>
      <c r="D5" s="28"/>
      <c r="E5" s="28"/>
      <c r="F5" s="28"/>
    </row>
    <row r="6" spans="1:6">
      <c r="A6" s="1" t="s">
        <v>3</v>
      </c>
    </row>
    <row r="7" spans="1:6" ht="60" customHeight="1">
      <c r="A7" s="24" t="s">
        <v>4</v>
      </c>
      <c r="B7" s="24"/>
      <c r="C7" s="24"/>
      <c r="D7" s="24"/>
      <c r="E7" s="24"/>
      <c r="F7" s="24"/>
    </row>
    <row r="8" spans="1:6">
      <c r="A8" s="24"/>
      <c r="B8" s="24"/>
      <c r="C8" s="24"/>
      <c r="D8" s="24"/>
      <c r="E8" s="24"/>
      <c r="F8" s="24"/>
    </row>
    <row r="9" spans="1:6">
      <c r="A9" s="24"/>
      <c r="B9" s="24"/>
      <c r="C9" s="24"/>
      <c r="D9" s="24"/>
      <c r="E9" s="24"/>
      <c r="F9" s="24"/>
    </row>
    <row r="11" spans="1:6">
      <c r="A11" s="1" t="s">
        <v>5</v>
      </c>
    </row>
    <row r="12" spans="1:6" ht="30" customHeight="1">
      <c r="A12" s="2" t="s">
        <v>6</v>
      </c>
      <c r="B12" s="24" t="s">
        <v>7</v>
      </c>
      <c r="C12" s="24"/>
      <c r="D12" s="24"/>
      <c r="E12" s="24"/>
      <c r="F12" s="24"/>
    </row>
    <row r="13" spans="1:6" ht="30" customHeight="1">
      <c r="A13" s="2" t="s">
        <v>8</v>
      </c>
      <c r="B13" s="24" t="s">
        <v>9</v>
      </c>
      <c r="C13" s="24"/>
      <c r="D13" s="24"/>
      <c r="E13" s="24"/>
      <c r="F13" s="24"/>
    </row>
    <row r="14" spans="1:6" ht="30" customHeight="1">
      <c r="A14" s="2" t="s">
        <v>10</v>
      </c>
      <c r="B14" s="24" t="s">
        <v>11</v>
      </c>
      <c r="C14" s="24"/>
      <c r="D14" s="24"/>
      <c r="E14" s="24"/>
      <c r="F14" s="24"/>
    </row>
    <row r="15" spans="1:6" ht="30" customHeight="1">
      <c r="A15" s="2" t="s">
        <v>12</v>
      </c>
      <c r="B15" s="24" t="s">
        <v>13</v>
      </c>
      <c r="C15" s="24"/>
      <c r="D15" s="24"/>
      <c r="E15" s="24"/>
      <c r="F15" s="24"/>
    </row>
    <row r="17" spans="1:6">
      <c r="A17" s="1" t="s">
        <v>14</v>
      </c>
    </row>
    <row r="18" spans="1:6" ht="27.75" customHeight="1">
      <c r="A18" s="3" t="s">
        <v>15</v>
      </c>
      <c r="B18" s="24" t="s">
        <v>16</v>
      </c>
      <c r="C18" s="24"/>
      <c r="D18" s="24"/>
      <c r="E18" s="24"/>
      <c r="F18" s="24"/>
    </row>
    <row r="19" spans="1:6" ht="27.75" customHeight="1">
      <c r="A19" s="4" t="s">
        <v>17</v>
      </c>
      <c r="B19" s="24" t="s">
        <v>18</v>
      </c>
      <c r="C19" s="24"/>
      <c r="D19" s="24"/>
      <c r="E19" s="24"/>
      <c r="F19" s="24"/>
    </row>
    <row r="20" spans="1:6" ht="27.75" customHeight="1">
      <c r="A20" s="5" t="s">
        <v>19</v>
      </c>
      <c r="B20" s="24" t="s">
        <v>20</v>
      </c>
      <c r="C20" s="24"/>
      <c r="D20" s="24"/>
      <c r="E20" s="24"/>
      <c r="F20" s="24"/>
    </row>
    <row r="21" spans="1:6" ht="27.75" customHeight="1">
      <c r="A21" s="6" t="s">
        <v>21</v>
      </c>
      <c r="B21" s="24" t="s">
        <v>22</v>
      </c>
      <c r="C21" s="24"/>
      <c r="D21" s="24"/>
      <c r="E21" s="24"/>
      <c r="F21" s="24"/>
    </row>
    <row r="23" spans="1:6" ht="15" customHeight="1">
      <c r="A23" s="25" t="s">
        <v>23</v>
      </c>
      <c r="B23" s="25"/>
      <c r="C23" s="25"/>
      <c r="D23" s="25"/>
      <c r="E23" s="25"/>
      <c r="F23" s="25"/>
    </row>
    <row r="24" spans="1:6">
      <c r="A24" s="25"/>
      <c r="B24" s="25"/>
      <c r="C24" s="25"/>
      <c r="D24" s="25"/>
      <c r="E24" s="25"/>
      <c r="F24" s="25"/>
    </row>
  </sheetData>
  <mergeCells count="13">
    <mergeCell ref="A1:F3"/>
    <mergeCell ref="A4:F4"/>
    <mergeCell ref="A5:F5"/>
    <mergeCell ref="A7:F9"/>
    <mergeCell ref="B12:F12"/>
    <mergeCell ref="B20:F20"/>
    <mergeCell ref="B21:F21"/>
    <mergeCell ref="A23:F24"/>
    <mergeCell ref="B13:F13"/>
    <mergeCell ref="B14:F14"/>
    <mergeCell ref="B15:F15"/>
    <mergeCell ref="B18:F18"/>
    <mergeCell ref="B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"/>
  <sheetViews>
    <sheetView showGridLines="0" tabSelected="1" zoomScaleNormal="100" workbookViewId="0">
      <pane ySplit="1" topLeftCell="A2" activePane="bottomLeft" state="frozen"/>
      <selection pane="bottomLeft" activeCell="C4" sqref="C4"/>
    </sheetView>
  </sheetViews>
  <sheetFormatPr defaultColWidth="8.7109375" defaultRowHeight="15"/>
  <cols>
    <col min="1" max="1" width="7.5703125" customWidth="1"/>
    <col min="2" max="2" width="19.140625" bestFit="1" customWidth="1"/>
    <col min="3" max="3" width="19.7109375" bestFit="1" customWidth="1"/>
    <col min="4" max="4" width="28" customWidth="1"/>
    <col min="5" max="5" width="48.5703125" customWidth="1"/>
    <col min="6" max="6" width="8.7109375" bestFit="1" customWidth="1"/>
    <col min="7" max="7" width="15.28515625" bestFit="1" customWidth="1"/>
    <col min="8" max="8" width="14.85546875" bestFit="1" customWidth="1"/>
    <col min="9" max="9" width="11" bestFit="1" customWidth="1"/>
    <col min="10" max="10" width="14.42578125" bestFit="1" customWidth="1"/>
    <col min="11" max="11" width="12.85546875" bestFit="1" customWidth="1"/>
    <col min="12" max="12" width="50" customWidth="1"/>
  </cols>
  <sheetData>
    <row r="1" spans="1:12" ht="24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10</v>
      </c>
      <c r="H1" s="7" t="s">
        <v>30</v>
      </c>
      <c r="I1" s="7" t="s">
        <v>31</v>
      </c>
      <c r="J1" s="7" t="s">
        <v>6</v>
      </c>
      <c r="K1" s="7" t="s">
        <v>8</v>
      </c>
      <c r="L1" s="7" t="s">
        <v>32</v>
      </c>
    </row>
    <row r="2" spans="1:12" ht="33">
      <c r="A2" s="8" t="s">
        <v>33</v>
      </c>
      <c r="B2" s="8" t="s">
        <v>34</v>
      </c>
      <c r="C2" s="8" t="s">
        <v>35</v>
      </c>
      <c r="D2" s="8" t="s">
        <v>36</v>
      </c>
      <c r="E2" s="8" t="s">
        <v>37</v>
      </c>
      <c r="F2" s="9" t="s">
        <v>38</v>
      </c>
      <c r="G2" s="10" t="s">
        <v>17</v>
      </c>
      <c r="H2" s="8" t="s">
        <v>39</v>
      </c>
      <c r="I2" s="8" t="s">
        <v>40</v>
      </c>
      <c r="J2" s="8" t="s">
        <v>41</v>
      </c>
      <c r="K2" s="8" t="s">
        <v>41</v>
      </c>
      <c r="L2" s="8" t="s">
        <v>42</v>
      </c>
    </row>
    <row r="3" spans="1:12" ht="33">
      <c r="A3" s="11" t="s">
        <v>43</v>
      </c>
      <c r="B3" s="11" t="s">
        <v>34</v>
      </c>
      <c r="C3" s="11" t="s">
        <v>35</v>
      </c>
      <c r="D3" s="11" t="s">
        <v>44</v>
      </c>
      <c r="E3" s="11" t="s">
        <v>45</v>
      </c>
      <c r="F3" s="12" t="s">
        <v>38</v>
      </c>
      <c r="G3" s="10" t="s">
        <v>17</v>
      </c>
      <c r="H3" s="11" t="s">
        <v>39</v>
      </c>
      <c r="I3" s="11" t="s">
        <v>46</v>
      </c>
      <c r="J3" s="11" t="s">
        <v>41</v>
      </c>
      <c r="K3" s="11" t="s">
        <v>41</v>
      </c>
      <c r="L3" s="11" t="s">
        <v>47</v>
      </c>
    </row>
    <row r="4" spans="1:12" ht="22.5">
      <c r="A4" s="8" t="s">
        <v>48</v>
      </c>
      <c r="B4" s="8" t="s">
        <v>34</v>
      </c>
      <c r="C4" s="8" t="s">
        <v>35</v>
      </c>
      <c r="D4" s="8" t="s">
        <v>49</v>
      </c>
      <c r="E4" s="8" t="s">
        <v>50</v>
      </c>
      <c r="F4" s="9" t="s">
        <v>38</v>
      </c>
      <c r="G4" s="10" t="s">
        <v>17</v>
      </c>
      <c r="H4" s="8" t="s">
        <v>39</v>
      </c>
      <c r="I4" s="8" t="s">
        <v>40</v>
      </c>
      <c r="J4" s="8" t="s">
        <v>41</v>
      </c>
      <c r="K4" s="8" t="s">
        <v>41</v>
      </c>
      <c r="L4" s="8"/>
    </row>
    <row r="5" spans="1:12" ht="22.5">
      <c r="A5" s="11" t="s">
        <v>51</v>
      </c>
      <c r="B5" s="11" t="s">
        <v>34</v>
      </c>
      <c r="C5" s="11" t="s">
        <v>35</v>
      </c>
      <c r="D5" s="11" t="s">
        <v>52</v>
      </c>
      <c r="E5" s="11" t="s">
        <v>53</v>
      </c>
      <c r="F5" s="12" t="s">
        <v>38</v>
      </c>
      <c r="G5" s="10" t="s">
        <v>17</v>
      </c>
      <c r="H5" s="11" t="s">
        <v>39</v>
      </c>
      <c r="I5" s="11" t="s">
        <v>40</v>
      </c>
      <c r="J5" s="11" t="s">
        <v>41</v>
      </c>
      <c r="K5" s="11" t="s">
        <v>41</v>
      </c>
      <c r="L5" s="11"/>
    </row>
    <row r="6" spans="1:12" ht="22.5">
      <c r="A6" s="8" t="s">
        <v>54</v>
      </c>
      <c r="B6" s="8" t="s">
        <v>34</v>
      </c>
      <c r="C6" s="8" t="s">
        <v>35</v>
      </c>
      <c r="D6" s="8" t="s">
        <v>55</v>
      </c>
      <c r="E6" s="8" t="s">
        <v>56</v>
      </c>
      <c r="F6" s="9" t="s">
        <v>38</v>
      </c>
      <c r="G6" s="10" t="s">
        <v>17</v>
      </c>
      <c r="H6" s="8" t="s">
        <v>39</v>
      </c>
      <c r="I6" s="8" t="s">
        <v>46</v>
      </c>
      <c r="J6" s="8" t="s">
        <v>41</v>
      </c>
      <c r="K6" s="8" t="s">
        <v>41</v>
      </c>
      <c r="L6" s="8" t="s">
        <v>57</v>
      </c>
    </row>
    <row r="7" spans="1:12" ht="22.5">
      <c r="A7" s="11" t="s">
        <v>58</v>
      </c>
      <c r="B7" s="11" t="s">
        <v>34</v>
      </c>
      <c r="C7" s="11" t="s">
        <v>35</v>
      </c>
      <c r="D7" s="11" t="s">
        <v>59</v>
      </c>
      <c r="E7" s="11" t="s">
        <v>60</v>
      </c>
      <c r="F7" s="12" t="s">
        <v>38</v>
      </c>
      <c r="G7" s="10" t="s">
        <v>17</v>
      </c>
      <c r="H7" s="11" t="s">
        <v>39</v>
      </c>
      <c r="I7" s="11" t="s">
        <v>61</v>
      </c>
      <c r="J7" s="11" t="s">
        <v>41</v>
      </c>
      <c r="K7" s="11" t="s">
        <v>41</v>
      </c>
      <c r="L7" s="11"/>
    </row>
    <row r="8" spans="1:12" ht="22.5">
      <c r="A8" s="8" t="s">
        <v>62</v>
      </c>
      <c r="B8" s="8" t="s">
        <v>34</v>
      </c>
      <c r="C8" s="8" t="s">
        <v>35</v>
      </c>
      <c r="D8" s="8" t="s">
        <v>63</v>
      </c>
      <c r="E8" s="8" t="s">
        <v>64</v>
      </c>
      <c r="F8" s="9" t="s">
        <v>38</v>
      </c>
      <c r="G8" s="13" t="s">
        <v>19</v>
      </c>
      <c r="H8" s="8" t="s">
        <v>39</v>
      </c>
      <c r="I8" s="8" t="s">
        <v>61</v>
      </c>
      <c r="J8" s="8" t="s">
        <v>41</v>
      </c>
      <c r="K8" s="8" t="s">
        <v>41</v>
      </c>
      <c r="L8" s="8" t="s">
        <v>65</v>
      </c>
    </row>
    <row r="9" spans="1:12" ht="22.5">
      <c r="A9" s="11" t="s">
        <v>66</v>
      </c>
      <c r="B9" s="11" t="s">
        <v>34</v>
      </c>
      <c r="C9" s="11" t="s">
        <v>35</v>
      </c>
      <c r="D9" s="11" t="s">
        <v>67</v>
      </c>
      <c r="E9" s="11" t="s">
        <v>68</v>
      </c>
      <c r="F9" s="12" t="s">
        <v>38</v>
      </c>
      <c r="G9" s="14" t="s">
        <v>15</v>
      </c>
      <c r="H9" s="11" t="s">
        <v>39</v>
      </c>
      <c r="I9" s="11" t="s">
        <v>61</v>
      </c>
      <c r="J9" s="11" t="s">
        <v>41</v>
      </c>
      <c r="K9" s="11" t="s">
        <v>41</v>
      </c>
      <c r="L9" s="11" t="s">
        <v>69</v>
      </c>
    </row>
    <row r="10" spans="1:12" ht="22.5">
      <c r="A10" s="8" t="s">
        <v>70</v>
      </c>
      <c r="B10" s="8" t="s">
        <v>34</v>
      </c>
      <c r="C10" s="8" t="s">
        <v>35</v>
      </c>
      <c r="D10" s="8" t="s">
        <v>71</v>
      </c>
      <c r="E10" s="8" t="s">
        <v>72</v>
      </c>
      <c r="F10" s="9" t="s">
        <v>38</v>
      </c>
      <c r="G10" s="10" t="s">
        <v>17</v>
      </c>
      <c r="H10" s="8" t="s">
        <v>39</v>
      </c>
      <c r="I10" s="8" t="s">
        <v>61</v>
      </c>
      <c r="J10" s="8" t="s">
        <v>41</v>
      </c>
      <c r="K10" s="8" t="s">
        <v>41</v>
      </c>
      <c r="L10" s="8" t="s">
        <v>73</v>
      </c>
    </row>
    <row r="11" spans="1:12" ht="22.5">
      <c r="A11" s="11" t="s">
        <v>74</v>
      </c>
      <c r="B11" s="11" t="s">
        <v>34</v>
      </c>
      <c r="C11" s="11" t="s">
        <v>75</v>
      </c>
      <c r="D11" s="11" t="s">
        <v>76</v>
      </c>
      <c r="E11" s="11" t="s">
        <v>77</v>
      </c>
      <c r="F11" s="12" t="s">
        <v>38</v>
      </c>
      <c r="G11" s="10" t="s">
        <v>17</v>
      </c>
      <c r="H11" s="11" t="s">
        <v>39</v>
      </c>
      <c r="I11" s="11" t="s">
        <v>61</v>
      </c>
      <c r="J11" s="11" t="s">
        <v>41</v>
      </c>
      <c r="K11" s="11" t="s">
        <v>41</v>
      </c>
      <c r="L11" s="11"/>
    </row>
    <row r="12" spans="1:12" ht="22.5">
      <c r="A12" s="8" t="s">
        <v>78</v>
      </c>
      <c r="B12" s="8" t="s">
        <v>34</v>
      </c>
      <c r="C12" s="8" t="s">
        <v>75</v>
      </c>
      <c r="D12" s="8" t="s">
        <v>79</v>
      </c>
      <c r="E12" s="8" t="s">
        <v>80</v>
      </c>
      <c r="F12" s="9" t="s">
        <v>38</v>
      </c>
      <c r="G12" s="10" t="s">
        <v>17</v>
      </c>
      <c r="H12" s="8" t="s">
        <v>39</v>
      </c>
      <c r="I12" s="8" t="s">
        <v>61</v>
      </c>
      <c r="J12" s="8" t="s">
        <v>41</v>
      </c>
      <c r="K12" s="8" t="s">
        <v>41</v>
      </c>
      <c r="L12" s="8"/>
    </row>
    <row r="13" spans="1:12" ht="22.5">
      <c r="A13" s="11" t="s">
        <v>81</v>
      </c>
      <c r="B13" s="11" t="s">
        <v>34</v>
      </c>
      <c r="C13" s="11" t="s">
        <v>75</v>
      </c>
      <c r="D13" s="11" t="s">
        <v>82</v>
      </c>
      <c r="E13" s="11" t="s">
        <v>83</v>
      </c>
      <c r="F13" s="12" t="s">
        <v>38</v>
      </c>
      <c r="G13" s="13" t="s">
        <v>19</v>
      </c>
      <c r="H13" s="11" t="s">
        <v>39</v>
      </c>
      <c r="I13" s="11" t="s">
        <v>61</v>
      </c>
      <c r="J13" s="11" t="s">
        <v>41</v>
      </c>
      <c r="K13" s="11" t="s">
        <v>41</v>
      </c>
      <c r="L13" s="11"/>
    </row>
    <row r="14" spans="1:12">
      <c r="A14" s="8" t="s">
        <v>84</v>
      </c>
      <c r="B14" s="8" t="s">
        <v>34</v>
      </c>
      <c r="C14" s="8" t="s">
        <v>85</v>
      </c>
      <c r="D14" s="8" t="s">
        <v>86</v>
      </c>
      <c r="E14" s="8" t="s">
        <v>87</v>
      </c>
      <c r="F14" s="9" t="s">
        <v>88</v>
      </c>
      <c r="G14" s="10" t="s">
        <v>17</v>
      </c>
      <c r="H14" s="8" t="s">
        <v>39</v>
      </c>
      <c r="I14" s="8" t="s">
        <v>40</v>
      </c>
      <c r="J14" s="8" t="s">
        <v>41</v>
      </c>
      <c r="K14" s="8" t="s">
        <v>41</v>
      </c>
      <c r="L14" s="8"/>
    </row>
    <row r="15" spans="1:12" ht="22.5">
      <c r="A15" s="11" t="s">
        <v>89</v>
      </c>
      <c r="B15" s="11" t="s">
        <v>34</v>
      </c>
      <c r="C15" s="11" t="s">
        <v>85</v>
      </c>
      <c r="D15" s="11" t="s">
        <v>90</v>
      </c>
      <c r="E15" s="11" t="s">
        <v>91</v>
      </c>
      <c r="F15" s="12" t="s">
        <v>88</v>
      </c>
      <c r="G15" s="10" t="s">
        <v>17</v>
      </c>
      <c r="H15" s="11" t="s">
        <v>39</v>
      </c>
      <c r="I15" s="11" t="s">
        <v>40</v>
      </c>
      <c r="J15" s="11" t="s">
        <v>41</v>
      </c>
      <c r="K15" s="11" t="s">
        <v>41</v>
      </c>
      <c r="L15" s="11" t="s">
        <v>92</v>
      </c>
    </row>
    <row r="16" spans="1:12" ht="22.5">
      <c r="A16" s="8" t="s">
        <v>93</v>
      </c>
      <c r="B16" s="8" t="s">
        <v>34</v>
      </c>
      <c r="C16" s="8" t="s">
        <v>85</v>
      </c>
      <c r="D16" s="8" t="s">
        <v>94</v>
      </c>
      <c r="E16" s="8" t="s">
        <v>95</v>
      </c>
      <c r="F16" s="9" t="s">
        <v>88</v>
      </c>
      <c r="G16" s="13" t="s">
        <v>19</v>
      </c>
      <c r="H16" s="8" t="s">
        <v>39</v>
      </c>
      <c r="I16" s="8" t="s">
        <v>40</v>
      </c>
      <c r="J16" s="8" t="s">
        <v>41</v>
      </c>
      <c r="K16" s="8" t="s">
        <v>41</v>
      </c>
      <c r="L16" s="8" t="s">
        <v>96</v>
      </c>
    </row>
    <row r="17" spans="1:12" ht="22.5">
      <c r="A17" s="11" t="s">
        <v>97</v>
      </c>
      <c r="B17" s="11" t="s">
        <v>34</v>
      </c>
      <c r="C17" s="11" t="s">
        <v>85</v>
      </c>
      <c r="D17" s="11" t="s">
        <v>98</v>
      </c>
      <c r="E17" s="11" t="s">
        <v>99</v>
      </c>
      <c r="F17" s="12" t="s">
        <v>88</v>
      </c>
      <c r="G17" s="10" t="s">
        <v>17</v>
      </c>
      <c r="H17" s="11" t="s">
        <v>39</v>
      </c>
      <c r="I17" s="11" t="s">
        <v>46</v>
      </c>
      <c r="J17" s="11" t="s">
        <v>41</v>
      </c>
      <c r="K17" s="11" t="s">
        <v>41</v>
      </c>
      <c r="L17" s="11"/>
    </row>
    <row r="18" spans="1:12" ht="22.5">
      <c r="A18" s="8" t="s">
        <v>100</v>
      </c>
      <c r="B18" s="8" t="s">
        <v>34</v>
      </c>
      <c r="C18" s="8" t="s">
        <v>85</v>
      </c>
      <c r="D18" s="8" t="s">
        <v>101</v>
      </c>
      <c r="E18" s="8" t="s">
        <v>102</v>
      </c>
      <c r="F18" s="9" t="s">
        <v>88</v>
      </c>
      <c r="G18" s="10" t="s">
        <v>17</v>
      </c>
      <c r="H18" s="8" t="s">
        <v>39</v>
      </c>
      <c r="I18" s="8" t="s">
        <v>61</v>
      </c>
      <c r="J18" s="8" t="s">
        <v>41</v>
      </c>
      <c r="K18" s="8" t="s">
        <v>41</v>
      </c>
      <c r="L18" s="8"/>
    </row>
    <row r="19" spans="1:12" ht="22.5">
      <c r="A19" s="11" t="s">
        <v>103</v>
      </c>
      <c r="B19" s="11" t="s">
        <v>34</v>
      </c>
      <c r="C19" s="11" t="s">
        <v>85</v>
      </c>
      <c r="D19" s="11" t="s">
        <v>104</v>
      </c>
      <c r="E19" s="11" t="s">
        <v>105</v>
      </c>
      <c r="F19" s="12" t="s">
        <v>38</v>
      </c>
      <c r="G19" s="13" t="s">
        <v>19</v>
      </c>
      <c r="H19" s="11" t="s">
        <v>39</v>
      </c>
      <c r="I19" s="11" t="s">
        <v>40</v>
      </c>
      <c r="J19" s="11" t="s">
        <v>41</v>
      </c>
      <c r="K19" s="11" t="s">
        <v>41</v>
      </c>
      <c r="L19" s="11" t="s">
        <v>106</v>
      </c>
    </row>
    <row r="20" spans="1:12">
      <c r="A20" s="8" t="s">
        <v>107</v>
      </c>
      <c r="B20" s="8" t="s">
        <v>34</v>
      </c>
      <c r="C20" s="8" t="s">
        <v>85</v>
      </c>
      <c r="D20" s="8" t="s">
        <v>108</v>
      </c>
      <c r="E20" s="8" t="s">
        <v>109</v>
      </c>
      <c r="F20" s="9" t="s">
        <v>38</v>
      </c>
      <c r="G20" s="10" t="s">
        <v>17</v>
      </c>
      <c r="H20" s="8" t="s">
        <v>39</v>
      </c>
      <c r="I20" s="8" t="s">
        <v>61</v>
      </c>
      <c r="J20" s="8" t="s">
        <v>41</v>
      </c>
      <c r="K20" s="8" t="s">
        <v>41</v>
      </c>
      <c r="L20" s="8"/>
    </row>
    <row r="21" spans="1:12" ht="22.5">
      <c r="A21" s="11" t="s">
        <v>110</v>
      </c>
      <c r="B21" s="11" t="s">
        <v>34</v>
      </c>
      <c r="C21" s="11" t="s">
        <v>85</v>
      </c>
      <c r="D21" s="11" t="s">
        <v>111</v>
      </c>
      <c r="E21" s="11" t="s">
        <v>112</v>
      </c>
      <c r="F21" s="12" t="s">
        <v>38</v>
      </c>
      <c r="G21" s="10" t="s">
        <v>17</v>
      </c>
      <c r="H21" s="11" t="s">
        <v>39</v>
      </c>
      <c r="I21" s="11" t="s">
        <v>61</v>
      </c>
      <c r="J21" s="11" t="s">
        <v>41</v>
      </c>
      <c r="K21" s="11" t="s">
        <v>41</v>
      </c>
      <c r="L21" s="11"/>
    </row>
    <row r="22" spans="1:12" ht="22.5">
      <c r="A22" s="8" t="s">
        <v>113</v>
      </c>
      <c r="B22" s="8" t="s">
        <v>34</v>
      </c>
      <c r="C22" s="8" t="s">
        <v>85</v>
      </c>
      <c r="D22" s="8" t="s">
        <v>114</v>
      </c>
      <c r="E22" s="8" t="s">
        <v>115</v>
      </c>
      <c r="F22" s="9" t="s">
        <v>38</v>
      </c>
      <c r="G22" s="10" t="s">
        <v>17</v>
      </c>
      <c r="H22" s="8" t="s">
        <v>39</v>
      </c>
      <c r="I22" s="8" t="s">
        <v>61</v>
      </c>
      <c r="J22" s="8" t="s">
        <v>41</v>
      </c>
      <c r="K22" s="8" t="s">
        <v>41</v>
      </c>
      <c r="L22" s="8"/>
    </row>
    <row r="23" spans="1:12" ht="22.5">
      <c r="A23" s="11" t="s">
        <v>116</v>
      </c>
      <c r="B23" s="11" t="s">
        <v>34</v>
      </c>
      <c r="C23" s="11" t="s">
        <v>85</v>
      </c>
      <c r="D23" s="11" t="s">
        <v>117</v>
      </c>
      <c r="E23" s="11" t="s">
        <v>118</v>
      </c>
      <c r="F23" s="12" t="s">
        <v>38</v>
      </c>
      <c r="G23" s="13" t="s">
        <v>19</v>
      </c>
      <c r="H23" s="11" t="s">
        <v>39</v>
      </c>
      <c r="I23" s="11" t="s">
        <v>61</v>
      </c>
      <c r="J23" s="11" t="s">
        <v>41</v>
      </c>
      <c r="K23" s="11" t="s">
        <v>41</v>
      </c>
      <c r="L23" s="11"/>
    </row>
    <row r="24" spans="1:12" ht="22.5">
      <c r="A24" s="8" t="s">
        <v>119</v>
      </c>
      <c r="B24" s="8" t="s">
        <v>34</v>
      </c>
      <c r="C24" s="8" t="s">
        <v>85</v>
      </c>
      <c r="D24" s="8" t="s">
        <v>120</v>
      </c>
      <c r="E24" s="8" t="s">
        <v>121</v>
      </c>
      <c r="F24" s="9" t="s">
        <v>38</v>
      </c>
      <c r="G24" s="13" t="s">
        <v>19</v>
      </c>
      <c r="H24" s="8" t="s">
        <v>39</v>
      </c>
      <c r="I24" s="8" t="s">
        <v>61</v>
      </c>
      <c r="J24" s="8" t="s">
        <v>41</v>
      </c>
      <c r="K24" s="8" t="s">
        <v>41</v>
      </c>
      <c r="L24" s="8"/>
    </row>
    <row r="25" spans="1:12" ht="33">
      <c r="A25" s="11" t="s">
        <v>122</v>
      </c>
      <c r="B25" s="11" t="s">
        <v>34</v>
      </c>
      <c r="C25" s="11" t="s">
        <v>123</v>
      </c>
      <c r="D25" s="11" t="s">
        <v>124</v>
      </c>
      <c r="E25" s="11" t="s">
        <v>125</v>
      </c>
      <c r="F25" s="12" t="s">
        <v>38</v>
      </c>
      <c r="G25" s="14" t="s">
        <v>15</v>
      </c>
      <c r="H25" s="11" t="s">
        <v>126</v>
      </c>
      <c r="I25" s="11" t="s">
        <v>127</v>
      </c>
      <c r="J25" s="11" t="s">
        <v>41</v>
      </c>
      <c r="K25" s="11" t="s">
        <v>41</v>
      </c>
      <c r="L25" s="11" t="s">
        <v>128</v>
      </c>
    </row>
    <row r="26" spans="1:12" ht="22.5">
      <c r="A26" s="8" t="s">
        <v>129</v>
      </c>
      <c r="B26" s="8" t="s">
        <v>34</v>
      </c>
      <c r="C26" s="8" t="s">
        <v>123</v>
      </c>
      <c r="D26" s="8" t="s">
        <v>130</v>
      </c>
      <c r="E26" s="8" t="s">
        <v>131</v>
      </c>
      <c r="F26" s="9" t="s">
        <v>38</v>
      </c>
      <c r="G26" s="14" t="s">
        <v>15</v>
      </c>
      <c r="H26" s="8" t="s">
        <v>126</v>
      </c>
      <c r="I26" s="8" t="s">
        <v>127</v>
      </c>
      <c r="J26" s="8" t="s">
        <v>41</v>
      </c>
      <c r="K26" s="8" t="s">
        <v>41</v>
      </c>
      <c r="L26" s="8" t="s">
        <v>132</v>
      </c>
    </row>
    <row r="27" spans="1:12" ht="22.5">
      <c r="A27" s="11" t="s">
        <v>133</v>
      </c>
      <c r="B27" s="11" t="s">
        <v>34</v>
      </c>
      <c r="C27" s="11" t="s">
        <v>123</v>
      </c>
      <c r="D27" s="11" t="s">
        <v>134</v>
      </c>
      <c r="E27" s="11" t="s">
        <v>135</v>
      </c>
      <c r="F27" s="12" t="s">
        <v>38</v>
      </c>
      <c r="G27" s="14" t="s">
        <v>15</v>
      </c>
      <c r="H27" s="11" t="s">
        <v>126</v>
      </c>
      <c r="I27" s="11" t="s">
        <v>136</v>
      </c>
      <c r="J27" s="11" t="s">
        <v>41</v>
      </c>
      <c r="K27" s="11" t="s">
        <v>41</v>
      </c>
      <c r="L27" s="11" t="s">
        <v>137</v>
      </c>
    </row>
    <row r="28" spans="1:12" ht="22.5">
      <c r="A28" s="8" t="s">
        <v>138</v>
      </c>
      <c r="B28" s="8" t="s">
        <v>34</v>
      </c>
      <c r="C28" s="8" t="s">
        <v>123</v>
      </c>
      <c r="D28" s="8" t="s">
        <v>139</v>
      </c>
      <c r="E28" s="8" t="s">
        <v>140</v>
      </c>
      <c r="F28" s="9" t="s">
        <v>38</v>
      </c>
      <c r="G28" s="15" t="s">
        <v>21</v>
      </c>
      <c r="H28" s="8" t="s">
        <v>126</v>
      </c>
      <c r="I28" s="8" t="s">
        <v>40</v>
      </c>
      <c r="J28" s="8" t="s">
        <v>41</v>
      </c>
      <c r="K28" s="8" t="s">
        <v>41</v>
      </c>
      <c r="L28" s="8" t="s">
        <v>141</v>
      </c>
    </row>
    <row r="29" spans="1:12" ht="22.5">
      <c r="A29" s="11" t="s">
        <v>142</v>
      </c>
      <c r="B29" s="11" t="s">
        <v>34</v>
      </c>
      <c r="C29" s="11" t="s">
        <v>123</v>
      </c>
      <c r="D29" s="11" t="s">
        <v>143</v>
      </c>
      <c r="E29" s="11" t="s">
        <v>144</v>
      </c>
      <c r="F29" s="12" t="s">
        <v>38</v>
      </c>
      <c r="G29" s="14" t="s">
        <v>15</v>
      </c>
      <c r="H29" s="11" t="s">
        <v>126</v>
      </c>
      <c r="I29" s="11" t="s">
        <v>127</v>
      </c>
      <c r="J29" s="11" t="s">
        <v>41</v>
      </c>
      <c r="K29" s="11" t="s">
        <v>41</v>
      </c>
      <c r="L29" s="11" t="s">
        <v>145</v>
      </c>
    </row>
    <row r="30" spans="1:12">
      <c r="A30" s="8" t="s">
        <v>146</v>
      </c>
      <c r="B30" s="8" t="s">
        <v>34</v>
      </c>
      <c r="C30" s="8" t="s">
        <v>123</v>
      </c>
      <c r="D30" s="8" t="s">
        <v>147</v>
      </c>
      <c r="E30" s="8" t="s">
        <v>148</v>
      </c>
      <c r="F30" s="9" t="s">
        <v>38</v>
      </c>
      <c r="G30" s="13" t="s">
        <v>19</v>
      </c>
      <c r="H30" s="8" t="s">
        <v>126</v>
      </c>
      <c r="I30" s="8" t="s">
        <v>61</v>
      </c>
      <c r="J30" s="8" t="s">
        <v>41</v>
      </c>
      <c r="K30" s="8" t="s">
        <v>41</v>
      </c>
      <c r="L30" s="8"/>
    </row>
    <row r="31" spans="1:12" ht="22.5">
      <c r="A31" s="11" t="s">
        <v>149</v>
      </c>
      <c r="B31" s="11" t="s">
        <v>34</v>
      </c>
      <c r="C31" s="11" t="s">
        <v>150</v>
      </c>
      <c r="D31" s="11" t="s">
        <v>151</v>
      </c>
      <c r="E31" s="11" t="s">
        <v>152</v>
      </c>
      <c r="F31" s="12" t="s">
        <v>38</v>
      </c>
      <c r="G31" s="14" t="s">
        <v>15</v>
      </c>
      <c r="H31" s="11" t="s">
        <v>126</v>
      </c>
      <c r="I31" s="11" t="s">
        <v>153</v>
      </c>
      <c r="J31" s="11" t="s">
        <v>41</v>
      </c>
      <c r="K31" s="11" t="s">
        <v>41</v>
      </c>
      <c r="L31" s="11" t="s">
        <v>154</v>
      </c>
    </row>
    <row r="32" spans="1:12" ht="22.5">
      <c r="A32" s="8" t="s">
        <v>155</v>
      </c>
      <c r="B32" s="8" t="s">
        <v>34</v>
      </c>
      <c r="C32" s="8" t="s">
        <v>150</v>
      </c>
      <c r="D32" s="8" t="s">
        <v>156</v>
      </c>
      <c r="E32" s="8" t="s">
        <v>157</v>
      </c>
      <c r="F32" s="9" t="s">
        <v>38</v>
      </c>
      <c r="G32" s="10" t="s">
        <v>17</v>
      </c>
      <c r="H32" s="8" t="s">
        <v>126</v>
      </c>
      <c r="I32" s="8" t="s">
        <v>61</v>
      </c>
      <c r="J32" s="8" t="s">
        <v>41</v>
      </c>
      <c r="K32" s="8" t="s">
        <v>41</v>
      </c>
      <c r="L32" s="8"/>
    </row>
    <row r="33" spans="1:12" ht="22.5">
      <c r="A33" s="11" t="s">
        <v>158</v>
      </c>
      <c r="B33" s="11" t="s">
        <v>34</v>
      </c>
      <c r="C33" s="11" t="s">
        <v>150</v>
      </c>
      <c r="D33" s="11" t="s">
        <v>159</v>
      </c>
      <c r="E33" s="11" t="s">
        <v>160</v>
      </c>
      <c r="F33" s="12" t="s">
        <v>38</v>
      </c>
      <c r="G33" s="10" t="s">
        <v>17</v>
      </c>
      <c r="H33" s="11" t="s">
        <v>126</v>
      </c>
      <c r="I33" s="11" t="s">
        <v>153</v>
      </c>
      <c r="J33" s="11" t="s">
        <v>41</v>
      </c>
      <c r="K33" s="11" t="s">
        <v>41</v>
      </c>
      <c r="L33" s="11"/>
    </row>
    <row r="34" spans="1:12" ht="22.5">
      <c r="A34" s="8" t="s">
        <v>161</v>
      </c>
      <c r="B34" s="8" t="s">
        <v>34</v>
      </c>
      <c r="C34" s="8" t="s">
        <v>150</v>
      </c>
      <c r="D34" s="8" t="s">
        <v>162</v>
      </c>
      <c r="E34" s="8" t="s">
        <v>163</v>
      </c>
      <c r="F34" s="9" t="s">
        <v>38</v>
      </c>
      <c r="G34" s="10" t="s">
        <v>17</v>
      </c>
      <c r="H34" s="8" t="s">
        <v>126</v>
      </c>
      <c r="I34" s="8" t="s">
        <v>127</v>
      </c>
      <c r="J34" s="8" t="s">
        <v>41</v>
      </c>
      <c r="K34" s="8" t="s">
        <v>41</v>
      </c>
      <c r="L34" s="8"/>
    </row>
    <row r="35" spans="1:12" ht="22.5">
      <c r="A35" s="11" t="s">
        <v>164</v>
      </c>
      <c r="B35" s="11" t="s">
        <v>34</v>
      </c>
      <c r="C35" s="11" t="s">
        <v>150</v>
      </c>
      <c r="D35" s="11" t="s">
        <v>165</v>
      </c>
      <c r="E35" s="11" t="s">
        <v>166</v>
      </c>
      <c r="F35" s="12" t="s">
        <v>38</v>
      </c>
      <c r="G35" s="14" t="s">
        <v>15</v>
      </c>
      <c r="H35" s="11" t="s">
        <v>126</v>
      </c>
      <c r="I35" s="11" t="s">
        <v>127</v>
      </c>
      <c r="J35" s="11" t="s">
        <v>41</v>
      </c>
      <c r="K35" s="11" t="s">
        <v>41</v>
      </c>
      <c r="L35" s="11" t="s">
        <v>167</v>
      </c>
    </row>
    <row r="36" spans="1:12" ht="22.5">
      <c r="A36" s="8" t="s">
        <v>168</v>
      </c>
      <c r="B36" s="8" t="s">
        <v>34</v>
      </c>
      <c r="C36" s="8" t="s">
        <v>150</v>
      </c>
      <c r="D36" s="8" t="s">
        <v>169</v>
      </c>
      <c r="E36" s="8" t="s">
        <v>170</v>
      </c>
      <c r="F36" s="9" t="s">
        <v>38</v>
      </c>
      <c r="G36" s="13" t="s">
        <v>19</v>
      </c>
      <c r="H36" s="8" t="s">
        <v>126</v>
      </c>
      <c r="I36" s="8" t="s">
        <v>61</v>
      </c>
      <c r="J36" s="8" t="s">
        <v>41</v>
      </c>
      <c r="K36" s="8" t="s">
        <v>41</v>
      </c>
      <c r="L36" s="8"/>
    </row>
    <row r="37" spans="1:12" ht="22.5">
      <c r="A37" s="11" t="s">
        <v>171</v>
      </c>
      <c r="B37" s="11" t="s">
        <v>34</v>
      </c>
      <c r="C37" s="11" t="s">
        <v>150</v>
      </c>
      <c r="D37" s="11" t="s">
        <v>172</v>
      </c>
      <c r="E37" s="11" t="s">
        <v>173</v>
      </c>
      <c r="F37" s="12" t="s">
        <v>38</v>
      </c>
      <c r="G37" s="13" t="s">
        <v>19</v>
      </c>
      <c r="H37" s="11" t="s">
        <v>126</v>
      </c>
      <c r="I37" s="11" t="s">
        <v>61</v>
      </c>
      <c r="J37" s="11" t="s">
        <v>41</v>
      </c>
      <c r="K37" s="11" t="s">
        <v>41</v>
      </c>
      <c r="L37" s="11"/>
    </row>
    <row r="38" spans="1:12" ht="33">
      <c r="A38" s="8" t="s">
        <v>174</v>
      </c>
      <c r="B38" s="8" t="s">
        <v>175</v>
      </c>
      <c r="C38" s="8" t="s">
        <v>176</v>
      </c>
      <c r="D38" s="8" t="s">
        <v>177</v>
      </c>
      <c r="E38" s="8" t="s">
        <v>178</v>
      </c>
      <c r="F38" s="9" t="s">
        <v>38</v>
      </c>
      <c r="G38" s="13" t="s">
        <v>19</v>
      </c>
      <c r="H38" s="8" t="s">
        <v>179</v>
      </c>
      <c r="I38" s="8" t="s">
        <v>180</v>
      </c>
      <c r="J38" s="8" t="s">
        <v>41</v>
      </c>
      <c r="K38" s="8" t="s">
        <v>41</v>
      </c>
      <c r="L38" s="8" t="s">
        <v>181</v>
      </c>
    </row>
    <row r="39" spans="1:12" ht="22.5">
      <c r="A39" s="11" t="s">
        <v>182</v>
      </c>
      <c r="B39" s="11" t="s">
        <v>175</v>
      </c>
      <c r="C39" s="11" t="s">
        <v>176</v>
      </c>
      <c r="D39" s="11" t="s">
        <v>183</v>
      </c>
      <c r="E39" s="11" t="s">
        <v>184</v>
      </c>
      <c r="F39" s="12" t="s">
        <v>88</v>
      </c>
      <c r="G39" s="13" t="s">
        <v>19</v>
      </c>
      <c r="H39" s="11" t="s">
        <v>179</v>
      </c>
      <c r="I39" s="11" t="s">
        <v>180</v>
      </c>
      <c r="J39" s="11" t="s">
        <v>41</v>
      </c>
      <c r="K39" s="11" t="s">
        <v>41</v>
      </c>
      <c r="L39" s="11" t="s">
        <v>185</v>
      </c>
    </row>
    <row r="40" spans="1:12" ht="22.5">
      <c r="A40" s="8" t="s">
        <v>186</v>
      </c>
      <c r="B40" s="8" t="s">
        <v>175</v>
      </c>
      <c r="C40" s="8" t="s">
        <v>176</v>
      </c>
      <c r="D40" s="8" t="s">
        <v>187</v>
      </c>
      <c r="E40" s="8" t="s">
        <v>188</v>
      </c>
      <c r="F40" s="9" t="s">
        <v>88</v>
      </c>
      <c r="G40" s="10" t="s">
        <v>17</v>
      </c>
      <c r="H40" s="8" t="s">
        <v>126</v>
      </c>
      <c r="I40" s="8" t="s">
        <v>189</v>
      </c>
      <c r="J40" s="8" t="s">
        <v>41</v>
      </c>
      <c r="K40" s="8" t="s">
        <v>41</v>
      </c>
      <c r="L40" s="8" t="s">
        <v>190</v>
      </c>
    </row>
    <row r="41" spans="1:12" ht="22.5">
      <c r="A41" s="11" t="s">
        <v>191</v>
      </c>
      <c r="B41" s="11" t="s">
        <v>175</v>
      </c>
      <c r="C41" s="11" t="s">
        <v>192</v>
      </c>
      <c r="D41" s="11" t="s">
        <v>193</v>
      </c>
      <c r="E41" s="11" t="s">
        <v>194</v>
      </c>
      <c r="F41" s="12" t="s">
        <v>88</v>
      </c>
      <c r="G41" s="15" t="s">
        <v>21</v>
      </c>
      <c r="H41" s="11" t="s">
        <v>179</v>
      </c>
      <c r="I41" s="11" t="s">
        <v>189</v>
      </c>
      <c r="J41" s="11" t="s">
        <v>41</v>
      </c>
      <c r="K41" s="11" t="s">
        <v>41</v>
      </c>
      <c r="L41" s="11" t="s">
        <v>195</v>
      </c>
    </row>
    <row r="42" spans="1:12" ht="22.5">
      <c r="A42" s="8" t="s">
        <v>196</v>
      </c>
      <c r="B42" s="8" t="s">
        <v>175</v>
      </c>
      <c r="C42" s="8" t="s">
        <v>192</v>
      </c>
      <c r="D42" s="8" t="s">
        <v>197</v>
      </c>
      <c r="E42" s="8" t="s">
        <v>198</v>
      </c>
      <c r="F42" s="9" t="s">
        <v>88</v>
      </c>
      <c r="G42" s="15" t="s">
        <v>21</v>
      </c>
      <c r="H42" s="8" t="s">
        <v>179</v>
      </c>
      <c r="I42" s="8" t="s">
        <v>180</v>
      </c>
      <c r="J42" s="8" t="s">
        <v>41</v>
      </c>
      <c r="K42" s="8" t="s">
        <v>41</v>
      </c>
      <c r="L42" s="8" t="s">
        <v>199</v>
      </c>
    </row>
    <row r="43" spans="1:12" ht="22.5">
      <c r="A43" s="11" t="s">
        <v>200</v>
      </c>
      <c r="B43" s="11" t="s">
        <v>175</v>
      </c>
      <c r="C43" s="11" t="s">
        <v>192</v>
      </c>
      <c r="D43" s="11" t="s">
        <v>201</v>
      </c>
      <c r="E43" s="11" t="s">
        <v>202</v>
      </c>
      <c r="F43" s="12" t="s">
        <v>38</v>
      </c>
      <c r="G43" s="14" t="s">
        <v>15</v>
      </c>
      <c r="H43" s="11" t="s">
        <v>126</v>
      </c>
      <c r="I43" s="11" t="s">
        <v>180</v>
      </c>
      <c r="J43" s="11" t="s">
        <v>41</v>
      </c>
      <c r="K43" s="11" t="s">
        <v>41</v>
      </c>
      <c r="L43" s="11" t="s">
        <v>203</v>
      </c>
    </row>
    <row r="44" spans="1:12" ht="22.5">
      <c r="A44" s="8" t="s">
        <v>204</v>
      </c>
      <c r="B44" s="8" t="s">
        <v>205</v>
      </c>
      <c r="C44" s="8" t="s">
        <v>206</v>
      </c>
      <c r="D44" s="8" t="s">
        <v>207</v>
      </c>
      <c r="E44" s="8" t="s">
        <v>208</v>
      </c>
      <c r="F44" s="9" t="s">
        <v>38</v>
      </c>
      <c r="G44" s="10" t="s">
        <v>17</v>
      </c>
      <c r="H44" s="8" t="s">
        <v>126</v>
      </c>
      <c r="I44" s="8" t="s">
        <v>46</v>
      </c>
      <c r="J44" s="8" t="s">
        <v>41</v>
      </c>
      <c r="K44" s="8" t="s">
        <v>41</v>
      </c>
      <c r="L44" s="8" t="s">
        <v>209</v>
      </c>
    </row>
    <row r="45" spans="1:12" ht="22.5">
      <c r="A45" s="11" t="s">
        <v>210</v>
      </c>
      <c r="B45" s="11" t="s">
        <v>205</v>
      </c>
      <c r="C45" s="11" t="s">
        <v>206</v>
      </c>
      <c r="D45" s="11" t="s">
        <v>211</v>
      </c>
      <c r="E45" s="11" t="s">
        <v>212</v>
      </c>
      <c r="F45" s="12" t="s">
        <v>88</v>
      </c>
      <c r="G45" s="15" t="s">
        <v>21</v>
      </c>
      <c r="H45" s="11" t="s">
        <v>126</v>
      </c>
      <c r="I45" s="11" t="s">
        <v>40</v>
      </c>
      <c r="J45" s="11" t="s">
        <v>41</v>
      </c>
      <c r="K45" s="11" t="s">
        <v>41</v>
      </c>
      <c r="L45" s="11" t="s">
        <v>213</v>
      </c>
    </row>
    <row r="46" spans="1:12" ht="33">
      <c r="A46" s="8" t="s">
        <v>214</v>
      </c>
      <c r="B46" s="8" t="s">
        <v>205</v>
      </c>
      <c r="C46" s="8" t="s">
        <v>206</v>
      </c>
      <c r="D46" s="8" t="s">
        <v>215</v>
      </c>
      <c r="E46" s="8" t="s">
        <v>216</v>
      </c>
      <c r="F46" s="9" t="s">
        <v>38</v>
      </c>
      <c r="G46" s="13" t="s">
        <v>19</v>
      </c>
      <c r="H46" s="8" t="s">
        <v>126</v>
      </c>
      <c r="I46" s="8" t="s">
        <v>189</v>
      </c>
      <c r="J46" s="8" t="s">
        <v>41</v>
      </c>
      <c r="K46" s="8" t="s">
        <v>41</v>
      </c>
      <c r="L46" s="8" t="s">
        <v>217</v>
      </c>
    </row>
    <row r="47" spans="1:12" ht="22.5">
      <c r="A47" s="11" t="s">
        <v>218</v>
      </c>
      <c r="B47" s="11" t="s">
        <v>205</v>
      </c>
      <c r="C47" s="11" t="s">
        <v>219</v>
      </c>
      <c r="D47" s="11" t="s">
        <v>220</v>
      </c>
      <c r="E47" s="11" t="s">
        <v>221</v>
      </c>
      <c r="F47" s="12" t="s">
        <v>88</v>
      </c>
      <c r="G47" s="15" t="s">
        <v>21</v>
      </c>
      <c r="H47" s="11" t="s">
        <v>39</v>
      </c>
      <c r="I47" s="11" t="s">
        <v>222</v>
      </c>
      <c r="J47" s="11" t="s">
        <v>41</v>
      </c>
      <c r="K47" s="11" t="s">
        <v>41</v>
      </c>
      <c r="L47" s="11" t="s">
        <v>223</v>
      </c>
    </row>
    <row r="48" spans="1:12" ht="33">
      <c r="A48" s="8" t="s">
        <v>224</v>
      </c>
      <c r="B48" s="8" t="s">
        <v>205</v>
      </c>
      <c r="C48" s="8" t="s">
        <v>219</v>
      </c>
      <c r="D48" s="8" t="s">
        <v>225</v>
      </c>
      <c r="E48" s="8" t="s">
        <v>226</v>
      </c>
      <c r="F48" s="9" t="s">
        <v>88</v>
      </c>
      <c r="G48" s="13" t="s">
        <v>19</v>
      </c>
      <c r="H48" s="8" t="s">
        <v>39</v>
      </c>
      <c r="I48" s="8" t="s">
        <v>222</v>
      </c>
      <c r="J48" s="8" t="s">
        <v>41</v>
      </c>
      <c r="K48" s="8" t="s">
        <v>41</v>
      </c>
      <c r="L48" s="8" t="s">
        <v>227</v>
      </c>
    </row>
    <row r="49" spans="1:12" ht="33">
      <c r="A49" s="11" t="s">
        <v>228</v>
      </c>
      <c r="B49" s="11" t="s">
        <v>205</v>
      </c>
      <c r="C49" s="11" t="s">
        <v>219</v>
      </c>
      <c r="D49" s="11" t="s">
        <v>229</v>
      </c>
      <c r="E49" s="11" t="s">
        <v>230</v>
      </c>
      <c r="F49" s="12" t="s">
        <v>38</v>
      </c>
      <c r="G49" s="13" t="s">
        <v>19</v>
      </c>
      <c r="H49" s="11" t="s">
        <v>39</v>
      </c>
      <c r="I49" s="11" t="s">
        <v>222</v>
      </c>
      <c r="J49" s="11" t="s">
        <v>41</v>
      </c>
      <c r="K49" s="11" t="s">
        <v>41</v>
      </c>
      <c r="L49" s="11"/>
    </row>
    <row r="50" spans="1:12" ht="22.5">
      <c r="A50" s="8" t="s">
        <v>231</v>
      </c>
      <c r="B50" s="8" t="s">
        <v>232</v>
      </c>
      <c r="C50" s="8" t="s">
        <v>233</v>
      </c>
      <c r="D50" s="8" t="s">
        <v>234</v>
      </c>
      <c r="E50" s="8" t="s">
        <v>235</v>
      </c>
      <c r="F50" s="9" t="s">
        <v>38</v>
      </c>
      <c r="G50" s="15" t="s">
        <v>21</v>
      </c>
      <c r="H50" s="8" t="s">
        <v>126</v>
      </c>
      <c r="I50" s="8" t="s">
        <v>40</v>
      </c>
      <c r="J50" s="8" t="s">
        <v>41</v>
      </c>
      <c r="K50" s="8" t="s">
        <v>41</v>
      </c>
      <c r="L50" s="8" t="s">
        <v>236</v>
      </c>
    </row>
    <row r="51" spans="1:12" ht="22.5">
      <c r="A51" s="11" t="s">
        <v>237</v>
      </c>
      <c r="B51" s="11" t="s">
        <v>232</v>
      </c>
      <c r="C51" s="11" t="s">
        <v>233</v>
      </c>
      <c r="D51" s="11" t="s">
        <v>238</v>
      </c>
      <c r="E51" s="11" t="s">
        <v>239</v>
      </c>
      <c r="F51" s="12" t="s">
        <v>88</v>
      </c>
      <c r="G51" s="15" t="s">
        <v>21</v>
      </c>
      <c r="H51" s="11" t="s">
        <v>126</v>
      </c>
      <c r="I51" s="11" t="s">
        <v>40</v>
      </c>
      <c r="J51" s="11" t="s">
        <v>41</v>
      </c>
      <c r="K51" s="11" t="s">
        <v>41</v>
      </c>
      <c r="L51" s="11"/>
    </row>
    <row r="52" spans="1:12" ht="22.5">
      <c r="A52" s="8" t="s">
        <v>240</v>
      </c>
      <c r="B52" s="8" t="s">
        <v>232</v>
      </c>
      <c r="C52" s="8" t="s">
        <v>233</v>
      </c>
      <c r="D52" s="8" t="s">
        <v>241</v>
      </c>
      <c r="E52" s="8" t="s">
        <v>242</v>
      </c>
      <c r="F52" s="9" t="s">
        <v>38</v>
      </c>
      <c r="G52" s="15" t="s">
        <v>21</v>
      </c>
      <c r="H52" s="8" t="s">
        <v>126</v>
      </c>
      <c r="I52" s="8" t="s">
        <v>40</v>
      </c>
      <c r="J52" s="8" t="s">
        <v>41</v>
      </c>
      <c r="K52" s="8" t="s">
        <v>41</v>
      </c>
      <c r="L52" s="8"/>
    </row>
    <row r="53" spans="1:12" ht="22.5">
      <c r="A53" s="11" t="s">
        <v>243</v>
      </c>
      <c r="B53" s="11" t="s">
        <v>232</v>
      </c>
      <c r="C53" s="11" t="s">
        <v>233</v>
      </c>
      <c r="D53" s="11" t="s">
        <v>244</v>
      </c>
      <c r="E53" s="11" t="s">
        <v>245</v>
      </c>
      <c r="F53" s="12" t="s">
        <v>38</v>
      </c>
      <c r="G53" s="15" t="s">
        <v>21</v>
      </c>
      <c r="H53" s="11" t="s">
        <v>126</v>
      </c>
      <c r="I53" s="11" t="s">
        <v>40</v>
      </c>
      <c r="J53" s="11" t="s">
        <v>41</v>
      </c>
      <c r="K53" s="11" t="s">
        <v>41</v>
      </c>
      <c r="L53" s="11"/>
    </row>
    <row r="54" spans="1:12" ht="22.5">
      <c r="A54" s="8" t="s">
        <v>246</v>
      </c>
      <c r="B54" s="8" t="s">
        <v>232</v>
      </c>
      <c r="C54" s="8" t="s">
        <v>233</v>
      </c>
      <c r="D54" s="8" t="s">
        <v>247</v>
      </c>
      <c r="E54" s="8" t="s">
        <v>248</v>
      </c>
      <c r="F54" s="9" t="s">
        <v>88</v>
      </c>
      <c r="G54" s="15" t="s">
        <v>21</v>
      </c>
      <c r="H54" s="8" t="s">
        <v>126</v>
      </c>
      <c r="I54" s="8" t="s">
        <v>40</v>
      </c>
      <c r="J54" s="8" t="s">
        <v>41</v>
      </c>
      <c r="K54" s="8" t="s">
        <v>41</v>
      </c>
      <c r="L54" s="8"/>
    </row>
    <row r="55" spans="1:12" ht="22.5">
      <c r="A55" s="11" t="s">
        <v>249</v>
      </c>
      <c r="B55" s="11" t="s">
        <v>232</v>
      </c>
      <c r="C55" s="11" t="s">
        <v>233</v>
      </c>
      <c r="D55" s="11" t="s">
        <v>250</v>
      </c>
      <c r="E55" s="11" t="s">
        <v>251</v>
      </c>
      <c r="F55" s="12" t="s">
        <v>88</v>
      </c>
      <c r="G55" s="15" t="s">
        <v>21</v>
      </c>
      <c r="H55" s="11" t="s">
        <v>126</v>
      </c>
      <c r="I55" s="11" t="s">
        <v>40</v>
      </c>
      <c r="J55" s="11" t="s">
        <v>41</v>
      </c>
      <c r="K55" s="11" t="s">
        <v>41</v>
      </c>
      <c r="L55" s="11"/>
    </row>
    <row r="56" spans="1:12" ht="22.5">
      <c r="A56" s="8" t="s">
        <v>252</v>
      </c>
      <c r="B56" s="8" t="s">
        <v>232</v>
      </c>
      <c r="C56" s="8" t="s">
        <v>233</v>
      </c>
      <c r="D56" s="8" t="s">
        <v>253</v>
      </c>
      <c r="E56" s="8" t="s">
        <v>254</v>
      </c>
      <c r="F56" s="9" t="s">
        <v>88</v>
      </c>
      <c r="G56" s="15" t="s">
        <v>21</v>
      </c>
      <c r="H56" s="8" t="s">
        <v>126</v>
      </c>
      <c r="I56" s="8" t="s">
        <v>40</v>
      </c>
      <c r="J56" s="8" t="s">
        <v>41</v>
      </c>
      <c r="K56" s="8" t="s">
        <v>41</v>
      </c>
      <c r="L56" s="8"/>
    </row>
    <row r="57" spans="1:12" ht="22.5">
      <c r="A57" s="11" t="s">
        <v>255</v>
      </c>
      <c r="B57" s="11" t="s">
        <v>232</v>
      </c>
      <c r="C57" s="11" t="s">
        <v>233</v>
      </c>
      <c r="D57" s="11" t="s">
        <v>256</v>
      </c>
      <c r="E57" s="11" t="s">
        <v>257</v>
      </c>
      <c r="F57" s="12" t="s">
        <v>38</v>
      </c>
      <c r="G57" s="15" t="s">
        <v>21</v>
      </c>
      <c r="H57" s="11" t="s">
        <v>126</v>
      </c>
      <c r="I57" s="11" t="s">
        <v>40</v>
      </c>
      <c r="J57" s="11" t="s">
        <v>41</v>
      </c>
      <c r="K57" s="11" t="s">
        <v>41</v>
      </c>
      <c r="L57" s="11"/>
    </row>
    <row r="58" spans="1:12" ht="22.5">
      <c r="A58" s="8" t="s">
        <v>258</v>
      </c>
      <c r="B58" s="8" t="s">
        <v>232</v>
      </c>
      <c r="C58" s="8" t="s">
        <v>232</v>
      </c>
      <c r="D58" s="8" t="s">
        <v>259</v>
      </c>
      <c r="E58" s="8" t="s">
        <v>260</v>
      </c>
      <c r="F58" s="9" t="s">
        <v>88</v>
      </c>
      <c r="G58" s="15" t="s">
        <v>21</v>
      </c>
      <c r="H58" s="8" t="s">
        <v>126</v>
      </c>
      <c r="I58" s="8" t="s">
        <v>40</v>
      </c>
      <c r="J58" s="8" t="s">
        <v>41</v>
      </c>
      <c r="K58" s="8" t="s">
        <v>41</v>
      </c>
      <c r="L58" s="8"/>
    </row>
    <row r="59" spans="1:12" ht="33">
      <c r="A59" s="11" t="s">
        <v>261</v>
      </c>
      <c r="B59" s="11" t="s">
        <v>262</v>
      </c>
      <c r="C59" s="11" t="s">
        <v>263</v>
      </c>
      <c r="D59" s="11" t="s">
        <v>264</v>
      </c>
      <c r="E59" s="11" t="s">
        <v>265</v>
      </c>
      <c r="F59" s="12" t="s">
        <v>38</v>
      </c>
      <c r="G59" s="13" t="s">
        <v>19</v>
      </c>
      <c r="H59" s="11" t="s">
        <v>266</v>
      </c>
      <c r="I59" s="11" t="s">
        <v>61</v>
      </c>
      <c r="J59" s="11" t="s">
        <v>41</v>
      </c>
      <c r="K59" s="11" t="s">
        <v>41</v>
      </c>
      <c r="L59" s="11" t="s">
        <v>267</v>
      </c>
    </row>
    <row r="60" spans="1:12" ht="22.5">
      <c r="A60" s="8" t="s">
        <v>268</v>
      </c>
      <c r="B60" s="8" t="s">
        <v>262</v>
      </c>
      <c r="C60" s="8" t="s">
        <v>263</v>
      </c>
      <c r="D60" s="8" t="s">
        <v>269</v>
      </c>
      <c r="E60" s="8" t="s">
        <v>270</v>
      </c>
      <c r="F60" s="9" t="s">
        <v>38</v>
      </c>
      <c r="G60" s="10" t="s">
        <v>17</v>
      </c>
      <c r="H60" s="8" t="s">
        <v>266</v>
      </c>
      <c r="I60" s="8" t="s">
        <v>46</v>
      </c>
      <c r="J60" s="8" t="s">
        <v>41</v>
      </c>
      <c r="K60" s="8" t="s">
        <v>41</v>
      </c>
      <c r="L60" s="8" t="s">
        <v>271</v>
      </c>
    </row>
    <row r="61" spans="1:12" ht="22.5">
      <c r="A61" s="11" t="s">
        <v>272</v>
      </c>
      <c r="B61" s="11" t="s">
        <v>262</v>
      </c>
      <c r="C61" s="11" t="s">
        <v>263</v>
      </c>
      <c r="D61" s="11" t="s">
        <v>273</v>
      </c>
      <c r="E61" s="11" t="s">
        <v>274</v>
      </c>
      <c r="F61" s="12" t="s">
        <v>38</v>
      </c>
      <c r="G61" s="13" t="s">
        <v>19</v>
      </c>
      <c r="H61" s="11" t="s">
        <v>266</v>
      </c>
      <c r="I61" s="11" t="s">
        <v>61</v>
      </c>
      <c r="J61" s="11" t="s">
        <v>41</v>
      </c>
      <c r="K61" s="11" t="s">
        <v>41</v>
      </c>
      <c r="L61" s="11" t="s">
        <v>275</v>
      </c>
    </row>
    <row r="62" spans="1:12" ht="33">
      <c r="A62" s="8" t="s">
        <v>276</v>
      </c>
      <c r="B62" s="8" t="s">
        <v>262</v>
      </c>
      <c r="C62" s="8" t="s">
        <v>277</v>
      </c>
      <c r="D62" s="8" t="s">
        <v>278</v>
      </c>
      <c r="E62" s="8" t="s">
        <v>279</v>
      </c>
      <c r="F62" s="9" t="s">
        <v>38</v>
      </c>
      <c r="G62" s="10" t="s">
        <v>17</v>
      </c>
      <c r="H62" s="8" t="s">
        <v>280</v>
      </c>
      <c r="I62" s="8" t="s">
        <v>189</v>
      </c>
      <c r="J62" s="8" t="s">
        <v>41</v>
      </c>
      <c r="K62" s="8" t="s">
        <v>41</v>
      </c>
      <c r="L62" s="8" t="s">
        <v>281</v>
      </c>
    </row>
    <row r="63" spans="1:12" ht="22.5">
      <c r="A63" s="11" t="s">
        <v>282</v>
      </c>
      <c r="B63" s="11" t="s">
        <v>262</v>
      </c>
      <c r="C63" s="11" t="s">
        <v>277</v>
      </c>
      <c r="D63" s="11" t="s">
        <v>283</v>
      </c>
      <c r="E63" s="11" t="s">
        <v>284</v>
      </c>
      <c r="F63" s="12" t="s">
        <v>38</v>
      </c>
      <c r="G63" s="14" t="s">
        <v>15</v>
      </c>
      <c r="H63" s="11" t="s">
        <v>126</v>
      </c>
      <c r="I63" s="11" t="s">
        <v>40</v>
      </c>
      <c r="J63" s="11" t="s">
        <v>41</v>
      </c>
      <c r="K63" s="11" t="s">
        <v>41</v>
      </c>
      <c r="L63" s="11" t="s">
        <v>285</v>
      </c>
    </row>
    <row r="64" spans="1:12">
      <c r="A64" s="8" t="s">
        <v>286</v>
      </c>
      <c r="B64" s="8" t="s">
        <v>262</v>
      </c>
      <c r="C64" s="8" t="s">
        <v>277</v>
      </c>
      <c r="D64" s="8" t="s">
        <v>287</v>
      </c>
      <c r="E64" s="8" t="s">
        <v>288</v>
      </c>
      <c r="F64" s="9" t="s">
        <v>38</v>
      </c>
      <c r="G64" s="14" t="s">
        <v>15</v>
      </c>
      <c r="H64" s="8" t="s">
        <v>126</v>
      </c>
      <c r="I64" s="8" t="s">
        <v>180</v>
      </c>
      <c r="J64" s="8" t="s">
        <v>41</v>
      </c>
      <c r="K64" s="8" t="s">
        <v>41</v>
      </c>
      <c r="L64" s="8" t="s">
        <v>289</v>
      </c>
    </row>
    <row r="65" spans="1:12" ht="22.5">
      <c r="A65" s="11" t="s">
        <v>290</v>
      </c>
      <c r="B65" s="11" t="s">
        <v>262</v>
      </c>
      <c r="C65" s="11" t="s">
        <v>291</v>
      </c>
      <c r="D65" s="11" t="s">
        <v>292</v>
      </c>
      <c r="E65" s="11" t="s">
        <v>293</v>
      </c>
      <c r="F65" s="12" t="s">
        <v>38</v>
      </c>
      <c r="G65" s="10" t="s">
        <v>17</v>
      </c>
      <c r="H65" s="11" t="s">
        <v>126</v>
      </c>
      <c r="I65" s="11" t="s">
        <v>46</v>
      </c>
      <c r="J65" s="11" t="s">
        <v>41</v>
      </c>
      <c r="K65" s="11" t="s">
        <v>41</v>
      </c>
      <c r="L65" s="11" t="s">
        <v>294</v>
      </c>
    </row>
    <row r="66" spans="1:12" ht="22.5">
      <c r="A66" s="8" t="s">
        <v>295</v>
      </c>
      <c r="B66" s="8" t="s">
        <v>296</v>
      </c>
      <c r="C66" s="8" t="s">
        <v>297</v>
      </c>
      <c r="D66" s="8" t="s">
        <v>298</v>
      </c>
      <c r="E66" s="8" t="s">
        <v>299</v>
      </c>
      <c r="F66" s="9" t="s">
        <v>38</v>
      </c>
      <c r="G66" s="10" t="s">
        <v>17</v>
      </c>
      <c r="H66" s="8" t="s">
        <v>126</v>
      </c>
      <c r="I66" s="8" t="s">
        <v>61</v>
      </c>
      <c r="J66" s="8" t="s">
        <v>41</v>
      </c>
      <c r="K66" s="8" t="s">
        <v>41</v>
      </c>
      <c r="L66" s="8"/>
    </row>
    <row r="67" spans="1:12" ht="22.5">
      <c r="A67" s="11" t="s">
        <v>300</v>
      </c>
      <c r="B67" s="11" t="s">
        <v>296</v>
      </c>
      <c r="C67" s="11" t="s">
        <v>297</v>
      </c>
      <c r="D67" s="11" t="s">
        <v>301</v>
      </c>
      <c r="E67" s="11" t="s">
        <v>302</v>
      </c>
      <c r="F67" s="12" t="s">
        <v>38</v>
      </c>
      <c r="G67" s="10" t="s">
        <v>17</v>
      </c>
      <c r="H67" s="11" t="s">
        <v>126</v>
      </c>
      <c r="I67" s="11" t="s">
        <v>153</v>
      </c>
      <c r="J67" s="11" t="s">
        <v>41</v>
      </c>
      <c r="K67" s="11" t="s">
        <v>41</v>
      </c>
      <c r="L67" s="11" t="s">
        <v>303</v>
      </c>
    </row>
    <row r="68" spans="1:12" ht="22.5">
      <c r="A68" s="8" t="s">
        <v>304</v>
      </c>
      <c r="B68" s="8" t="s">
        <v>296</v>
      </c>
      <c r="C68" s="8" t="s">
        <v>297</v>
      </c>
      <c r="D68" s="8" t="s">
        <v>305</v>
      </c>
      <c r="E68" s="8" t="s">
        <v>306</v>
      </c>
      <c r="F68" s="9" t="s">
        <v>38</v>
      </c>
      <c r="G68" s="13" t="s">
        <v>19</v>
      </c>
      <c r="H68" s="8" t="s">
        <v>126</v>
      </c>
      <c r="I68" s="8" t="s">
        <v>61</v>
      </c>
      <c r="J68" s="8" t="s">
        <v>41</v>
      </c>
      <c r="K68" s="8" t="s">
        <v>41</v>
      </c>
      <c r="L68" s="8" t="s">
        <v>307</v>
      </c>
    </row>
    <row r="69" spans="1:12" ht="22.5">
      <c r="A69" s="11" t="s">
        <v>308</v>
      </c>
      <c r="B69" s="11" t="s">
        <v>296</v>
      </c>
      <c r="C69" s="11" t="s">
        <v>297</v>
      </c>
      <c r="D69" s="11" t="s">
        <v>309</v>
      </c>
      <c r="E69" s="11" t="s">
        <v>310</v>
      </c>
      <c r="F69" s="12" t="s">
        <v>38</v>
      </c>
      <c r="G69" s="10" t="s">
        <v>17</v>
      </c>
      <c r="H69" s="11" t="s">
        <v>126</v>
      </c>
      <c r="I69" s="11" t="s">
        <v>153</v>
      </c>
      <c r="J69" s="11" t="s">
        <v>41</v>
      </c>
      <c r="K69" s="11" t="s">
        <v>41</v>
      </c>
      <c r="L69" s="11"/>
    </row>
    <row r="70" spans="1:12" ht="22.5">
      <c r="A70" s="8" t="s">
        <v>311</v>
      </c>
      <c r="B70" s="8" t="s">
        <v>296</v>
      </c>
      <c r="C70" s="8" t="s">
        <v>297</v>
      </c>
      <c r="D70" s="8" t="s">
        <v>312</v>
      </c>
      <c r="E70" s="8" t="s">
        <v>313</v>
      </c>
      <c r="F70" s="9" t="s">
        <v>88</v>
      </c>
      <c r="G70" s="15" t="s">
        <v>21</v>
      </c>
      <c r="H70" s="8" t="s">
        <v>126</v>
      </c>
      <c r="I70" s="8" t="s">
        <v>61</v>
      </c>
      <c r="J70" s="8" t="s">
        <v>41</v>
      </c>
      <c r="K70" s="8" t="s">
        <v>41</v>
      </c>
      <c r="L70" s="8" t="s">
        <v>314</v>
      </c>
    </row>
    <row r="71" spans="1:12" ht="22.5">
      <c r="A71" s="11" t="s">
        <v>315</v>
      </c>
      <c r="B71" s="11" t="s">
        <v>296</v>
      </c>
      <c r="C71" s="11" t="s">
        <v>316</v>
      </c>
      <c r="D71" s="11" t="s">
        <v>317</v>
      </c>
      <c r="E71" s="11" t="s">
        <v>318</v>
      </c>
      <c r="F71" s="12" t="s">
        <v>88</v>
      </c>
      <c r="G71" s="13" t="s">
        <v>19</v>
      </c>
      <c r="H71" s="11" t="s">
        <v>126</v>
      </c>
      <c r="I71" s="11" t="s">
        <v>61</v>
      </c>
      <c r="J71" s="11" t="s">
        <v>41</v>
      </c>
      <c r="K71" s="11" t="s">
        <v>41</v>
      </c>
      <c r="L71" s="11"/>
    </row>
    <row r="72" spans="1:12" ht="22.5">
      <c r="A72" s="8" t="s">
        <v>319</v>
      </c>
      <c r="B72" s="8" t="s">
        <v>296</v>
      </c>
      <c r="C72" s="8" t="s">
        <v>316</v>
      </c>
      <c r="D72" s="8" t="s">
        <v>320</v>
      </c>
      <c r="E72" s="8" t="s">
        <v>321</v>
      </c>
      <c r="F72" s="9" t="s">
        <v>322</v>
      </c>
      <c r="G72" s="15" t="s">
        <v>21</v>
      </c>
      <c r="H72" s="8" t="s">
        <v>126</v>
      </c>
      <c r="I72" s="8" t="s">
        <v>61</v>
      </c>
      <c r="J72" s="8" t="s">
        <v>41</v>
      </c>
      <c r="K72" s="8" t="s">
        <v>41</v>
      </c>
      <c r="L72" s="8" t="s">
        <v>323</v>
      </c>
    </row>
    <row r="73" spans="1:12" ht="22.5">
      <c r="A73" s="11" t="s">
        <v>324</v>
      </c>
      <c r="B73" s="11" t="s">
        <v>296</v>
      </c>
      <c r="C73" s="11" t="s">
        <v>325</v>
      </c>
      <c r="D73" s="11" t="s">
        <v>326</v>
      </c>
      <c r="E73" s="11" t="s">
        <v>327</v>
      </c>
      <c r="F73" s="12" t="s">
        <v>322</v>
      </c>
      <c r="G73" s="10" t="s">
        <v>17</v>
      </c>
      <c r="H73" s="11" t="s">
        <v>328</v>
      </c>
      <c r="I73" s="11" t="s">
        <v>61</v>
      </c>
      <c r="J73" s="11" t="s">
        <v>41</v>
      </c>
      <c r="K73" s="11" t="s">
        <v>41</v>
      </c>
      <c r="L73" s="11" t="s">
        <v>329</v>
      </c>
    </row>
    <row r="74" spans="1:12" ht="22.5">
      <c r="A74" s="8" t="s">
        <v>330</v>
      </c>
      <c r="B74" s="8" t="s">
        <v>331</v>
      </c>
      <c r="C74" s="8" t="s">
        <v>332</v>
      </c>
      <c r="D74" s="8" t="s">
        <v>333</v>
      </c>
      <c r="E74" s="8" t="s">
        <v>334</v>
      </c>
      <c r="F74" s="9" t="s">
        <v>38</v>
      </c>
      <c r="G74" s="13" t="s">
        <v>19</v>
      </c>
      <c r="H74" s="8" t="s">
        <v>335</v>
      </c>
      <c r="I74" s="8" t="s">
        <v>40</v>
      </c>
      <c r="J74" s="8" t="s">
        <v>41</v>
      </c>
      <c r="K74" s="8" t="s">
        <v>41</v>
      </c>
      <c r="L74" s="8"/>
    </row>
    <row r="75" spans="1:12" ht="22.5">
      <c r="A75" s="11" t="s">
        <v>336</v>
      </c>
      <c r="B75" s="11" t="s">
        <v>331</v>
      </c>
      <c r="C75" s="11" t="s">
        <v>332</v>
      </c>
      <c r="D75" s="11" t="s">
        <v>337</v>
      </c>
      <c r="E75" s="11" t="s">
        <v>338</v>
      </c>
      <c r="F75" s="12" t="s">
        <v>38</v>
      </c>
      <c r="G75" s="13" t="s">
        <v>19</v>
      </c>
      <c r="H75" s="11" t="s">
        <v>335</v>
      </c>
      <c r="I75" s="11" t="s">
        <v>61</v>
      </c>
      <c r="J75" s="11" t="s">
        <v>41</v>
      </c>
      <c r="K75" s="11" t="s">
        <v>41</v>
      </c>
      <c r="L75" s="11"/>
    </row>
    <row r="76" spans="1:12" ht="22.5">
      <c r="A76" s="8" t="s">
        <v>339</v>
      </c>
      <c r="B76" s="8" t="s">
        <v>331</v>
      </c>
      <c r="C76" s="8" t="s">
        <v>340</v>
      </c>
      <c r="D76" s="8" t="s">
        <v>341</v>
      </c>
      <c r="E76" s="8" t="s">
        <v>342</v>
      </c>
      <c r="F76" s="9" t="s">
        <v>38</v>
      </c>
      <c r="G76" s="15" t="s">
        <v>21</v>
      </c>
      <c r="H76" s="8" t="s">
        <v>335</v>
      </c>
      <c r="I76" s="8" t="s">
        <v>40</v>
      </c>
      <c r="J76" s="8" t="s">
        <v>41</v>
      </c>
      <c r="K76" s="8" t="s">
        <v>41</v>
      </c>
      <c r="L76" s="8" t="s">
        <v>343</v>
      </c>
    </row>
    <row r="77" spans="1:12" ht="22.5">
      <c r="A77" s="11" t="s">
        <v>344</v>
      </c>
      <c r="B77" s="11" t="s">
        <v>331</v>
      </c>
      <c r="C77" s="11" t="s">
        <v>340</v>
      </c>
      <c r="D77" s="11" t="s">
        <v>345</v>
      </c>
      <c r="E77" s="11" t="s">
        <v>346</v>
      </c>
      <c r="F77" s="12" t="s">
        <v>38</v>
      </c>
      <c r="G77" s="14" t="s">
        <v>15</v>
      </c>
      <c r="H77" s="11" t="s">
        <v>335</v>
      </c>
      <c r="I77" s="11" t="s">
        <v>136</v>
      </c>
      <c r="J77" s="11" t="s">
        <v>41</v>
      </c>
      <c r="K77" s="11" t="s">
        <v>41</v>
      </c>
      <c r="L77" s="11" t="s">
        <v>347</v>
      </c>
    </row>
    <row r="78" spans="1:12" ht="22.5">
      <c r="A78" s="8" t="s">
        <v>348</v>
      </c>
      <c r="B78" s="8" t="s">
        <v>331</v>
      </c>
      <c r="C78" s="8" t="s">
        <v>340</v>
      </c>
      <c r="D78" s="8" t="s">
        <v>349</v>
      </c>
      <c r="E78" s="8" t="s">
        <v>350</v>
      </c>
      <c r="F78" s="9" t="s">
        <v>38</v>
      </c>
      <c r="G78" s="10" t="s">
        <v>17</v>
      </c>
      <c r="H78" s="8" t="s">
        <v>335</v>
      </c>
      <c r="I78" s="8" t="s">
        <v>61</v>
      </c>
      <c r="J78" s="8" t="s">
        <v>41</v>
      </c>
      <c r="K78" s="8" t="s">
        <v>41</v>
      </c>
      <c r="L78" s="8"/>
    </row>
    <row r="79" spans="1:12" ht="22.5">
      <c r="A79" s="11" t="s">
        <v>351</v>
      </c>
      <c r="B79" s="11" t="s">
        <v>331</v>
      </c>
      <c r="C79" s="11" t="s">
        <v>340</v>
      </c>
      <c r="D79" s="11" t="s">
        <v>352</v>
      </c>
      <c r="E79" s="11" t="s">
        <v>353</v>
      </c>
      <c r="F79" s="12" t="s">
        <v>38</v>
      </c>
      <c r="G79" s="13" t="s">
        <v>19</v>
      </c>
      <c r="H79" s="11" t="s">
        <v>335</v>
      </c>
      <c r="I79" s="11" t="s">
        <v>61</v>
      </c>
      <c r="J79" s="11" t="s">
        <v>41</v>
      </c>
      <c r="K79" s="11" t="s">
        <v>41</v>
      </c>
      <c r="L79" s="11"/>
    </row>
    <row r="80" spans="1:12" ht="22.5">
      <c r="A80" s="8" t="s">
        <v>354</v>
      </c>
      <c r="B80" s="8" t="s">
        <v>331</v>
      </c>
      <c r="C80" s="8" t="s">
        <v>355</v>
      </c>
      <c r="D80" s="8" t="s">
        <v>356</v>
      </c>
      <c r="E80" s="8" t="s">
        <v>357</v>
      </c>
      <c r="F80" s="9" t="s">
        <v>88</v>
      </c>
      <c r="G80" s="15" t="s">
        <v>21</v>
      </c>
      <c r="H80" s="8" t="s">
        <v>335</v>
      </c>
      <c r="I80" s="8" t="s">
        <v>180</v>
      </c>
      <c r="J80" s="8" t="s">
        <v>41</v>
      </c>
      <c r="K80" s="8" t="s">
        <v>41</v>
      </c>
      <c r="L80" s="8" t="s">
        <v>358</v>
      </c>
    </row>
    <row r="81" spans="1:12" ht="22.5">
      <c r="A81" s="11" t="s">
        <v>359</v>
      </c>
      <c r="B81" s="11" t="s">
        <v>331</v>
      </c>
      <c r="C81" s="11" t="s">
        <v>355</v>
      </c>
      <c r="D81" s="11" t="s">
        <v>360</v>
      </c>
      <c r="E81" s="11" t="s">
        <v>361</v>
      </c>
      <c r="F81" s="12" t="s">
        <v>88</v>
      </c>
      <c r="G81" s="15" t="s">
        <v>21</v>
      </c>
      <c r="H81" s="11" t="s">
        <v>335</v>
      </c>
      <c r="I81" s="11" t="s">
        <v>61</v>
      </c>
      <c r="J81" s="11" t="s">
        <v>41</v>
      </c>
      <c r="K81" s="11" t="s">
        <v>41</v>
      </c>
      <c r="L81" s="11"/>
    </row>
    <row r="82" spans="1:12" ht="22.5">
      <c r="A82" s="8" t="s">
        <v>362</v>
      </c>
      <c r="B82" s="8" t="s">
        <v>331</v>
      </c>
      <c r="C82" s="8" t="s">
        <v>355</v>
      </c>
      <c r="D82" s="8" t="s">
        <v>363</v>
      </c>
      <c r="E82" s="8" t="s">
        <v>364</v>
      </c>
      <c r="F82" s="9" t="s">
        <v>88</v>
      </c>
      <c r="G82" s="10" t="s">
        <v>17</v>
      </c>
      <c r="H82" s="8" t="s">
        <v>335</v>
      </c>
      <c r="I82" s="8" t="s">
        <v>61</v>
      </c>
      <c r="J82" s="8" t="s">
        <v>41</v>
      </c>
      <c r="K82" s="8" t="s">
        <v>41</v>
      </c>
      <c r="L82" s="8"/>
    </row>
    <row r="83" spans="1:12" ht="33">
      <c r="A83" s="11" t="s">
        <v>365</v>
      </c>
      <c r="B83" s="11" t="s">
        <v>331</v>
      </c>
      <c r="C83" s="11" t="s">
        <v>366</v>
      </c>
      <c r="D83" s="11" t="s">
        <v>367</v>
      </c>
      <c r="E83" s="11" t="s">
        <v>368</v>
      </c>
      <c r="F83" s="12" t="s">
        <v>38</v>
      </c>
      <c r="G83" s="10" t="s">
        <v>17</v>
      </c>
      <c r="H83" s="11" t="s">
        <v>369</v>
      </c>
      <c r="I83" s="11" t="s">
        <v>370</v>
      </c>
      <c r="J83" s="11" t="s">
        <v>41</v>
      </c>
      <c r="K83" s="11" t="s">
        <v>41</v>
      </c>
      <c r="L83" s="11" t="s">
        <v>371</v>
      </c>
    </row>
    <row r="84" spans="1:12" ht="22.5">
      <c r="A84" s="8" t="s">
        <v>372</v>
      </c>
      <c r="B84" s="8" t="s">
        <v>331</v>
      </c>
      <c r="C84" s="8" t="s">
        <v>366</v>
      </c>
      <c r="D84" s="8" t="s">
        <v>373</v>
      </c>
      <c r="E84" s="8" t="s">
        <v>374</v>
      </c>
      <c r="F84" s="9" t="s">
        <v>38</v>
      </c>
      <c r="G84" s="13" t="s">
        <v>19</v>
      </c>
      <c r="H84" s="8" t="s">
        <v>335</v>
      </c>
      <c r="I84" s="8" t="s">
        <v>180</v>
      </c>
      <c r="J84" s="8" t="s">
        <v>41</v>
      </c>
      <c r="K84" s="8" t="s">
        <v>41</v>
      </c>
      <c r="L84" s="8" t="s">
        <v>375</v>
      </c>
    </row>
  </sheetData>
  <autoFilter ref="A1:L8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zoomScaleNormal="100" workbookViewId="0"/>
  </sheetViews>
  <sheetFormatPr defaultColWidth="8.7109375" defaultRowHeight="15"/>
  <cols>
    <col min="1" max="1" width="24" customWidth="1"/>
    <col min="2" max="2" width="10" customWidth="1"/>
    <col min="4" max="4" width="14" customWidth="1"/>
    <col min="5" max="5" width="10" customWidth="1"/>
  </cols>
  <sheetData>
    <row r="1" spans="1:5" ht="17.45">
      <c r="A1" s="16" t="s">
        <v>376</v>
      </c>
    </row>
    <row r="3" spans="1:5">
      <c r="A3" s="17" t="s">
        <v>377</v>
      </c>
      <c r="D3" s="17" t="s">
        <v>378</v>
      </c>
    </row>
    <row r="4" spans="1:5">
      <c r="A4" s="18" t="s">
        <v>379</v>
      </c>
      <c r="B4" s="18" t="s">
        <v>380</v>
      </c>
      <c r="D4" s="18" t="s">
        <v>29</v>
      </c>
      <c r="E4" s="18" t="s">
        <v>380</v>
      </c>
    </row>
    <row r="5" spans="1:5">
      <c r="A5" s="19" t="s">
        <v>15</v>
      </c>
      <c r="B5" s="20">
        <f>COUNTIF('Capabilities Catalog'!$G$2:$G$84,A5)</f>
        <v>11</v>
      </c>
      <c r="D5" s="20" t="s">
        <v>38</v>
      </c>
      <c r="E5" s="20">
        <f>COUNTIF('Capabilities Catalog'!$F$2:$F$84,D5)</f>
        <v>59</v>
      </c>
    </row>
    <row r="6" spans="1:5">
      <c r="A6" s="21" t="s">
        <v>17</v>
      </c>
      <c r="B6" s="20">
        <f>COUNTIF('Capabilities Catalog'!$G$2:$G$84,A6)</f>
        <v>31</v>
      </c>
      <c r="D6" s="20" t="s">
        <v>88</v>
      </c>
      <c r="E6" s="20">
        <f>COUNTIF('Capabilities Catalog'!$F$2:$F$84,D6)</f>
        <v>22</v>
      </c>
    </row>
    <row r="7" spans="1:5">
      <c r="A7" s="22" t="s">
        <v>19</v>
      </c>
      <c r="B7" s="20">
        <f>COUNTIF('Capabilities Catalog'!$G$2:$G$84,A7)</f>
        <v>22</v>
      </c>
      <c r="D7" s="20" t="s">
        <v>322</v>
      </c>
      <c r="E7" s="20">
        <f>COUNTIF('Capabilities Catalog'!$F$2:$F$84,D7)</f>
        <v>2</v>
      </c>
    </row>
    <row r="8" spans="1:5">
      <c r="A8" s="23" t="s">
        <v>21</v>
      </c>
      <c r="B8" s="20">
        <f>COUNTIF('Capabilities Catalog'!$G$2:$G$84,A8)</f>
        <v>19</v>
      </c>
    </row>
    <row r="9" spans="1:5">
      <c r="A9" s="18" t="s">
        <v>381</v>
      </c>
      <c r="B9" s="18">
        <f>SUM(B5:B8)</f>
        <v>83</v>
      </c>
    </row>
    <row r="11" spans="1:5">
      <c r="A11" s="17" t="s">
        <v>382</v>
      </c>
    </row>
    <row r="12" spans="1:5">
      <c r="A12" s="18" t="s">
        <v>25</v>
      </c>
      <c r="B12" s="18" t="s">
        <v>380</v>
      </c>
    </row>
    <row r="13" spans="1:5">
      <c r="A13" s="20" t="s">
        <v>34</v>
      </c>
      <c r="B13" s="20">
        <f>COUNTIF('Capabilities Catalog'!$B$2:$B$84,A13)</f>
        <v>36</v>
      </c>
    </row>
    <row r="14" spans="1:5">
      <c r="A14" s="20" t="s">
        <v>175</v>
      </c>
      <c r="B14" s="20">
        <f>COUNTIF('Capabilities Catalog'!$B$2:$B$84,A14)</f>
        <v>6</v>
      </c>
    </row>
    <row r="15" spans="1:5">
      <c r="A15" s="20" t="s">
        <v>205</v>
      </c>
      <c r="B15" s="20">
        <f>COUNTIF('Capabilities Catalog'!$B$2:$B$84,A15)</f>
        <v>6</v>
      </c>
    </row>
    <row r="16" spans="1:5">
      <c r="A16" s="20" t="s">
        <v>232</v>
      </c>
      <c r="B16" s="20">
        <f>COUNTIF('Capabilities Catalog'!$B$2:$B$84,A16)</f>
        <v>9</v>
      </c>
    </row>
    <row r="17" spans="1:5">
      <c r="A17" s="20" t="s">
        <v>262</v>
      </c>
      <c r="B17" s="20">
        <f>COUNTIF('Capabilities Catalog'!$B$2:$B$84,A17)</f>
        <v>7</v>
      </c>
    </row>
    <row r="18" spans="1:5">
      <c r="A18" s="20" t="s">
        <v>296</v>
      </c>
      <c r="B18" s="20">
        <f>COUNTIF('Capabilities Catalog'!$B$2:$B$84,A18)</f>
        <v>8</v>
      </c>
    </row>
    <row r="19" spans="1:5">
      <c r="A19" s="20" t="s">
        <v>331</v>
      </c>
      <c r="B19" s="20">
        <f>COUNTIF('Capabilities Catalog'!$B$2:$B$84,A19)</f>
        <v>11</v>
      </c>
    </row>
    <row r="22" spans="1:5" ht="15" customHeight="1">
      <c r="A22" s="29" t="s">
        <v>383</v>
      </c>
      <c r="B22" s="29"/>
      <c r="C22" s="29"/>
      <c r="D22" s="29"/>
      <c r="E22" s="29"/>
    </row>
    <row r="23" spans="1:5">
      <c r="A23" s="29"/>
      <c r="B23" s="29"/>
      <c r="C23" s="29"/>
      <c r="D23" s="29"/>
      <c r="E23" s="29"/>
    </row>
    <row r="24" spans="1:5">
      <c r="A24" s="29"/>
      <c r="B24" s="29"/>
      <c r="C24" s="29"/>
      <c r="D24" s="29"/>
      <c r="E24" s="29"/>
    </row>
  </sheetData>
  <mergeCells count="1">
    <mergeCell ref="A22:E2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34CBE-6262-425C-8260-E8B4BB74887D}"/>
</file>

<file path=customXml/itemProps2.xml><?xml version="1.0" encoding="utf-8"?>
<ds:datastoreItem xmlns:ds="http://schemas.openxmlformats.org/officeDocument/2006/customXml" ds:itemID="{597F5B6D-6A91-477D-98C0-A815852DF63E}"/>
</file>

<file path=customXml/itemProps3.xml><?xml version="1.0" encoding="utf-8"?>
<ds:datastoreItem xmlns:ds="http://schemas.openxmlformats.org/officeDocument/2006/customXml" ds:itemID="{B9D73644-A504-43EB-8688-CF1E32C9DA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Villena, Jose</cp:lastModifiedBy>
  <cp:revision>0</cp:revision>
  <dcterms:created xsi:type="dcterms:W3CDTF">2026-07-14T18:52:57Z</dcterms:created>
  <dcterms:modified xsi:type="dcterms:W3CDTF">2026-08-06T08:31:10Z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