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s.accenture.com/sites/BanCoppelPlanDirector/Shared Documents/BanCoppel Plan Director - Fase Remediación/09. Arquitectura/DocumentosTrabajo/"/>
    </mc:Choice>
  </mc:AlternateContent>
  <xr:revisionPtr revIDLastSave="0" documentId="8_{62EF3347-3D7B-4CE1-B6F4-A52C22289E67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Resumen" sheetId="1" r:id="rId1"/>
    <sheet name="APOLO N4" sheetId="2" r:id="rId2"/>
    <sheet name="TDC R4" sheetId="3" r:id="rId3"/>
    <sheet name="Tipos de Actividad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5" i="3" l="1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F4" i="3" s="1"/>
  <c r="J3" i="3" s="1"/>
  <c r="E12" i="1" s="1"/>
  <c r="D4" i="3"/>
  <c r="B4" i="3"/>
  <c r="J2" i="3"/>
  <c r="J1" i="3"/>
  <c r="C12" i="1" s="1"/>
  <c r="G41" i="2"/>
  <c r="G40" i="2"/>
  <c r="G39" i="2"/>
  <c r="G37" i="2"/>
  <c r="G35" i="2"/>
  <c r="G33" i="2"/>
  <c r="G32" i="2"/>
  <c r="G30" i="2"/>
  <c r="F4" i="2" s="1"/>
  <c r="J3" i="2" s="1"/>
  <c r="E11" i="1" s="1"/>
  <c r="G28" i="2"/>
  <c r="G27" i="2"/>
  <c r="G26" i="2"/>
  <c r="G25" i="2"/>
  <c r="G23" i="2"/>
  <c r="G22" i="2"/>
  <c r="G21" i="2"/>
  <c r="G20" i="2"/>
  <c r="G19" i="2"/>
  <c r="G18" i="2"/>
  <c r="G16" i="2"/>
  <c r="G15" i="2"/>
  <c r="G13" i="2"/>
  <c r="G12" i="2"/>
  <c r="G10" i="2"/>
  <c r="G9" i="2"/>
  <c r="G8" i="2"/>
  <c r="D4" i="2"/>
  <c r="J2" i="2" s="1"/>
  <c r="D11" i="1" s="1"/>
  <c r="B4" i="2"/>
  <c r="J1" i="2" s="1"/>
  <c r="C11" i="1" s="1"/>
  <c r="C13" i="1" s="1"/>
  <c r="D18" i="1"/>
  <c r="D17" i="1"/>
  <c r="D19" i="1" s="1"/>
  <c r="D12" i="1"/>
  <c r="C18" i="1" s="1"/>
  <c r="E18" i="1" s="1"/>
  <c r="F18" i="1" l="1"/>
  <c r="E13" i="1"/>
  <c r="D13" i="1"/>
  <c r="C17" i="1"/>
  <c r="F17" i="1" l="1"/>
  <c r="E17" i="1"/>
  <c r="C19" i="1"/>
  <c r="E19" i="1" l="1"/>
  <c r="F19" i="1"/>
</calcChain>
</file>

<file path=xl/sharedStrings.xml><?xml version="1.0" encoding="utf-8"?>
<sst xmlns="http://schemas.openxmlformats.org/spreadsheetml/2006/main" count="234" uniqueCount="183">
  <si>
    <t>Esfuerzo de Arquitectura de Solución — Proyectos APOLO N4 y TDC R4</t>
  </si>
  <si>
    <t>Análisis derivado de los planes de trabajo entregados · Corte de información según cada archivo</t>
  </si>
  <si>
    <t>NOTA METODOLÓGICA — Evidencia vs. Inferencia</t>
  </si>
  <si>
    <t>EVIDENCIA (dato del plan): ambos son planes de cronograma; la unidad registrada es DÍAS HÁBILES por actividad, no horas-hombre. Ningún archivo trae columna de horas ni HH asignadas a arquitectura.
INFERENCIA (supuesto de este análisis): 'Horas' = Días hábiles × 8 h/día — es capacidad de calendario, no esfuerzo real. Las duraciones son de CALENDARIO y muchas corren en paralelo, por lo que las sumas reflejan CARGA AGREGADA DE TRABAJO, no la duración total del tramo.</t>
  </si>
  <si>
    <t>1) RESUMEN DE ESFUERZO DE ARQUITECTURA</t>
  </si>
  <si>
    <t>#</t>
  </si>
  <si>
    <t>Proyecto</t>
  </si>
  <si>
    <t># Actividades de arq.</t>
  </si>
  <si>
    <t>Días hábiles de arq. (∑)</t>
  </si>
  <si>
    <t>Horas de arq. (∑, ×8)</t>
  </si>
  <si>
    <t>APOLO N4 — Certificación de Arquitectura (Sección 9)</t>
  </si>
  <si>
    <t>TDC R4 — Actividades de Arquitectura de Solución</t>
  </si>
  <si>
    <t>TOTAL AMBOS PROYECTOS</t>
  </si>
  <si>
    <t>2) PROPORCIÓN: ARQUITECTURA vs. ESFUERZO TOTAL DEL PROYECTO</t>
  </si>
  <si>
    <t>Días de arq. (∑)</t>
  </si>
  <si>
    <t>Días TOTALES del proyecto (∑)</t>
  </si>
  <si>
    <t>% Arquitectura</t>
  </si>
  <si>
    <t>Relación aprox.</t>
  </si>
  <si>
    <t>APOLO N4</t>
  </si>
  <si>
    <t>TDC R4</t>
  </si>
  <si>
    <t>TOTAL / PROMEDIO PONDERADO</t>
  </si>
  <si>
    <t>Base de la proporción (evidencia): 'Días TOTALES del proyecto' = suma de la duración de TODAS las actividades-hoja de cada plan (APOLO: hoja 'Detallado Completo'; TDC: hoja 'UNITY R4 - COPIA'), no solo las de arquitectura. El % es la participación de la carga de arquitectura dentro de la carga total registrada en el cronograma. Como las tareas corren en paralelo, es un indicador de PROPORCIÓN DE ESFUERZO/CARGA, no de porcentaje del tiempo calendario del proyecto. Si el equipo de arquitectura trabaja a dedicación parcial, el % real de HH de arquitectura sería aún menor.</t>
  </si>
  <si>
    <t>APOLO N4 · Esfuerzo de Arquitectura de Solución (Sección 9 – Certificación de Arquitectura)</t>
  </si>
  <si>
    <t>TOTALES DE ARQUITECTURA (solo actividades-hoja; filas de fase en azul NO suman):</t>
  </si>
  <si>
    <t>Concepto →</t>
  </si>
  <si>
    <t># Actividades de arquitectura</t>
  </si>
  <si>
    <t>Días hábiles de trabajo de arquitectura (∑ duración de tareas)</t>
  </si>
  <si>
    <t>Horas-persona de arquitectura (∑ días × 8 h/día) · INFERENCIA</t>
  </si>
  <si>
    <t>Valor →</t>
  </si>
  <si>
    <t>ID</t>
  </si>
  <si>
    <t>Actividad de Arquitectura</t>
  </si>
  <si>
    <t>Responsable / Equipo</t>
  </si>
  <si>
    <t>Fecha Inicio</t>
  </si>
  <si>
    <t>Fecha Fin</t>
  </si>
  <si>
    <t>Días hábiles</t>
  </si>
  <si>
    <t>Horas (días×8)</t>
  </si>
  <si>
    <t>9</t>
  </si>
  <si>
    <t>Certificación de Arquitectura (fase)</t>
  </si>
  <si>
    <t>Arquitectura de Solución</t>
  </si>
  <si>
    <t>9.1</t>
  </si>
  <si>
    <t>Generación de artefacto Arquitectura General de Solución</t>
  </si>
  <si>
    <t>9.1.1</t>
  </si>
  <si>
    <t>Análisis de Matriz/Concentrado de Hallazgos de Unity</t>
  </si>
  <si>
    <t>9.2</t>
  </si>
  <si>
    <t>Generación de artefacto Modelado de Datos y MER</t>
  </si>
  <si>
    <t>9.3</t>
  </si>
  <si>
    <t>Generación de artefacto Especificación de Servicio</t>
  </si>
  <si>
    <t>9.3.1</t>
  </si>
  <si>
    <t>Especificación del servicio</t>
  </si>
  <si>
    <t>9.3.2</t>
  </si>
  <si>
    <t>Tabla API Operations</t>
  </si>
  <si>
    <t>9.4</t>
  </si>
  <si>
    <t>Generación de artefacto Especificación Front End</t>
  </si>
  <si>
    <t>9.4.1</t>
  </si>
  <si>
    <t>Especificación Front End</t>
  </si>
  <si>
    <t>9.5</t>
  </si>
  <si>
    <t>Levantar ticket de certificación de Arquitectura (#13045614)</t>
  </si>
  <si>
    <t>9.6</t>
  </si>
  <si>
    <t>Validar artefactos de Arquitectura</t>
  </si>
  <si>
    <t>9.6.1</t>
  </si>
  <si>
    <t>Revisión de artefactos y atención de observaciones</t>
  </si>
  <si>
    <t>9.6.2</t>
  </si>
  <si>
    <t>JQ-01: Catálogo de errores tabla 5 — faltan ejemplos de logs</t>
  </si>
  <si>
    <t>9.6.3</t>
  </si>
  <si>
    <t>ME-01: Vista incremental TO BE vs AS IS (arquitectura cloud)</t>
  </si>
  <si>
    <t>9.6.4</t>
  </si>
  <si>
    <t>ME-02: Diagramas complementarios N4 con interfaces</t>
  </si>
  <si>
    <t>9.6.5</t>
  </si>
  <si>
    <t>ME-03: Matriz hallazgos Modyo→WebMethods</t>
  </si>
  <si>
    <t>9.6.6</t>
  </si>
  <si>
    <t>VoBo Arq. Industria (Ticket #13376605)</t>
  </si>
  <si>
    <t>Arq. de Industria y Arq. de Solución</t>
  </si>
  <si>
    <t>9.7</t>
  </si>
  <si>
    <t>Matriz de comunicaciones (para gestión de tickets)</t>
  </si>
  <si>
    <t>Arq. Soluciones</t>
  </si>
  <si>
    <t>9.7.1</t>
  </si>
  <si>
    <t>Análisis para generación de matriz</t>
  </si>
  <si>
    <t>Arq. Soluciones / Homologación Ambientes</t>
  </si>
  <si>
    <t>9.8</t>
  </si>
  <si>
    <t>Solicitar validación Arquitectura por Capas</t>
  </si>
  <si>
    <t>9.8.1</t>
  </si>
  <si>
    <t>Solicitar VoBo (Cloud, Seguridad, Integración, Desarrollo, Datos)</t>
  </si>
  <si>
    <t>9.9</t>
  </si>
  <si>
    <t>Gestionar sesiones de entendimiento (arquitectos de capas)</t>
  </si>
  <si>
    <t>9.10</t>
  </si>
  <si>
    <t>Validación con Arq. Cloud</t>
  </si>
  <si>
    <t>Arq. Cloud</t>
  </si>
  <si>
    <t>9.10.1</t>
  </si>
  <si>
    <t>Revisión de artefactos de Arq. de Industria</t>
  </si>
  <si>
    <t>9.11</t>
  </si>
  <si>
    <t>Validación con Arq. Seguridad y Biometría</t>
  </si>
  <si>
    <t>Arq. Seguridad y Biometría</t>
  </si>
  <si>
    <t>9.11.1</t>
  </si>
  <si>
    <t>Revisión de artefactos de Arq. Seguridad y atención de obs.</t>
  </si>
  <si>
    <t>Arq. Ind. / Sol. / Seg. y Biom.</t>
  </si>
  <si>
    <t>9.12</t>
  </si>
  <si>
    <t>Matriz de Configuraciones (Plantilla Mapeo Configuraciones)</t>
  </si>
  <si>
    <t>Apificación</t>
  </si>
  <si>
    <t>9.13</t>
  </si>
  <si>
    <t>Validación con Arq. Integración</t>
  </si>
  <si>
    <t>Arq. Integración</t>
  </si>
  <si>
    <t>9.13.1</t>
  </si>
  <si>
    <t>Revisión de artefactos de Arq. de Integración</t>
  </si>
  <si>
    <t>Arq. Ind. / Sol. / Integración</t>
  </si>
  <si>
    <t>9.14</t>
  </si>
  <si>
    <t>Validación con Arq. Desarrollo</t>
  </si>
  <si>
    <t>Arq. Desarrollo</t>
  </si>
  <si>
    <t>9.14.1</t>
  </si>
  <si>
    <t>Revisión de artefactos de Arq. Desarrollo</t>
  </si>
  <si>
    <t>Arq. Ind. / Sol. / Desarrollo</t>
  </si>
  <si>
    <t>9.15</t>
  </si>
  <si>
    <t>Validación con Arq. Datos</t>
  </si>
  <si>
    <t>Arq. Datos</t>
  </si>
  <si>
    <t>9.15.1</t>
  </si>
  <si>
    <t>Revisión de artefactos de Arq. Datos</t>
  </si>
  <si>
    <t>Arq. Ind. / Sol. / Datos</t>
  </si>
  <si>
    <t>9.16</t>
  </si>
  <si>
    <t>Determinar resultado de la certificación</t>
  </si>
  <si>
    <t>Arquitectura de Industria</t>
  </si>
  <si>
    <t>9.17</t>
  </si>
  <si>
    <t>Entregar Certificación o Pre-certificación</t>
  </si>
  <si>
    <t>Fuente: 'Plan_Integral_Apolo_N4_Contingencia_con_FE_v2_0' → hoja 'Detallado Completo', filas 801–835 (Sección 9 · col. 'Equipo Responsable'). Las cifras son DÍAS HÁBILES del plan (evidencia); las horas son INFERENCIA (días×8). Las filas de fase (azul) agregan sub-tareas y por eso NO se suman, para evitar doble conteo.</t>
  </si>
  <si>
    <t>TDC R4 · Actividades consolidadas de Arquitectura de Solución</t>
  </si>
  <si>
    <t>R4-73</t>
  </si>
  <si>
    <t>Diagrama de Arquitectura de Solución (Maquila Automatizada)</t>
  </si>
  <si>
    <t>R4-74</t>
  </si>
  <si>
    <t>Sizing para Componente Administración de Tarjetas</t>
  </si>
  <si>
    <t>R4-75</t>
  </si>
  <si>
    <t>Identificar NFS SVCG - SVBO y Nuevo Componente</t>
  </si>
  <si>
    <t>R4-93</t>
  </si>
  <si>
    <t>Validación de NFS para Intercambio de Archivos</t>
  </si>
  <si>
    <t>R4-127</t>
  </si>
  <si>
    <t>Generación de NFS entre SVIP y SVCG (Ambientes SmartVista)</t>
  </si>
  <si>
    <t>Armando García Ortiz / Arq.</t>
  </si>
  <si>
    <t>R4-270</t>
  </si>
  <si>
    <t>Solicitud de Sizing a BPC – Componente Fraud Management (SVFM)</t>
  </si>
  <si>
    <t>BPC / Arquitectura</t>
  </si>
  <si>
    <t>R4-279</t>
  </si>
  <si>
    <t>Actualización de Diagrama de Solución (SVFM)</t>
  </si>
  <si>
    <t>R4-280</t>
  </si>
  <si>
    <t>Generar ticket de arquitectura para contemplar el SVFM - DEV</t>
  </si>
  <si>
    <t>R4-281</t>
  </si>
  <si>
    <t>Generar ticket de arquitectura para contemplar el SVFM - QA</t>
  </si>
  <si>
    <t>R4-282</t>
  </si>
  <si>
    <t>Generar ticket de arquitectura para contemplar el SVFM - UAT</t>
  </si>
  <si>
    <t>R4-720</t>
  </si>
  <si>
    <t>Diseño de Contratos de API y Arquitectura SV</t>
  </si>
  <si>
    <t>Patricia A. Tovar Moctezuma</t>
  </si>
  <si>
    <t>R4-751</t>
  </si>
  <si>
    <t>Revisión Diseño de Arquitectura ICCAT</t>
  </si>
  <si>
    <t>Ramses Santos</t>
  </si>
  <si>
    <t>R4-753</t>
  </si>
  <si>
    <t>Revisión Diseño de Arquitectura IVR</t>
  </si>
  <si>
    <t>R4-760</t>
  </si>
  <si>
    <t>Diagrama de Arquitectura General</t>
  </si>
  <si>
    <t>R4-761</t>
  </si>
  <si>
    <t>Diagrama de Arquitectura Tecnológica y de Seguridad</t>
  </si>
  <si>
    <t>R4-762</t>
  </si>
  <si>
    <t>Diagrama de Componentes</t>
  </si>
  <si>
    <t>R4-763</t>
  </si>
  <si>
    <t>Diagrama de Flujo de Arquitectura</t>
  </si>
  <si>
    <t>R4-764</t>
  </si>
  <si>
    <t>Diagrama de Interfaz</t>
  </si>
  <si>
    <t>R4-765</t>
  </si>
  <si>
    <t>Diagrama de Secuencia</t>
  </si>
  <si>
    <t>Fuente: 'Plan_de_Trabajo_UNITY_R4_200726' → hoja 'UNITY R4 - COPIA'. Se renombra el proyecto como TDC R4. Las tareas de arquitectura no están agrupadas: se consolidan aquí (diagramas, sizing, NFS/NFR, contratos API, tickets de arquitectura). Cifras en DÍAS HÁBILES (evidencia); horas por INFERENCIA (días×8). Diagramas duplicados (filas 775–780 del plan) omitidos por ser copia de 760–765.</t>
  </si>
  <si>
    <t>Tipos de actividad de Arquitectura de Solución identificados</t>
  </si>
  <si>
    <t>Categoría</t>
  </si>
  <si>
    <t>Actividades incluidas</t>
  </si>
  <si>
    <t>Generación de artefactos de diseño</t>
  </si>
  <si>
    <t>Arquitectura General de Solución, Modelado de Datos/MER, Especificación de Servicio, Tabla API Operations, Especificación Front End, Diagramas (General, Tecnológica/Seguridad, Componentes, Flujo, Interfaz, Secuencia).</t>
  </si>
  <si>
    <t>Definición de integración / APIs</t>
  </si>
  <si>
    <t>Diseño de Contratos de API y Arquitectura SV, especificación de servicios/operaciones.</t>
  </si>
  <si>
    <t>NFR / NFS (No Funcionales)</t>
  </si>
  <si>
    <t>Identificación y validación de NFS entre ambientes/componentes SmartVista (SVCG-SVBO-SVIP), NFS de intercambio de archivos.</t>
  </si>
  <si>
    <t>Sizing y capacidad</t>
  </si>
  <si>
    <t>Sizing de componentes (Administración de Tarjetas, Fraud Management SVFM).</t>
  </si>
  <si>
    <t>Gestión de certificación</t>
  </si>
  <si>
    <t>Levantar/gestionar tickets de certificación, matriz de comunicaciones, determinar y entregar certificación o pre-certificación.</t>
  </si>
  <si>
    <t>Validación por capas (VoBo)</t>
  </si>
  <si>
    <t>Revisión y VoBo de Arq. Cloud, Seguridad y Biometría, Integración, Desarrollo, Datos e Industria; sesiones de entendimiento.</t>
  </si>
  <si>
    <t>Atención de hallazgos</t>
  </si>
  <si>
    <t>Resolución de observaciones (JQ-01, ME-01/02/03), matriz de hallazgos Modyo→WebMethods, matriz de configuraciones.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</si>
</sst>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/mm/yyyy"/>
  </numFmts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  <font>
      <b/>
      <sz val="11"/>
      <color rgb="FF7F6000"/>
      <name val="Arial"/>
      <charset val="1"/>
    </font>
    <font>
      <i/>
      <sz val="10"/>
      <color rgb="FF7F6000"/>
      <name val="Arial"/>
      <charset val="1"/>
    </font>
    <font>
      <b/>
      <sz val="11"/>
      <color rgb="FF1F386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375623"/>
      <name val="Arial"/>
      <charset val="1"/>
    </font>
    <font>
      <b/>
      <sz val="9"/>
      <color rgb="FF1F3864"/>
      <name val="Arial"/>
      <charset val="1"/>
    </font>
    <font>
      <b/>
      <sz val="13"/>
      <color rgb="FF1F3864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2E5496"/>
      </patternFill>
    </fill>
    <fill>
      <patternFill patternType="solid">
        <fgColor rgb="FFFFF2CC"/>
        <bgColor rgb="FFF2F2F2"/>
      </patternFill>
    </fill>
    <fill>
      <patternFill patternType="solid">
        <fgColor rgb="FFD6E0F0"/>
        <bgColor rgb="FFE2EFDA"/>
      </patternFill>
    </fill>
    <fill>
      <patternFill patternType="solid">
        <fgColor rgb="FF2E5496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3" borderId="0" xfId="0" applyFont="1" applyFill="1" applyAlignment="1">
      <alignment vertical="top" wrapText="1"/>
    </xf>
    <xf numFmtId="0" fontId="11" fillId="6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vertical="top" wrapText="1"/>
    </xf>
    <xf numFmtId="0" fontId="6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top" wrapText="1"/>
    </xf>
    <xf numFmtId="0" fontId="9" fillId="7" borderId="0" xfId="0" applyFont="1" applyFill="1"/>
    <xf numFmtId="0" fontId="5" fillId="4" borderId="0" xfId="0" applyFont="1" applyFill="1"/>
    <xf numFmtId="0" fontId="4" fillId="0" borderId="0" xfId="0" applyFont="1" applyAlignment="1">
      <alignment vertical="top" wrapText="1"/>
    </xf>
    <xf numFmtId="0" fontId="3" fillId="3" borderId="0" xfId="0" applyFont="1" applyFill="1"/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0" fillId="6" borderId="1" xfId="0" applyFill="1" applyBorder="1"/>
    <xf numFmtId="0" fontId="8" fillId="6" borderId="1" xfId="0" applyFont="1" applyFill="1" applyBorder="1"/>
    <xf numFmtId="0" fontId="8" fillId="6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8" fillId="6" borderId="1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horizontal="right" vertical="center"/>
    </xf>
    <xf numFmtId="0" fontId="7" fillId="4" borderId="1" xfId="0" applyFont="1" applyFill="1" applyBorder="1"/>
    <xf numFmtId="0" fontId="8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165" fontId="7" fillId="4" borderId="1" xfId="0" applyNumberFormat="1" applyFont="1" applyFill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7" fillId="0" borderId="1" xfId="0" applyFont="1" applyBorder="1" applyAlignment="1">
      <alignment vertical="top" wrapText="1"/>
    </xf>
    <xf numFmtId="165" fontId="7" fillId="0" borderId="1" xfId="0" applyNumberFormat="1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zoomScaleNormal="100" workbookViewId="0">
      <selection sqref="A1:F1"/>
    </sheetView>
  </sheetViews>
  <sheetFormatPr defaultColWidth="8.6640625" defaultRowHeight="14.4" x14ac:dyDescent="0.3"/>
  <cols>
    <col min="1" max="1" width="4" customWidth="1"/>
    <col min="2" max="2" width="44" customWidth="1"/>
    <col min="3" max="3" width="16" customWidth="1"/>
    <col min="4" max="4" width="15" customWidth="1"/>
    <col min="5" max="6" width="16" customWidth="1"/>
  </cols>
  <sheetData>
    <row r="1" spans="1:6" ht="33.75" customHeight="1" x14ac:dyDescent="0.3">
      <c r="A1" s="11" t="s">
        <v>0</v>
      </c>
      <c r="B1" s="11"/>
      <c r="C1" s="11"/>
      <c r="D1" s="11"/>
      <c r="E1" s="11"/>
      <c r="F1" s="11"/>
    </row>
    <row r="2" spans="1:6" ht="15" customHeight="1" x14ac:dyDescent="0.3">
      <c r="A2" s="10" t="s">
        <v>1</v>
      </c>
      <c r="B2" s="10"/>
      <c r="C2" s="10"/>
      <c r="D2" s="10"/>
      <c r="E2" s="10"/>
      <c r="F2" s="10"/>
    </row>
    <row r="4" spans="1:6" x14ac:dyDescent="0.3">
      <c r="A4" s="9" t="s">
        <v>2</v>
      </c>
      <c r="B4" s="9"/>
      <c r="C4" s="9"/>
      <c r="D4" s="9"/>
      <c r="E4" s="9"/>
      <c r="F4" s="9"/>
    </row>
    <row r="5" spans="1:6" ht="67.5" customHeight="1" x14ac:dyDescent="0.3">
      <c r="A5" s="8" t="s">
        <v>3</v>
      </c>
      <c r="B5" s="8"/>
      <c r="C5" s="8"/>
      <c r="D5" s="8"/>
      <c r="E5" s="8"/>
      <c r="F5" s="8"/>
    </row>
    <row r="6" spans="1:6" x14ac:dyDescent="0.3">
      <c r="A6" s="8"/>
      <c r="B6" s="8"/>
      <c r="C6" s="8"/>
      <c r="D6" s="8"/>
      <c r="E6" s="8"/>
      <c r="F6" s="8"/>
    </row>
    <row r="7" spans="1:6" x14ac:dyDescent="0.3">
      <c r="A7" s="8"/>
      <c r="B7" s="8"/>
      <c r="C7" s="8"/>
      <c r="D7" s="8"/>
      <c r="E7" s="8"/>
      <c r="F7" s="8"/>
    </row>
    <row r="9" spans="1:6" x14ac:dyDescent="0.3">
      <c r="A9" s="7" t="s">
        <v>4</v>
      </c>
      <c r="B9" s="7"/>
      <c r="C9" s="7"/>
      <c r="D9" s="7"/>
      <c r="E9" s="7"/>
      <c r="F9" s="7"/>
    </row>
    <row r="10" spans="1:6" ht="27.6" x14ac:dyDescent="0.3">
      <c r="A10" s="12" t="s">
        <v>5</v>
      </c>
      <c r="B10" s="12" t="s">
        <v>6</v>
      </c>
      <c r="C10" s="12" t="s">
        <v>7</v>
      </c>
      <c r="D10" s="12" t="s">
        <v>8</v>
      </c>
      <c r="E10" s="12" t="s">
        <v>9</v>
      </c>
    </row>
    <row r="11" spans="1:6" x14ac:dyDescent="0.3">
      <c r="A11" s="13">
        <v>1</v>
      </c>
      <c r="B11" s="13" t="s">
        <v>10</v>
      </c>
      <c r="C11" s="14">
        <f>'APOLO N4'!J1</f>
        <v>25</v>
      </c>
      <c r="D11" s="14">
        <f>'APOLO N4'!J2</f>
        <v>245</v>
      </c>
      <c r="E11" s="14">
        <f>'APOLO N4'!J3</f>
        <v>1960</v>
      </c>
    </row>
    <row r="12" spans="1:6" x14ac:dyDescent="0.3">
      <c r="A12" s="13">
        <v>2</v>
      </c>
      <c r="B12" s="13" t="s">
        <v>11</v>
      </c>
      <c r="C12" s="14">
        <f>'TDC R4'!J1</f>
        <v>19</v>
      </c>
      <c r="D12" s="14">
        <f>'TDC R4'!J2</f>
        <v>350</v>
      </c>
      <c r="E12" s="14">
        <f>'TDC R4'!J3</f>
        <v>2800</v>
      </c>
    </row>
    <row r="13" spans="1:6" x14ac:dyDescent="0.3">
      <c r="A13" s="15"/>
      <c r="B13" s="16" t="s">
        <v>12</v>
      </c>
      <c r="C13" s="17">
        <f>SUM(C11:C12)</f>
        <v>44</v>
      </c>
      <c r="D13" s="17">
        <f>SUM(D11:D12)</f>
        <v>595</v>
      </c>
      <c r="E13" s="17">
        <f>SUM(E11:E12)</f>
        <v>4760</v>
      </c>
    </row>
    <row r="15" spans="1:6" x14ac:dyDescent="0.3">
      <c r="A15" s="6" t="s">
        <v>13</v>
      </c>
      <c r="B15" s="6"/>
      <c r="C15" s="6"/>
      <c r="D15" s="6"/>
      <c r="E15" s="6"/>
      <c r="F15" s="6"/>
    </row>
    <row r="16" spans="1:6" ht="41.4" x14ac:dyDescent="0.3">
      <c r="A16" s="12" t="s">
        <v>5</v>
      </c>
      <c r="B16" s="12" t="s">
        <v>6</v>
      </c>
      <c r="C16" s="12" t="s">
        <v>14</v>
      </c>
      <c r="D16" s="12" t="s">
        <v>15</v>
      </c>
      <c r="E16" s="12" t="s">
        <v>16</v>
      </c>
      <c r="F16" s="12" t="s">
        <v>17</v>
      </c>
    </row>
    <row r="17" spans="1:6" x14ac:dyDescent="0.3">
      <c r="A17" s="13">
        <v>1</v>
      </c>
      <c r="B17" s="13" t="s">
        <v>18</v>
      </c>
      <c r="C17" s="14">
        <f>D11</f>
        <v>245</v>
      </c>
      <c r="D17" s="14">
        <f>'APOLO N4'!J4</f>
        <v>3560</v>
      </c>
      <c r="E17" s="18">
        <f>C17/D17</f>
        <v>6.8820224719101125E-2</v>
      </c>
      <c r="F17" s="14" t="str">
        <f>"1 de cada "&amp;ROUND(D17/C17,0)&amp;" días"</f>
        <v>1 de cada 15 días</v>
      </c>
    </row>
    <row r="18" spans="1:6" x14ac:dyDescent="0.3">
      <c r="A18" s="13">
        <v>2</v>
      </c>
      <c r="B18" s="13" t="s">
        <v>19</v>
      </c>
      <c r="C18" s="14">
        <f>D12</f>
        <v>350</v>
      </c>
      <c r="D18" s="14">
        <f>'TDC R4'!J4</f>
        <v>4913.75</v>
      </c>
      <c r="E18" s="18">
        <f>C18/D18</f>
        <v>7.1228694988552527E-2</v>
      </c>
      <c r="F18" s="14" t="str">
        <f>"1 de cada "&amp;ROUND(D18/C18,0)&amp;" días"</f>
        <v>1 de cada 14 días</v>
      </c>
    </row>
    <row r="19" spans="1:6" ht="26.4" x14ac:dyDescent="0.3">
      <c r="A19" s="15"/>
      <c r="B19" s="16" t="s">
        <v>20</v>
      </c>
      <c r="C19" s="17">
        <f>SUM(C17:C18)</f>
        <v>595</v>
      </c>
      <c r="D19" s="17">
        <f>SUM(D17:D18)</f>
        <v>8473.75</v>
      </c>
      <c r="E19" s="19">
        <f>C19/D19</f>
        <v>7.0216846142498887E-2</v>
      </c>
      <c r="F19" s="17" t="str">
        <f>"1 de cada "&amp;ROUND(D19/C19,0)&amp;" días"</f>
        <v>1 de cada 14 días</v>
      </c>
    </row>
    <row r="21" spans="1:6" ht="15" customHeight="1" x14ac:dyDescent="0.3">
      <c r="A21" s="5" t="s">
        <v>21</v>
      </c>
      <c r="B21" s="5"/>
      <c r="C21" s="5"/>
      <c r="D21" s="5"/>
      <c r="E21" s="5"/>
      <c r="F21" s="5"/>
    </row>
    <row r="22" spans="1:6" x14ac:dyDescent="0.3">
      <c r="A22" s="5"/>
      <c r="B22" s="5"/>
      <c r="C22" s="5"/>
      <c r="D22" s="5"/>
      <c r="E22" s="5"/>
      <c r="F22" s="5"/>
    </row>
    <row r="23" spans="1:6" x14ac:dyDescent="0.3">
      <c r="A23" s="5"/>
      <c r="B23" s="5"/>
      <c r="C23" s="5"/>
      <c r="D23" s="5"/>
      <c r="E23" s="5"/>
      <c r="F23" s="5"/>
    </row>
    <row r="24" spans="1:6" x14ac:dyDescent="0.3">
      <c r="A24" s="5"/>
      <c r="B24" s="5"/>
      <c r="C24" s="5"/>
      <c r="D24" s="5"/>
      <c r="E24" s="5"/>
      <c r="F24" s="5"/>
    </row>
  </sheetData>
  <mergeCells count="7">
    <mergeCell ref="A15:F15"/>
    <mergeCell ref="A21:F24"/>
    <mergeCell ref="A1:F1"/>
    <mergeCell ref="A2:F2"/>
    <mergeCell ref="A4:F4"/>
    <mergeCell ref="A5:F7"/>
    <mergeCell ref="A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5"/>
  <sheetViews>
    <sheetView showGridLines="0" tabSelected="1" zoomScaleNormal="100" workbookViewId="0">
      <selection sqref="A1:G1"/>
    </sheetView>
  </sheetViews>
  <sheetFormatPr defaultColWidth="8.6640625" defaultRowHeight="14.4" x14ac:dyDescent="0.3"/>
  <cols>
    <col min="1" max="1" width="12.6640625" customWidth="1"/>
    <col min="2" max="2" width="50" customWidth="1"/>
    <col min="3" max="3" width="30" customWidth="1"/>
    <col min="4" max="6" width="13" customWidth="1"/>
    <col min="7" max="7" width="11" customWidth="1"/>
    <col min="8" max="8" width="13" hidden="1" customWidth="1"/>
    <col min="10" max="10" width="13" hidden="1" customWidth="1"/>
  </cols>
  <sheetData>
    <row r="1" spans="1:10" ht="30" customHeight="1" x14ac:dyDescent="0.3">
      <c r="A1" s="11" t="s">
        <v>22</v>
      </c>
      <c r="B1" s="11"/>
      <c r="C1" s="11"/>
      <c r="D1" s="11"/>
      <c r="E1" s="11"/>
      <c r="F1" s="11"/>
      <c r="G1" s="11"/>
      <c r="J1" s="20">
        <f>B4</f>
        <v>25</v>
      </c>
    </row>
    <row r="2" spans="1:10" x14ac:dyDescent="0.3">
      <c r="A2" s="4" t="s">
        <v>23</v>
      </c>
      <c r="B2" s="4"/>
      <c r="C2" s="4"/>
      <c r="D2" s="4"/>
      <c r="E2" s="4"/>
      <c r="F2" s="4"/>
      <c r="G2" s="4"/>
      <c r="J2" s="20">
        <f>D4</f>
        <v>245</v>
      </c>
    </row>
    <row r="3" spans="1:10" ht="37.799999999999997" customHeight="1" x14ac:dyDescent="0.3">
      <c r="A3" s="21" t="s">
        <v>24</v>
      </c>
      <c r="B3" s="3" t="s">
        <v>25</v>
      </c>
      <c r="C3" s="3"/>
      <c r="D3" s="3" t="s">
        <v>26</v>
      </c>
      <c r="E3" s="3"/>
      <c r="F3" s="3" t="s">
        <v>27</v>
      </c>
      <c r="G3" s="3"/>
      <c r="J3" s="20">
        <f>F4</f>
        <v>1960</v>
      </c>
    </row>
    <row r="4" spans="1:10" ht="21.75" customHeight="1" x14ac:dyDescent="0.3">
      <c r="A4" s="21" t="s">
        <v>28</v>
      </c>
      <c r="B4" s="2">
        <f>SUM(H7:H41)</f>
        <v>25</v>
      </c>
      <c r="C4" s="2"/>
      <c r="D4" s="2">
        <f>SUMPRODUCT(F7:F41,H7:H41)</f>
        <v>245</v>
      </c>
      <c r="E4" s="2"/>
      <c r="F4" s="2">
        <f>SUMPRODUCT(G7:G41,H7:H41)</f>
        <v>1960</v>
      </c>
      <c r="G4" s="2"/>
      <c r="J4" s="20">
        <v>3560</v>
      </c>
    </row>
    <row r="6" spans="1:10" ht="27.6" x14ac:dyDescent="0.3">
      <c r="A6" s="12" t="s">
        <v>29</v>
      </c>
      <c r="B6" s="12" t="s">
        <v>30</v>
      </c>
      <c r="C6" s="12" t="s">
        <v>31</v>
      </c>
      <c r="D6" s="12" t="s">
        <v>32</v>
      </c>
      <c r="E6" s="12" t="s">
        <v>33</v>
      </c>
      <c r="F6" s="12" t="s">
        <v>34</v>
      </c>
      <c r="G6" s="12" t="s">
        <v>35</v>
      </c>
    </row>
    <row r="7" spans="1:10" x14ac:dyDescent="0.3">
      <c r="A7" s="22" t="s">
        <v>36</v>
      </c>
      <c r="B7" s="23" t="s">
        <v>37</v>
      </c>
      <c r="C7" s="24" t="s">
        <v>38</v>
      </c>
      <c r="D7" s="25">
        <v>46121</v>
      </c>
      <c r="E7" s="25">
        <v>46266</v>
      </c>
      <c r="F7" s="26">
        <v>104</v>
      </c>
      <c r="G7" s="27"/>
      <c r="H7">
        <v>0</v>
      </c>
    </row>
    <row r="8" spans="1:10" x14ac:dyDescent="0.3">
      <c r="A8" s="13" t="s">
        <v>39</v>
      </c>
      <c r="B8" s="28" t="s">
        <v>40</v>
      </c>
      <c r="C8" s="28" t="s">
        <v>38</v>
      </c>
      <c r="D8" s="29">
        <v>46140</v>
      </c>
      <c r="E8" s="29">
        <v>46146</v>
      </c>
      <c r="F8" s="30">
        <v>5</v>
      </c>
      <c r="G8" s="30">
        <f>F8*8</f>
        <v>40</v>
      </c>
      <c r="H8">
        <v>1</v>
      </c>
    </row>
    <row r="9" spans="1:10" x14ac:dyDescent="0.3">
      <c r="A9" s="13" t="s">
        <v>41</v>
      </c>
      <c r="B9" s="28" t="s">
        <v>42</v>
      </c>
      <c r="C9" s="28" t="s">
        <v>38</v>
      </c>
      <c r="D9" s="29">
        <v>46140</v>
      </c>
      <c r="E9" s="29">
        <v>46141</v>
      </c>
      <c r="F9" s="30">
        <v>2</v>
      </c>
      <c r="G9" s="30">
        <f>F9*8</f>
        <v>16</v>
      </c>
      <c r="H9">
        <v>1</v>
      </c>
    </row>
    <row r="10" spans="1:10" x14ac:dyDescent="0.3">
      <c r="A10" s="13" t="s">
        <v>43</v>
      </c>
      <c r="B10" s="28" t="s">
        <v>44</v>
      </c>
      <c r="C10" s="28" t="s">
        <v>38</v>
      </c>
      <c r="D10" s="29">
        <v>46140</v>
      </c>
      <c r="E10" s="29">
        <v>46146</v>
      </c>
      <c r="F10" s="30">
        <v>5</v>
      </c>
      <c r="G10" s="30">
        <f>F10*8</f>
        <v>40</v>
      </c>
      <c r="H10">
        <v>1</v>
      </c>
    </row>
    <row r="11" spans="1:10" x14ac:dyDescent="0.3">
      <c r="A11" s="22" t="s">
        <v>45</v>
      </c>
      <c r="B11" s="23" t="s">
        <v>46</v>
      </c>
      <c r="C11" s="24" t="s">
        <v>38</v>
      </c>
      <c r="D11" s="25">
        <v>46121</v>
      </c>
      <c r="E11" s="25">
        <v>46203</v>
      </c>
      <c r="F11" s="26">
        <v>59</v>
      </c>
      <c r="G11" s="27"/>
      <c r="H11">
        <v>0</v>
      </c>
    </row>
    <row r="12" spans="1:10" x14ac:dyDescent="0.3">
      <c r="A12" s="13" t="s">
        <v>47</v>
      </c>
      <c r="B12" s="28" t="s">
        <v>48</v>
      </c>
      <c r="C12" s="28" t="s">
        <v>38</v>
      </c>
      <c r="D12" s="29">
        <v>46121</v>
      </c>
      <c r="E12" s="29">
        <v>46168</v>
      </c>
      <c r="F12" s="30">
        <v>34</v>
      </c>
      <c r="G12" s="30">
        <f>F12*8</f>
        <v>272</v>
      </c>
      <c r="H12">
        <v>1</v>
      </c>
    </row>
    <row r="13" spans="1:10" x14ac:dyDescent="0.3">
      <c r="A13" s="13" t="s">
        <v>49</v>
      </c>
      <c r="B13" s="28" t="s">
        <v>50</v>
      </c>
      <c r="C13" s="28" t="s">
        <v>38</v>
      </c>
      <c r="D13" s="29">
        <v>46199</v>
      </c>
      <c r="E13" s="29">
        <v>46203</v>
      </c>
      <c r="F13" s="30">
        <v>3</v>
      </c>
      <c r="G13" s="30">
        <f>F13*8</f>
        <v>24</v>
      </c>
      <c r="H13">
        <v>1</v>
      </c>
    </row>
    <row r="14" spans="1:10" x14ac:dyDescent="0.3">
      <c r="A14" s="22" t="s">
        <v>51</v>
      </c>
      <c r="B14" s="23" t="s">
        <v>52</v>
      </c>
      <c r="C14" s="24" t="s">
        <v>38</v>
      </c>
      <c r="D14" s="25">
        <v>46157</v>
      </c>
      <c r="E14" s="25">
        <v>46203</v>
      </c>
      <c r="F14" s="26">
        <v>33</v>
      </c>
      <c r="G14" s="27"/>
      <c r="H14">
        <v>0</v>
      </c>
    </row>
    <row r="15" spans="1:10" x14ac:dyDescent="0.3">
      <c r="A15" s="13" t="s">
        <v>53</v>
      </c>
      <c r="B15" s="28" t="s">
        <v>54</v>
      </c>
      <c r="C15" s="28" t="s">
        <v>38</v>
      </c>
      <c r="D15" s="29">
        <v>46157</v>
      </c>
      <c r="E15" s="29">
        <v>46162</v>
      </c>
      <c r="F15" s="30">
        <v>4</v>
      </c>
      <c r="G15" s="30">
        <f>F15*8</f>
        <v>32</v>
      </c>
      <c r="H15">
        <v>1</v>
      </c>
    </row>
    <row r="16" spans="1:10" ht="26.4" x14ac:dyDescent="0.3">
      <c r="A16" s="13" t="s">
        <v>55</v>
      </c>
      <c r="B16" s="28" t="s">
        <v>56</v>
      </c>
      <c r="C16" s="28" t="s">
        <v>38</v>
      </c>
      <c r="D16" s="29">
        <v>46162</v>
      </c>
      <c r="E16" s="29">
        <v>46162</v>
      </c>
      <c r="F16" s="30">
        <v>1</v>
      </c>
      <c r="G16" s="30">
        <f>F16*8</f>
        <v>8</v>
      </c>
      <c r="H16">
        <v>1</v>
      </c>
    </row>
    <row r="17" spans="1:8" x14ac:dyDescent="0.3">
      <c r="A17" s="22" t="s">
        <v>57</v>
      </c>
      <c r="B17" s="23" t="s">
        <v>58</v>
      </c>
      <c r="C17" s="24" t="s">
        <v>38</v>
      </c>
      <c r="D17" s="25">
        <v>46162</v>
      </c>
      <c r="E17" s="25">
        <v>46209</v>
      </c>
      <c r="F17" s="26">
        <v>34</v>
      </c>
      <c r="G17" s="27"/>
      <c r="H17">
        <v>0</v>
      </c>
    </row>
    <row r="18" spans="1:8" x14ac:dyDescent="0.3">
      <c r="A18" s="13" t="s">
        <v>59</v>
      </c>
      <c r="B18" s="28" t="s">
        <v>60</v>
      </c>
      <c r="C18" s="28" t="s">
        <v>38</v>
      </c>
      <c r="D18" s="29">
        <v>46162</v>
      </c>
      <c r="E18" s="29">
        <v>46205</v>
      </c>
      <c r="F18" s="30">
        <v>32</v>
      </c>
      <c r="G18" s="30">
        <f t="shared" ref="G18:G23" si="0">F18*8</f>
        <v>256</v>
      </c>
      <c r="H18">
        <v>1</v>
      </c>
    </row>
    <row r="19" spans="1:8" ht="26.4" x14ac:dyDescent="0.3">
      <c r="A19" s="13" t="s">
        <v>61</v>
      </c>
      <c r="B19" s="28" t="s">
        <v>62</v>
      </c>
      <c r="C19" s="28" t="s">
        <v>38</v>
      </c>
      <c r="D19" s="29">
        <v>46184</v>
      </c>
      <c r="E19" s="29">
        <v>46203</v>
      </c>
      <c r="F19" s="30">
        <v>14</v>
      </c>
      <c r="G19" s="30">
        <f t="shared" si="0"/>
        <v>112</v>
      </c>
      <c r="H19">
        <v>1</v>
      </c>
    </row>
    <row r="20" spans="1:8" ht="26.4" x14ac:dyDescent="0.3">
      <c r="A20" s="13" t="s">
        <v>63</v>
      </c>
      <c r="B20" s="28" t="s">
        <v>64</v>
      </c>
      <c r="C20" s="28" t="s">
        <v>38</v>
      </c>
      <c r="D20" s="29">
        <v>46183</v>
      </c>
      <c r="E20" s="29">
        <v>46198</v>
      </c>
      <c r="F20" s="30">
        <v>12</v>
      </c>
      <c r="G20" s="30">
        <f t="shared" si="0"/>
        <v>96</v>
      </c>
      <c r="H20">
        <v>1</v>
      </c>
    </row>
    <row r="21" spans="1:8" x14ac:dyDescent="0.3">
      <c r="A21" s="13" t="s">
        <v>65</v>
      </c>
      <c r="B21" s="28" t="s">
        <v>66</v>
      </c>
      <c r="C21" s="28" t="s">
        <v>38</v>
      </c>
      <c r="D21" s="29">
        <v>46183</v>
      </c>
      <c r="E21" s="29">
        <v>46198</v>
      </c>
      <c r="F21" s="30">
        <v>12</v>
      </c>
      <c r="G21" s="30">
        <f t="shared" si="0"/>
        <v>96</v>
      </c>
      <c r="H21">
        <v>1</v>
      </c>
    </row>
    <row r="22" spans="1:8" x14ac:dyDescent="0.3">
      <c r="A22" s="13" t="s">
        <v>67</v>
      </c>
      <c r="B22" s="28" t="s">
        <v>68</v>
      </c>
      <c r="C22" s="28" t="s">
        <v>38</v>
      </c>
      <c r="D22" s="29">
        <v>46183</v>
      </c>
      <c r="E22" s="29">
        <v>46203</v>
      </c>
      <c r="F22" s="30">
        <v>15</v>
      </c>
      <c r="G22" s="30">
        <f t="shared" si="0"/>
        <v>120</v>
      </c>
      <c r="H22">
        <v>1</v>
      </c>
    </row>
    <row r="23" spans="1:8" ht="26.4" x14ac:dyDescent="0.3">
      <c r="A23" s="13" t="s">
        <v>69</v>
      </c>
      <c r="B23" s="28" t="s">
        <v>70</v>
      </c>
      <c r="C23" s="28" t="s">
        <v>71</v>
      </c>
      <c r="D23" s="29">
        <v>46203</v>
      </c>
      <c r="E23" s="29">
        <v>46209</v>
      </c>
      <c r="F23" s="30">
        <v>5</v>
      </c>
      <c r="G23" s="30">
        <f t="shared" si="0"/>
        <v>40</v>
      </c>
      <c r="H23">
        <v>1</v>
      </c>
    </row>
    <row r="24" spans="1:8" x14ac:dyDescent="0.3">
      <c r="A24" s="22" t="s">
        <v>72</v>
      </c>
      <c r="B24" s="23" t="s">
        <v>73</v>
      </c>
      <c r="C24" s="24" t="s">
        <v>74</v>
      </c>
      <c r="D24" s="25">
        <v>46176</v>
      </c>
      <c r="E24" s="25">
        <v>46227</v>
      </c>
      <c r="F24" s="26">
        <v>38</v>
      </c>
      <c r="G24" s="27"/>
      <c r="H24">
        <v>0</v>
      </c>
    </row>
    <row r="25" spans="1:8" ht="26.4" x14ac:dyDescent="0.3">
      <c r="A25" s="13" t="s">
        <v>75</v>
      </c>
      <c r="B25" s="28" t="s">
        <v>76</v>
      </c>
      <c r="C25" s="28" t="s">
        <v>77</v>
      </c>
      <c r="D25" s="29">
        <v>46183</v>
      </c>
      <c r="E25" s="29">
        <v>46227</v>
      </c>
      <c r="F25" s="30">
        <v>33</v>
      </c>
      <c r="G25" s="30">
        <f>F25*8</f>
        <v>264</v>
      </c>
      <c r="H25">
        <v>1</v>
      </c>
    </row>
    <row r="26" spans="1:8" ht="26.4" x14ac:dyDescent="0.3">
      <c r="A26" s="13" t="s">
        <v>78</v>
      </c>
      <c r="B26" s="28" t="s">
        <v>79</v>
      </c>
      <c r="C26" s="28" t="s">
        <v>71</v>
      </c>
      <c r="D26" s="29">
        <v>46209</v>
      </c>
      <c r="E26" s="29">
        <v>46209</v>
      </c>
      <c r="F26" s="30">
        <v>1</v>
      </c>
      <c r="G26" s="30">
        <f>F26*8</f>
        <v>8</v>
      </c>
      <c r="H26">
        <v>1</v>
      </c>
    </row>
    <row r="27" spans="1:8" ht="26.4" x14ac:dyDescent="0.3">
      <c r="A27" s="13" t="s">
        <v>80</v>
      </c>
      <c r="B27" s="28" t="s">
        <v>81</v>
      </c>
      <c r="C27" s="28" t="s">
        <v>71</v>
      </c>
      <c r="D27" s="29">
        <v>46209</v>
      </c>
      <c r="E27" s="29">
        <v>46209</v>
      </c>
      <c r="F27" s="30">
        <v>1</v>
      </c>
      <c r="G27" s="30">
        <f>F27*8</f>
        <v>8</v>
      </c>
      <c r="H27">
        <v>1</v>
      </c>
    </row>
    <row r="28" spans="1:8" ht="26.4" x14ac:dyDescent="0.3">
      <c r="A28" s="13" t="s">
        <v>82</v>
      </c>
      <c r="B28" s="28" t="s">
        <v>83</v>
      </c>
      <c r="C28" s="28" t="s">
        <v>71</v>
      </c>
      <c r="D28" s="29">
        <v>46210</v>
      </c>
      <c r="E28" s="29">
        <v>46212</v>
      </c>
      <c r="F28" s="30">
        <v>3</v>
      </c>
      <c r="G28" s="30">
        <f>F28*8</f>
        <v>24</v>
      </c>
      <c r="H28">
        <v>1</v>
      </c>
    </row>
    <row r="29" spans="1:8" x14ac:dyDescent="0.3">
      <c r="A29" s="22" t="s">
        <v>84</v>
      </c>
      <c r="B29" s="23" t="s">
        <v>85</v>
      </c>
      <c r="C29" s="24" t="s">
        <v>86</v>
      </c>
      <c r="D29" s="25">
        <v>46213</v>
      </c>
      <c r="E29" s="25">
        <v>46233</v>
      </c>
      <c r="F29" s="26">
        <v>15</v>
      </c>
      <c r="G29" s="27"/>
      <c r="H29">
        <v>0</v>
      </c>
    </row>
    <row r="30" spans="1:8" x14ac:dyDescent="0.3">
      <c r="A30" s="13" t="s">
        <v>87</v>
      </c>
      <c r="B30" s="28" t="s">
        <v>88</v>
      </c>
      <c r="C30" s="28" t="s">
        <v>86</v>
      </c>
      <c r="D30" s="29">
        <v>46213</v>
      </c>
      <c r="E30" s="29">
        <v>46233</v>
      </c>
      <c r="F30" s="30">
        <v>15</v>
      </c>
      <c r="G30" s="30">
        <f>F30*8</f>
        <v>120</v>
      </c>
      <c r="H30">
        <v>1</v>
      </c>
    </row>
    <row r="31" spans="1:8" x14ac:dyDescent="0.3">
      <c r="A31" s="22" t="s">
        <v>89</v>
      </c>
      <c r="B31" s="23" t="s">
        <v>90</v>
      </c>
      <c r="C31" s="24" t="s">
        <v>91</v>
      </c>
      <c r="D31" s="25">
        <v>46234</v>
      </c>
      <c r="E31" s="25">
        <v>46241</v>
      </c>
      <c r="F31" s="26">
        <v>6</v>
      </c>
      <c r="G31" s="27"/>
      <c r="H31">
        <v>0</v>
      </c>
    </row>
    <row r="32" spans="1:8" ht="26.4" x14ac:dyDescent="0.3">
      <c r="A32" s="13" t="s">
        <v>92</v>
      </c>
      <c r="B32" s="28" t="s">
        <v>93</v>
      </c>
      <c r="C32" s="28" t="s">
        <v>94</v>
      </c>
      <c r="D32" s="29">
        <v>46234</v>
      </c>
      <c r="E32" s="29">
        <v>46241</v>
      </c>
      <c r="F32" s="30">
        <v>6</v>
      </c>
      <c r="G32" s="30">
        <f>F32*8</f>
        <v>48</v>
      </c>
      <c r="H32">
        <v>1</v>
      </c>
    </row>
    <row r="33" spans="1:8" ht="26.4" x14ac:dyDescent="0.3">
      <c r="A33" s="13" t="s">
        <v>95</v>
      </c>
      <c r="B33" s="28" t="s">
        <v>96</v>
      </c>
      <c r="C33" s="28" t="s">
        <v>97</v>
      </c>
      <c r="D33" s="29">
        <v>46217</v>
      </c>
      <c r="E33" s="29">
        <v>46238</v>
      </c>
      <c r="F33" s="30">
        <v>16</v>
      </c>
      <c r="G33" s="30">
        <f>F33*8</f>
        <v>128</v>
      </c>
      <c r="H33">
        <v>1</v>
      </c>
    </row>
    <row r="34" spans="1:8" x14ac:dyDescent="0.3">
      <c r="A34" s="22" t="s">
        <v>98</v>
      </c>
      <c r="B34" s="23" t="s">
        <v>99</v>
      </c>
      <c r="C34" s="24" t="s">
        <v>100</v>
      </c>
      <c r="D34" s="25">
        <v>46244</v>
      </c>
      <c r="E34" s="25">
        <v>46251</v>
      </c>
      <c r="F34" s="26">
        <v>6</v>
      </c>
      <c r="G34" s="27"/>
      <c r="H34">
        <v>0</v>
      </c>
    </row>
    <row r="35" spans="1:8" x14ac:dyDescent="0.3">
      <c r="A35" s="13" t="s">
        <v>101</v>
      </c>
      <c r="B35" s="28" t="s">
        <v>102</v>
      </c>
      <c r="C35" s="28" t="s">
        <v>103</v>
      </c>
      <c r="D35" s="29">
        <v>46244</v>
      </c>
      <c r="E35" s="29">
        <v>46251</v>
      </c>
      <c r="F35" s="30">
        <v>6</v>
      </c>
      <c r="G35" s="30">
        <f>F35*8</f>
        <v>48</v>
      </c>
      <c r="H35">
        <v>1</v>
      </c>
    </row>
    <row r="36" spans="1:8" x14ac:dyDescent="0.3">
      <c r="A36" s="22" t="s">
        <v>104</v>
      </c>
      <c r="B36" s="23" t="s">
        <v>105</v>
      </c>
      <c r="C36" s="24" t="s">
        <v>106</v>
      </c>
      <c r="D36" s="25">
        <v>46252</v>
      </c>
      <c r="E36" s="25">
        <v>46262</v>
      </c>
      <c r="F36" s="26">
        <v>9</v>
      </c>
      <c r="G36" s="27"/>
      <c r="H36">
        <v>0</v>
      </c>
    </row>
    <row r="37" spans="1:8" x14ac:dyDescent="0.3">
      <c r="A37" s="13" t="s">
        <v>107</v>
      </c>
      <c r="B37" s="28" t="s">
        <v>108</v>
      </c>
      <c r="C37" s="28" t="s">
        <v>109</v>
      </c>
      <c r="D37" s="29">
        <v>46252</v>
      </c>
      <c r="E37" s="29">
        <v>46262</v>
      </c>
      <c r="F37" s="30">
        <v>9</v>
      </c>
      <c r="G37" s="30">
        <f>F37*8</f>
        <v>72</v>
      </c>
      <c r="H37">
        <v>1</v>
      </c>
    </row>
    <row r="38" spans="1:8" x14ac:dyDescent="0.3">
      <c r="A38" s="22" t="s">
        <v>110</v>
      </c>
      <c r="B38" s="23" t="s">
        <v>111</v>
      </c>
      <c r="C38" s="24" t="s">
        <v>112</v>
      </c>
      <c r="D38" s="25">
        <v>46252</v>
      </c>
      <c r="E38" s="25">
        <v>46262</v>
      </c>
      <c r="F38" s="26">
        <v>9</v>
      </c>
      <c r="G38" s="27"/>
      <c r="H38">
        <v>0</v>
      </c>
    </row>
    <row r="39" spans="1:8" x14ac:dyDescent="0.3">
      <c r="A39" s="13" t="s">
        <v>113</v>
      </c>
      <c r="B39" s="28" t="s">
        <v>114</v>
      </c>
      <c r="C39" s="28" t="s">
        <v>115</v>
      </c>
      <c r="D39" s="29">
        <v>46252</v>
      </c>
      <c r="E39" s="29">
        <v>46262</v>
      </c>
      <c r="F39" s="30">
        <v>9</v>
      </c>
      <c r="G39" s="30">
        <f>F39*8</f>
        <v>72</v>
      </c>
      <c r="H39">
        <v>1</v>
      </c>
    </row>
    <row r="40" spans="1:8" x14ac:dyDescent="0.3">
      <c r="A40" s="13" t="s">
        <v>116</v>
      </c>
      <c r="B40" s="28" t="s">
        <v>117</v>
      </c>
      <c r="C40" s="28" t="s">
        <v>118</v>
      </c>
      <c r="D40" s="29">
        <v>46265</v>
      </c>
      <c r="E40" s="29">
        <v>46265</v>
      </c>
      <c r="F40" s="30">
        <v>1</v>
      </c>
      <c r="G40" s="30">
        <f>F40*8</f>
        <v>8</v>
      </c>
      <c r="H40">
        <v>1</v>
      </c>
    </row>
    <row r="41" spans="1:8" x14ac:dyDescent="0.3">
      <c r="A41" s="13" t="s">
        <v>119</v>
      </c>
      <c r="B41" s="28" t="s">
        <v>120</v>
      </c>
      <c r="C41" s="28" t="s">
        <v>118</v>
      </c>
      <c r="D41" s="29">
        <v>46266</v>
      </c>
      <c r="E41" s="29">
        <v>46266</v>
      </c>
      <c r="F41" s="30">
        <v>1</v>
      </c>
      <c r="G41" s="30">
        <f>F41*8</f>
        <v>8</v>
      </c>
      <c r="H41">
        <v>1</v>
      </c>
    </row>
    <row r="43" spans="1:8" ht="60" customHeight="1" x14ac:dyDescent="0.3">
      <c r="A43" s="1" t="s">
        <v>121</v>
      </c>
      <c r="B43" s="1"/>
      <c r="C43" s="1"/>
      <c r="D43" s="1"/>
      <c r="E43" s="1"/>
      <c r="F43" s="1"/>
      <c r="G43" s="1"/>
    </row>
    <row r="44" spans="1:8" x14ac:dyDescent="0.3">
      <c r="A44" s="1"/>
      <c r="B44" s="1"/>
      <c r="C44" s="1"/>
      <c r="D44" s="1"/>
      <c r="E44" s="1"/>
      <c r="F44" s="1"/>
      <c r="G44" s="1"/>
    </row>
    <row r="45" spans="1:8" x14ac:dyDescent="0.3">
      <c r="A45" s="1"/>
      <c r="B45" s="1"/>
      <c r="C45" s="1"/>
      <c r="D45" s="1"/>
      <c r="E45" s="1"/>
      <c r="F45" s="1"/>
      <c r="G45" s="1"/>
    </row>
  </sheetData>
  <mergeCells count="9">
    <mergeCell ref="B4:C4"/>
    <mergeCell ref="D4:E4"/>
    <mergeCell ref="F4:G4"/>
    <mergeCell ref="A43:G45"/>
    <mergeCell ref="A1:G1"/>
    <mergeCell ref="A2:G2"/>
    <mergeCell ref="B3:C3"/>
    <mergeCell ref="D3:E3"/>
    <mergeCell ref="F3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9"/>
  <sheetViews>
    <sheetView showGridLines="0" zoomScaleNormal="100" workbookViewId="0">
      <selection activeCell="F3" sqref="F3:G3"/>
    </sheetView>
  </sheetViews>
  <sheetFormatPr defaultColWidth="8.6640625" defaultRowHeight="14.4" x14ac:dyDescent="0.3"/>
  <cols>
    <col min="1" max="1" width="13.33203125" customWidth="1"/>
    <col min="2" max="2" width="50" customWidth="1"/>
    <col min="3" max="3" width="30" customWidth="1"/>
    <col min="4" max="6" width="13" customWidth="1"/>
    <col min="7" max="7" width="11" customWidth="1"/>
    <col min="8" max="8" width="13" hidden="1" customWidth="1"/>
    <col min="10" max="10" width="13" hidden="1" customWidth="1"/>
  </cols>
  <sheetData>
    <row r="1" spans="1:10" ht="30" customHeight="1" x14ac:dyDescent="0.3">
      <c r="A1" s="11" t="s">
        <v>122</v>
      </c>
      <c r="B1" s="11"/>
      <c r="C1" s="11"/>
      <c r="D1" s="11"/>
      <c r="E1" s="11"/>
      <c r="F1" s="11"/>
      <c r="G1" s="11"/>
      <c r="J1" s="20">
        <f>B4</f>
        <v>19</v>
      </c>
    </row>
    <row r="2" spans="1:10" x14ac:dyDescent="0.3">
      <c r="A2" s="4" t="s">
        <v>23</v>
      </c>
      <c r="B2" s="4"/>
      <c r="C2" s="4"/>
      <c r="D2" s="4"/>
      <c r="E2" s="4"/>
      <c r="F2" s="4"/>
      <c r="G2" s="4"/>
      <c r="J2" s="20">
        <f>D4</f>
        <v>350</v>
      </c>
    </row>
    <row r="3" spans="1:10" ht="39" customHeight="1" x14ac:dyDescent="0.3">
      <c r="A3" s="21" t="s">
        <v>24</v>
      </c>
      <c r="B3" s="3" t="s">
        <v>25</v>
      </c>
      <c r="C3" s="3"/>
      <c r="D3" s="3" t="s">
        <v>26</v>
      </c>
      <c r="E3" s="3"/>
      <c r="F3" s="3" t="s">
        <v>27</v>
      </c>
      <c r="G3" s="3"/>
      <c r="J3" s="20">
        <f>F4</f>
        <v>2800</v>
      </c>
    </row>
    <row r="4" spans="1:10" ht="21.75" customHeight="1" x14ac:dyDescent="0.3">
      <c r="A4" s="21" t="s">
        <v>28</v>
      </c>
      <c r="B4" s="2">
        <f>SUM(H7:H25)</f>
        <v>19</v>
      </c>
      <c r="C4" s="2"/>
      <c r="D4" s="2">
        <f>SUMPRODUCT(F7:F25,H7:H25)</f>
        <v>350</v>
      </c>
      <c r="E4" s="2"/>
      <c r="F4" s="2">
        <f>SUMPRODUCT(G7:G25,H7:H25)</f>
        <v>2800</v>
      </c>
      <c r="G4" s="2"/>
      <c r="J4" s="20">
        <v>4913.75</v>
      </c>
    </row>
    <row r="6" spans="1:10" ht="27.6" x14ac:dyDescent="0.3">
      <c r="A6" s="12" t="s">
        <v>29</v>
      </c>
      <c r="B6" s="12" t="s">
        <v>30</v>
      </c>
      <c r="C6" s="12" t="s">
        <v>31</v>
      </c>
      <c r="D6" s="12" t="s">
        <v>32</v>
      </c>
      <c r="E6" s="12" t="s">
        <v>33</v>
      </c>
      <c r="F6" s="12" t="s">
        <v>34</v>
      </c>
      <c r="G6" s="12" t="s">
        <v>35</v>
      </c>
    </row>
    <row r="7" spans="1:10" ht="26.4" x14ac:dyDescent="0.3">
      <c r="A7" s="13" t="s">
        <v>123</v>
      </c>
      <c r="B7" s="28" t="s">
        <v>124</v>
      </c>
      <c r="C7" s="28" t="s">
        <v>38</v>
      </c>
      <c r="D7" s="29">
        <v>46237</v>
      </c>
      <c r="E7" s="29">
        <v>46248</v>
      </c>
      <c r="F7" s="30">
        <v>10</v>
      </c>
      <c r="G7" s="30">
        <f t="shared" ref="G7:G25" si="0">F7*8</f>
        <v>80</v>
      </c>
      <c r="H7">
        <v>1</v>
      </c>
    </row>
    <row r="8" spans="1:10" x14ac:dyDescent="0.3">
      <c r="A8" s="13" t="s">
        <v>125</v>
      </c>
      <c r="B8" s="28" t="s">
        <v>126</v>
      </c>
      <c r="C8" s="28" t="s">
        <v>38</v>
      </c>
      <c r="D8" s="29">
        <v>46237</v>
      </c>
      <c r="E8" s="29">
        <v>46248</v>
      </c>
      <c r="F8" s="30">
        <v>10</v>
      </c>
      <c r="G8" s="30">
        <f t="shared" si="0"/>
        <v>80</v>
      </c>
      <c r="H8">
        <v>1</v>
      </c>
    </row>
    <row r="9" spans="1:10" x14ac:dyDescent="0.3">
      <c r="A9" s="13" t="s">
        <v>127</v>
      </c>
      <c r="B9" s="28" t="s">
        <v>128</v>
      </c>
      <c r="C9" s="28" t="s">
        <v>38</v>
      </c>
      <c r="D9" s="29">
        <v>46237</v>
      </c>
      <c r="E9" s="29">
        <v>46248</v>
      </c>
      <c r="F9" s="30">
        <v>10</v>
      </c>
      <c r="G9" s="30">
        <f t="shared" si="0"/>
        <v>80</v>
      </c>
      <c r="H9">
        <v>1</v>
      </c>
    </row>
    <row r="10" spans="1:10" x14ac:dyDescent="0.3">
      <c r="A10" s="13" t="s">
        <v>129</v>
      </c>
      <c r="B10" s="28" t="s">
        <v>130</v>
      </c>
      <c r="C10" s="28" t="s">
        <v>38</v>
      </c>
      <c r="D10" s="29">
        <v>46243</v>
      </c>
      <c r="E10" s="29">
        <v>46316</v>
      </c>
      <c r="F10" s="30">
        <v>54</v>
      </c>
      <c r="G10" s="30">
        <f t="shared" si="0"/>
        <v>432</v>
      </c>
      <c r="H10">
        <v>1</v>
      </c>
    </row>
    <row r="11" spans="1:10" ht="26.4" x14ac:dyDescent="0.3">
      <c r="A11" s="13" t="s">
        <v>131</v>
      </c>
      <c r="B11" s="28" t="s">
        <v>132</v>
      </c>
      <c r="C11" s="28" t="s">
        <v>133</v>
      </c>
      <c r="D11" s="29">
        <v>46352</v>
      </c>
      <c r="E11" s="29">
        <v>46367</v>
      </c>
      <c r="F11" s="30">
        <v>12</v>
      </c>
      <c r="G11" s="30">
        <f t="shared" si="0"/>
        <v>96</v>
      </c>
      <c r="H11">
        <v>1</v>
      </c>
    </row>
    <row r="12" spans="1:10" ht="26.4" x14ac:dyDescent="0.3">
      <c r="A12" s="13" t="s">
        <v>134</v>
      </c>
      <c r="B12" s="28" t="s">
        <v>135</v>
      </c>
      <c r="C12" s="28" t="s">
        <v>136</v>
      </c>
      <c r="D12" s="29">
        <v>46179</v>
      </c>
      <c r="E12" s="29">
        <v>46192</v>
      </c>
      <c r="F12" s="30">
        <v>10</v>
      </c>
      <c r="G12" s="30">
        <f t="shared" si="0"/>
        <v>80</v>
      </c>
      <c r="H12">
        <v>1</v>
      </c>
    </row>
    <row r="13" spans="1:10" x14ac:dyDescent="0.3">
      <c r="A13" s="13" t="s">
        <v>137</v>
      </c>
      <c r="B13" s="28" t="s">
        <v>138</v>
      </c>
      <c r="C13" s="28" t="s">
        <v>38</v>
      </c>
      <c r="D13" s="29">
        <v>46199</v>
      </c>
      <c r="E13" s="29">
        <v>46220</v>
      </c>
      <c r="F13" s="30">
        <v>16</v>
      </c>
      <c r="G13" s="30">
        <f t="shared" si="0"/>
        <v>128</v>
      </c>
      <c r="H13">
        <v>1</v>
      </c>
    </row>
    <row r="14" spans="1:10" ht="26.4" x14ac:dyDescent="0.3">
      <c r="A14" s="13" t="s">
        <v>139</v>
      </c>
      <c r="B14" s="28" t="s">
        <v>140</v>
      </c>
      <c r="C14" s="28" t="s">
        <v>133</v>
      </c>
      <c r="D14" s="29">
        <v>46199</v>
      </c>
      <c r="E14" s="29">
        <v>46220</v>
      </c>
      <c r="F14" s="30">
        <v>16</v>
      </c>
      <c r="G14" s="30">
        <f t="shared" si="0"/>
        <v>128</v>
      </c>
      <c r="H14">
        <v>1</v>
      </c>
    </row>
    <row r="15" spans="1:10" ht="26.4" x14ac:dyDescent="0.3">
      <c r="A15" s="13" t="s">
        <v>141</v>
      </c>
      <c r="B15" s="28" t="s">
        <v>142</v>
      </c>
      <c r="C15" s="28" t="s">
        <v>133</v>
      </c>
      <c r="D15" s="29">
        <v>46199</v>
      </c>
      <c r="E15" s="29">
        <v>46220</v>
      </c>
      <c r="F15" s="30">
        <v>16</v>
      </c>
      <c r="G15" s="30">
        <f t="shared" si="0"/>
        <v>128</v>
      </c>
      <c r="H15">
        <v>1</v>
      </c>
    </row>
    <row r="16" spans="1:10" ht="26.4" x14ac:dyDescent="0.3">
      <c r="A16" s="13" t="s">
        <v>143</v>
      </c>
      <c r="B16" s="28" t="s">
        <v>144</v>
      </c>
      <c r="C16" s="28" t="s">
        <v>133</v>
      </c>
      <c r="D16" s="29">
        <v>46199</v>
      </c>
      <c r="E16" s="29">
        <v>46220</v>
      </c>
      <c r="F16" s="30">
        <v>16</v>
      </c>
      <c r="G16" s="30">
        <f t="shared" si="0"/>
        <v>128</v>
      </c>
      <c r="H16">
        <v>1</v>
      </c>
    </row>
    <row r="17" spans="1:8" x14ac:dyDescent="0.3">
      <c r="A17" s="13" t="s">
        <v>145</v>
      </c>
      <c r="B17" s="28" t="s">
        <v>146</v>
      </c>
      <c r="C17" s="28" t="s">
        <v>147</v>
      </c>
      <c r="D17" s="29">
        <v>46251</v>
      </c>
      <c r="E17" s="29">
        <v>46262</v>
      </c>
      <c r="F17" s="30">
        <v>10</v>
      </c>
      <c r="G17" s="30">
        <f t="shared" si="0"/>
        <v>80</v>
      </c>
      <c r="H17">
        <v>1</v>
      </c>
    </row>
    <row r="18" spans="1:8" x14ac:dyDescent="0.3">
      <c r="A18" s="13" t="s">
        <v>148</v>
      </c>
      <c r="B18" s="28" t="s">
        <v>149</v>
      </c>
      <c r="C18" s="28" t="s">
        <v>150</v>
      </c>
      <c r="D18" s="29">
        <v>46181</v>
      </c>
      <c r="E18" s="29">
        <v>46192</v>
      </c>
      <c r="F18" s="30">
        <v>10</v>
      </c>
      <c r="G18" s="30">
        <f t="shared" si="0"/>
        <v>80</v>
      </c>
      <c r="H18">
        <v>1</v>
      </c>
    </row>
    <row r="19" spans="1:8" x14ac:dyDescent="0.3">
      <c r="A19" s="13" t="s">
        <v>151</v>
      </c>
      <c r="B19" s="28" t="s">
        <v>152</v>
      </c>
      <c r="C19" s="28" t="s">
        <v>150</v>
      </c>
      <c r="D19" s="29">
        <v>46167</v>
      </c>
      <c r="E19" s="29">
        <v>46178</v>
      </c>
      <c r="F19" s="30">
        <v>10</v>
      </c>
      <c r="G19" s="30">
        <f t="shared" si="0"/>
        <v>80</v>
      </c>
      <c r="H19">
        <v>1</v>
      </c>
    </row>
    <row r="20" spans="1:8" x14ac:dyDescent="0.3">
      <c r="A20" s="13" t="s">
        <v>153</v>
      </c>
      <c r="B20" s="28" t="s">
        <v>154</v>
      </c>
      <c r="C20" s="28" t="s">
        <v>150</v>
      </c>
      <c r="D20" s="29">
        <v>46223</v>
      </c>
      <c r="E20" s="29">
        <v>46255</v>
      </c>
      <c r="F20" s="30">
        <v>25</v>
      </c>
      <c r="G20" s="30">
        <f t="shared" si="0"/>
        <v>200</v>
      </c>
      <c r="H20">
        <v>1</v>
      </c>
    </row>
    <row r="21" spans="1:8" x14ac:dyDescent="0.3">
      <c r="A21" s="13" t="s">
        <v>155</v>
      </c>
      <c r="B21" s="28" t="s">
        <v>156</v>
      </c>
      <c r="C21" s="28" t="s">
        <v>150</v>
      </c>
      <c r="D21" s="29">
        <v>46223</v>
      </c>
      <c r="E21" s="29">
        <v>46255</v>
      </c>
      <c r="F21" s="30">
        <v>25</v>
      </c>
      <c r="G21" s="30">
        <f t="shared" si="0"/>
        <v>200</v>
      </c>
      <c r="H21">
        <v>1</v>
      </c>
    </row>
    <row r="22" spans="1:8" x14ac:dyDescent="0.3">
      <c r="A22" s="13" t="s">
        <v>157</v>
      </c>
      <c r="B22" s="28" t="s">
        <v>158</v>
      </c>
      <c r="C22" s="28" t="s">
        <v>150</v>
      </c>
      <c r="D22" s="29">
        <v>46223</v>
      </c>
      <c r="E22" s="29">
        <v>46255</v>
      </c>
      <c r="F22" s="30">
        <v>25</v>
      </c>
      <c r="G22" s="30">
        <f t="shared" si="0"/>
        <v>200</v>
      </c>
      <c r="H22">
        <v>1</v>
      </c>
    </row>
    <row r="23" spans="1:8" x14ac:dyDescent="0.3">
      <c r="A23" s="13" t="s">
        <v>159</v>
      </c>
      <c r="B23" s="28" t="s">
        <v>160</v>
      </c>
      <c r="C23" s="28" t="s">
        <v>150</v>
      </c>
      <c r="D23" s="29">
        <v>46223</v>
      </c>
      <c r="E23" s="29">
        <v>46255</v>
      </c>
      <c r="F23" s="30">
        <v>25</v>
      </c>
      <c r="G23" s="30">
        <f t="shared" si="0"/>
        <v>200</v>
      </c>
      <c r="H23">
        <v>1</v>
      </c>
    </row>
    <row r="24" spans="1:8" x14ac:dyDescent="0.3">
      <c r="A24" s="13" t="s">
        <v>161</v>
      </c>
      <c r="B24" s="28" t="s">
        <v>162</v>
      </c>
      <c r="C24" s="28" t="s">
        <v>150</v>
      </c>
      <c r="D24" s="29">
        <v>46223</v>
      </c>
      <c r="E24" s="29">
        <v>46255</v>
      </c>
      <c r="F24" s="30">
        <v>25</v>
      </c>
      <c r="G24" s="30">
        <f t="shared" si="0"/>
        <v>200</v>
      </c>
      <c r="H24">
        <v>1</v>
      </c>
    </row>
    <row r="25" spans="1:8" x14ac:dyDescent="0.3">
      <c r="A25" s="13" t="s">
        <v>163</v>
      </c>
      <c r="B25" s="28" t="s">
        <v>164</v>
      </c>
      <c r="C25" s="28" t="s">
        <v>150</v>
      </c>
      <c r="D25" s="29">
        <v>46223</v>
      </c>
      <c r="E25" s="29">
        <v>46255</v>
      </c>
      <c r="F25" s="30">
        <v>25</v>
      </c>
      <c r="G25" s="30">
        <f t="shared" si="0"/>
        <v>200</v>
      </c>
      <c r="H25">
        <v>1</v>
      </c>
    </row>
    <row r="27" spans="1:8" ht="60" customHeight="1" x14ac:dyDescent="0.3">
      <c r="A27" s="1" t="s">
        <v>165</v>
      </c>
      <c r="B27" s="1"/>
      <c r="C27" s="1"/>
      <c r="D27" s="1"/>
      <c r="E27" s="1"/>
      <c r="F27" s="1"/>
      <c r="G27" s="1"/>
    </row>
    <row r="28" spans="1:8" x14ac:dyDescent="0.3">
      <c r="A28" s="1"/>
      <c r="B28" s="1"/>
      <c r="C28" s="1"/>
      <c r="D28" s="1"/>
      <c r="E28" s="1"/>
      <c r="F28" s="1"/>
      <c r="G28" s="1"/>
    </row>
    <row r="29" spans="1:8" x14ac:dyDescent="0.3">
      <c r="A29" s="1"/>
      <c r="B29" s="1"/>
      <c r="C29" s="1"/>
      <c r="D29" s="1"/>
      <c r="E29" s="1"/>
      <c r="F29" s="1"/>
      <c r="G29" s="1"/>
    </row>
  </sheetData>
  <mergeCells count="9">
    <mergeCell ref="B4:C4"/>
    <mergeCell ref="D4:E4"/>
    <mergeCell ref="F4:G4"/>
    <mergeCell ref="A27:G29"/>
    <mergeCell ref="A1:G1"/>
    <mergeCell ref="A2:G2"/>
    <mergeCell ref="B3:C3"/>
    <mergeCell ref="D3:E3"/>
    <mergeCell ref="F3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showGridLines="0" zoomScaleNormal="100" workbookViewId="0">
      <selection sqref="A1:C1"/>
    </sheetView>
  </sheetViews>
  <sheetFormatPr defaultColWidth="8.6640625" defaultRowHeight="14.4" x14ac:dyDescent="0.3"/>
  <cols>
    <col min="1" max="1" width="4" customWidth="1"/>
    <col min="2" max="2" width="38" customWidth="1"/>
    <col min="3" max="3" width="50" customWidth="1"/>
  </cols>
  <sheetData>
    <row r="1" spans="1:3" ht="27.75" customHeight="1" x14ac:dyDescent="0.3">
      <c r="A1" s="11" t="s">
        <v>166</v>
      </c>
      <c r="B1" s="11"/>
      <c r="C1" s="11"/>
    </row>
    <row r="3" spans="1:3" x14ac:dyDescent="0.3">
      <c r="A3" s="12" t="s">
        <v>5</v>
      </c>
      <c r="B3" s="12" t="s">
        <v>167</v>
      </c>
      <c r="C3" s="12" t="s">
        <v>168</v>
      </c>
    </row>
    <row r="4" spans="1:3" ht="42" customHeight="1" x14ac:dyDescent="0.3">
      <c r="A4" s="13">
        <v>1</v>
      </c>
      <c r="B4" s="31" t="s">
        <v>169</v>
      </c>
      <c r="C4" s="28" t="s">
        <v>170</v>
      </c>
    </row>
    <row r="5" spans="1:3" ht="42" customHeight="1" x14ac:dyDescent="0.3">
      <c r="A5" s="13">
        <v>2</v>
      </c>
      <c r="B5" s="31" t="s">
        <v>171</v>
      </c>
      <c r="C5" s="28" t="s">
        <v>172</v>
      </c>
    </row>
    <row r="6" spans="1:3" ht="42" customHeight="1" x14ac:dyDescent="0.3">
      <c r="A6" s="13">
        <v>3</v>
      </c>
      <c r="B6" s="31" t="s">
        <v>173</v>
      </c>
      <c r="C6" s="28" t="s">
        <v>174</v>
      </c>
    </row>
    <row r="7" spans="1:3" ht="42" customHeight="1" x14ac:dyDescent="0.3">
      <c r="A7" s="13">
        <v>4</v>
      </c>
      <c r="B7" s="31" t="s">
        <v>175</v>
      </c>
      <c r="C7" s="28" t="s">
        <v>176</v>
      </c>
    </row>
    <row r="8" spans="1:3" ht="42" customHeight="1" x14ac:dyDescent="0.3">
      <c r="A8" s="13">
        <v>5</v>
      </c>
      <c r="B8" s="31" t="s">
        <v>177</v>
      </c>
      <c r="C8" s="28" t="s">
        <v>178</v>
      </c>
    </row>
    <row r="9" spans="1:3" ht="42" customHeight="1" x14ac:dyDescent="0.3">
      <c r="A9" s="13">
        <v>6</v>
      </c>
      <c r="B9" s="31" t="s">
        <v>179</v>
      </c>
      <c r="C9" s="28" t="s">
        <v>180</v>
      </c>
    </row>
    <row r="10" spans="1:3" ht="42" customHeight="1" x14ac:dyDescent="0.3">
      <c r="A10" s="13">
        <v>7</v>
      </c>
      <c r="B10" s="31" t="s">
        <v>181</v>
      </c>
      <c r="C10" s="28" t="s">
        <v>182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Props1.xml><?xml version="1.0" encoding="utf-8"?>
<ds:datastoreItem xmlns:ds="http://schemas.openxmlformats.org/officeDocument/2006/customXml" ds:itemID="{359F899E-AB69-4880-BB45-05EAC96433AA}"/>
</file>

<file path=customXml/itemProps2.xml><?xml version="1.0" encoding="utf-8"?>
<ds:datastoreItem xmlns:ds="http://schemas.openxmlformats.org/officeDocument/2006/customXml" ds:itemID="{571BAC14-55F4-4913-B2EC-7D63E0BB70FF}"/>
</file>

<file path=customXml/itemProps3.xml><?xml version="1.0" encoding="utf-8"?>
<ds:datastoreItem xmlns:ds="http://schemas.openxmlformats.org/officeDocument/2006/customXml" ds:itemID="{6D182F4D-D67E-44FC-B66B-DFAAE6F4DD6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APOLO N4</vt:lpstr>
      <vt:lpstr>TDC R4</vt:lpstr>
      <vt:lpstr>Tipos de Actividad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Antonio Pichardo, Joaquín Ernesto</cp:lastModifiedBy>
  <cp:revision>0</cp:revision>
  <dcterms:created xsi:type="dcterms:W3CDTF">2026-08-07T23:50:25Z</dcterms:created>
  <dcterms:modified xsi:type="dcterms:W3CDTF">2026-08-07T23:54:45Z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</Properties>
</file>