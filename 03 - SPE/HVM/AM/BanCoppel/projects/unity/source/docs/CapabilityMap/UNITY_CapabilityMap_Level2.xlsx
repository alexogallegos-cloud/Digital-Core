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nálisis L2" sheetId="2" state="visible" r:id="rId4"/>
    <sheet name="Resumen Fit-G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<sst xmlns="http://schemas.openxmlformats.org/spreadsheetml/2006/main" count="1037" uniqueCount="394">
  <si>
    <t xml:space="preserve">UNITY — Análisis de Capacidades Level 2 · Guía de uso</t>
  </si>
  <si>
    <t xml:space="preserve">Herramienta para mapear cobertura funcional de Apolo, Transact y SmartVista a nivel de grupo de proceso (L2).</t>
  </si>
  <si>
    <t xml:space="preserve">  OBJETIVO</t>
  </si>
  <si>
    <t xml:space="preserve">1. Validar y refinar los Grupos de Proceso L2 propuestos en talleres con arquitectura.</t>
  </si>
  <si>
    <t xml:space="preserve">2. Evaluar cobertura de Apolo y SmartVista completando las columnas amarillas en 'Análisis L2'.</t>
  </si>
  <si>
    <t xml:space="preserve">3. Identificar gaps absolutos (nadie cubre) y riesgos de regresión (legado cubre, UNITY no).</t>
  </si>
  <si>
    <t xml:space="preserve">4. Generar el insumo para E-AQ-03 (Arquitecturas Transitorias) y el Fit/Gap log (MR-04).</t>
  </si>
  <si>
    <t xml:space="preserve">  NIVELES DE COBERTURA — usar en columnas Apolo, Transact, SmartVista</t>
  </si>
  <si>
    <t xml:space="preserve">P — En producción</t>
  </si>
  <si>
    <t xml:space="preserve">La plataforma cubre este proceso en producción en BanCoppel</t>
  </si>
  <si>
    <t xml:space="preserve">D — Implementado, no desplegado</t>
  </si>
  <si>
    <t xml:space="preserve">Desarrollado/configurado, aún no en producción</t>
  </si>
  <si>
    <t xml:space="preserve">C — Configurable sin desarrollo</t>
  </si>
  <si>
    <t xml:space="preserve">El producto lo soporta out-of-the-box con configuración</t>
  </si>
  <si>
    <t xml:space="preserve">X — Configurable con desarrollo</t>
  </si>
  <si>
    <t xml:space="preserve">Requiere desarrollo o parametrización significativa</t>
  </si>
  <si>
    <t xml:space="preserve">N — No cubierto</t>
  </si>
  <si>
    <t xml:space="preserve">El producto no cubre este proceso en su roadmap actual</t>
  </si>
  <si>
    <t xml:space="preserve">TBD — Por definir</t>
  </si>
  <si>
    <t xml:space="preserve">Pendiente de validar con el equipo de la plataforma</t>
  </si>
  <si>
    <t xml:space="preserve">PAR — Parcial (solo Legado)</t>
  </si>
  <si>
    <t xml:space="preserve">Cobertura parcial — solo aplica a columna Legado AS-IS</t>
  </si>
  <si>
    <t xml:space="preserve">  COLUMNAS — qué rellenar en el taller</t>
  </si>
  <si>
    <t xml:space="preserve">Capacidad L1</t>
  </si>
  <si>
    <t xml:space="preserve">No modificar — viene de doc 10 (Arquitectura Referencia UNITY)</t>
  </si>
  <si>
    <t xml:space="preserve">Grupo de Proceso L2</t>
  </si>
  <si>
    <t xml:space="preserve">Propuesta inicial — validar y ajustar con SMEs en taller</t>
  </si>
  <si>
    <t xml:space="preserve">Descripción funcional</t>
  </si>
  <si>
    <t xml:space="preserve">Qué hace este proceso — refinar con el equipo</t>
  </si>
  <si>
    <t xml:space="preserve">Legado AS-IS</t>
  </si>
  <si>
    <t xml:space="preserve">Pre-poblado desde doc 12 — validar con Gerentes de Legado</t>
  </si>
  <si>
    <t xml:space="preserve">Apolo</t>
  </si>
  <si>
    <t xml:space="preserve">⬛ COMPLETAR en taller con equipo Apolo</t>
  </si>
  <si>
    <t xml:space="preserve">Transact</t>
  </si>
  <si>
    <t xml:space="preserve">Pre-poblado desde doc 11 (EY) — validar con EY en sesión</t>
  </si>
  <si>
    <t xml:space="preserve">SmartVista</t>
  </si>
  <si>
    <t xml:space="preserve">⬛ COMPLETAR en taller con equipo SmartVista / BPC</t>
  </si>
  <si>
    <t xml:space="preserve">Gap</t>
  </si>
  <si>
    <t xml:space="preserve">Auto-calculado: ⚠ Regresión si legado cubre y UNITY no</t>
  </si>
  <si>
    <t xml:space="preserve">Release / Nota EY</t>
  </si>
  <si>
    <t xml:space="preserve">Release de Transact donde se activa (de doc 11)</t>
  </si>
  <si>
    <t xml:space="preserve">Condiciones / Prerequisitos</t>
  </si>
  <si>
    <t xml:space="preserve">Integración, dato o config necesaria para activar cobertura</t>
  </si>
  <si>
    <t xml:space="preserve">Limitaciones conocidas</t>
  </si>
  <si>
    <t xml:space="preserve">Qué queda fuera aunque el nivel sea P o C</t>
  </si>
  <si>
    <t xml:space="preserve">Observaciones validadas</t>
  </si>
  <si>
    <t xml:space="preserve">Acuerdos y decisiones tomadas en taller</t>
  </si>
  <si>
    <t xml:space="preserve">  FLUJO DE TRABAJO SUGERIDO</t>
  </si>
  <si>
    <t xml:space="preserve">Paso 1 — Preparación (semana 1-2)</t>
  </si>
  <si>
    <t xml:space="preserve">Arquitectura revisa y ajusta grupos de proceso L2 propuestos. Añadir/eliminar filas en 'Análisis L2' según sea necesario.</t>
  </si>
  <si>
    <t xml:space="preserve">Paso 2 — Taller Transact (semana 3-4)</t>
  </si>
  <si>
    <t xml:space="preserve">Validar columna Transact con EY. Completar Release, Condiciones y Limitaciones.</t>
  </si>
  <si>
    <t xml:space="preserve">Paso 3 — Taller Apolo (semana 3-4)</t>
  </si>
  <si>
    <t xml:space="preserve">Completar columna Apolo con el equipo de la plataforma. Usar el desplegable en cada celda.</t>
  </si>
  <si>
    <t xml:space="preserve">Paso 4 — Taller SmartVista (semana 3-4)</t>
  </si>
  <si>
    <t xml:space="preserve">Completar columna SmartVista con BPC. Usar el desplegable en cada celda.</t>
  </si>
  <si>
    <t xml:space="preserve">Paso 5 — Análisis de gaps (semana 5-6)</t>
  </si>
  <si>
    <t xml:space="preserve">Revisar columna Gap y hoja 'Resumen Fit-Gap'. Escalar gaps críticos a Edgar Mejía y Accenture.</t>
  </si>
  <si>
    <t xml:space="preserve">Paso 6 — Publicar resultado</t>
  </si>
  <si>
    <t xml:space="preserve">El output alimenta E-AQ-03 (Arquitecturas Transitorias) y el Fit/Gap log de MR-04.</t>
  </si>
  <si>
    <t xml:space="preserve">UNITY — Análisis de Cobertura de Capacidades · Level 2</t>
  </si>
  <si>
    <t xml:space="preserve">Fuentes: doc10 (Ref.Arq) · doc11 (EY-Transact) · doc12 (AS-IS)  ⬛ Columnas Apolo y SmartVista = completar en taller (celdas en amarillo)</t>
  </si>
  <si>
    <t xml:space="preserve">🏦 Legado AS-IS</t>
  </si>
  <si>
    <t xml:space="preserve">🔵 Apolo</t>
  </si>
  <si>
    <t xml:space="preserve">🟠 Transact</t>
  </si>
  <si>
    <t xml:space="preserve">🟢 SmartVista</t>
  </si>
  <si>
    <t xml:space="preserve">#</t>
  </si>
  <si>
    <t xml:space="preserve">Sección</t>
  </si>
  <si>
    <t xml:space="preserve">Capacidad (L1)</t>
  </si>
  <si>
    <t xml:space="preserve">Grupo de Proceso (L2)</t>
  </si>
  <si>
    <t xml:space="preserve">▌ CAPACIDADES DE NEGOCIO</t>
  </si>
  <si>
    <t xml:space="preserve">  Clase de producto: depósitos</t>
  </si>
  <si>
    <t xml:space="preserve">NEG</t>
  </si>
  <si>
    <t xml:space="preserve">Clase de producto: depósitos</t>
  </si>
  <si>
    <t xml:space="preserve">Definición y parametrización de producto</t>
  </si>
  <si>
    <t xml:space="preserve">Configuración de tipo de cuenta, producto, condiciones base</t>
  </si>
  <si>
    <t xml:space="preserve">← completar</t>
  </si>
  <si>
    <t xml:space="preserve">R1 — configuración de productos</t>
  </si>
  <si>
    <t xml:space="preserve">Configuración de tarifas y comisiones</t>
  </si>
  <si>
    <t xml:space="preserve">Precio, comisiones, penalizaciones por producto</t>
  </si>
  <si>
    <t xml:space="preserve">R1 — Precio, comisiones y tarifas</t>
  </si>
  <si>
    <t xml:space="preserve">Configuración de reglas de negocio</t>
  </si>
  <si>
    <t xml:space="preserve">Motor de reglas por producto, condiciones especiales</t>
  </si>
  <si>
    <t xml:space="preserve">R1 — Definición del motor de reglas</t>
  </si>
  <si>
    <t xml:space="preserve">Gestión del catálogo de productos</t>
  </si>
  <si>
    <t xml:space="preserve">Catálogo centralizado de productos activos e históricos</t>
  </si>
  <si>
    <t xml:space="preserve">PAR — Parcial (legado)</t>
  </si>
  <si>
    <t xml:space="preserve">R1 — Capacidades de gestión de productos</t>
  </si>
  <si>
    <t xml:space="preserve">  Gestión de cuentas / créditos</t>
  </si>
  <si>
    <t xml:space="preserve">Gestión de cuentas / créditos</t>
  </si>
  <si>
    <t xml:space="preserve">Apertura y originación</t>
  </si>
  <si>
    <t xml:space="preserve">Alta de cuenta o crédito, vinculación de cliente, documentación</t>
  </si>
  <si>
    <t xml:space="preserve">R2 — Originación de cuentas/préstamos</t>
  </si>
  <si>
    <t xml:space="preserve">Mantenimiento y configuración</t>
  </si>
  <si>
    <t xml:space="preserve">Cambio de condiciones, actualización de datos, parametrización</t>
  </si>
  <si>
    <t xml:space="preserve">R2 — Servicios de configuración</t>
  </si>
  <si>
    <t xml:space="preserve">Operaciones de fondeo y retiro</t>
  </si>
  <si>
    <t xml:space="preserve">Depósitos, retiros, transferencias entre cuentas</t>
  </si>
  <si>
    <t xml:space="preserve">R2 — Depositar fondos / Transferir fondos / Retirar fondos</t>
  </si>
  <si>
    <t xml:space="preserve">Gestión de titularidad y contratos</t>
  </si>
  <si>
    <t xml:space="preserve">Avales, obligados solidarios, copropiedad, contrato</t>
  </si>
  <si>
    <t xml:space="preserve">R2 — Gestión de Titular / avales / obligados solidarios</t>
  </si>
  <si>
    <t xml:space="preserve">Bloqueo / desbloqueo y restricciones</t>
  </si>
  <si>
    <t xml:space="preserve">Bloqueo de disposiciones, cuentas, límites de operación</t>
  </si>
  <si>
    <t xml:space="preserve">R1 — Bloqueo/desbloqueo/Bloqueo de disposiciones</t>
  </si>
  <si>
    <t xml:space="preserve">Eventos automatizados y calendario</t>
  </si>
  <si>
    <t xml:space="preserve">Procesamiento de vencimientos, renovaciones, calendarios batch</t>
  </si>
  <si>
    <t xml:space="preserve">R2 — Eventos activados por calendario y por cliente</t>
  </si>
  <si>
    <t xml:space="preserve">Servicios de pago de facturas y domiciliación</t>
  </si>
  <si>
    <t xml:space="preserve">Pagos programados, domiciliación, pago de facturas</t>
  </si>
  <si>
    <t xml:space="preserve">R2 — Servicios de pago de facturas en línea</t>
  </si>
  <si>
    <t xml:space="preserve">Cierre y cancelación</t>
  </si>
  <si>
    <t xml:space="preserve">Liquidación, cancelación, archivado de cuenta o crédito</t>
  </si>
  <si>
    <t xml:space="preserve">R2 — Cierre de cuenta / Cancelación / liquidación</t>
  </si>
  <si>
    <t xml:space="preserve">  Gestión documental</t>
  </si>
  <si>
    <t xml:space="preserve">Gestión documental</t>
  </si>
  <si>
    <t xml:space="preserve">Generación de documentos contractuales</t>
  </si>
  <si>
    <t xml:space="preserve">Contratos, pagarés, cartas de aceptación</t>
  </si>
  <si>
    <t xml:space="preserve">Sin cobertura confirmada en EY</t>
  </si>
  <si>
    <t xml:space="preserve">Captura y almacenamiento de documentos</t>
  </si>
  <si>
    <t xml:space="preserve">Digitalización, indexación, custodia de expediente</t>
  </si>
  <si>
    <t xml:space="preserve">Gestión de plantillas de comunicación</t>
  </si>
  <si>
    <t xml:space="preserve">Cartas, estados, notificaciones</t>
  </si>
  <si>
    <t xml:space="preserve">Archivo y recuperación histórica</t>
  </si>
  <si>
    <t xml:space="preserve">Búsqueda, consulta y recuperación de documentos históricos</t>
  </si>
  <si>
    <t xml:space="preserve">  Marketing</t>
  </si>
  <si>
    <t xml:space="preserve">Marketing</t>
  </si>
  <si>
    <t xml:space="preserve">Gestión de campañas y segmentación</t>
  </si>
  <si>
    <t xml:space="preserve">Definición, ejecución y seguimiento de campañas</t>
  </si>
  <si>
    <t xml:space="preserve">Sin cobertura en EY</t>
  </si>
  <si>
    <t xml:space="preserve">Gestión de garantías y seguros</t>
  </si>
  <si>
    <t xml:space="preserve">Productos de garantía, seguros vinculados a producto</t>
  </si>
  <si>
    <t xml:space="preserve">Investigación y encuestas</t>
  </si>
  <si>
    <t xml:space="preserve">NPS, encuestas de satisfacción, investigación de mercado</t>
  </si>
  <si>
    <t xml:space="preserve">  Proceso de cuenta</t>
  </si>
  <si>
    <t xml:space="preserve">Proceso de cuenta</t>
  </si>
  <si>
    <t xml:space="preserve">Procesamiento de ajustes</t>
  </si>
  <si>
    <t xml:space="preserve">Ajustes manuales, correcciones, reversos</t>
  </si>
  <si>
    <t xml:space="preserve">R2 — Ajustes</t>
  </si>
  <si>
    <t xml:space="preserve">Procesamiento de saldos y posiciones</t>
  </si>
  <si>
    <t xml:space="preserve">Cálculo y actualización de saldos en tiempo real</t>
  </si>
  <si>
    <t xml:space="preserve">R1 — Procesamiento de saldos</t>
  </si>
  <si>
    <t xml:space="preserve">Gestión de excepciones</t>
  </si>
  <si>
    <t xml:space="preserve">Operaciones rechazadas, errores, pendientes de resolución</t>
  </si>
  <si>
    <t xml:space="preserve">R2 — Excepciones</t>
  </si>
  <si>
    <t xml:space="preserve">Contabilización de operaciones</t>
  </si>
  <si>
    <t xml:space="preserve">Generación de asientos contables por operación</t>
  </si>
  <si>
    <t xml:space="preserve">R1 — Contabilidad</t>
  </si>
  <si>
    <t xml:space="preserve">Reconciliación y cuadres</t>
  </si>
  <si>
    <t xml:space="preserve">Cuadre entre sistemas, conciliaciones automáticas</t>
  </si>
  <si>
    <t xml:space="preserve">R2 — Reconciliaciones</t>
  </si>
  <si>
    <t xml:space="preserve">  Ventas</t>
  </si>
  <si>
    <t xml:space="preserve">Ventas</t>
  </si>
  <si>
    <t xml:space="preserve">Gestión de prospectos</t>
  </si>
  <si>
    <t xml:space="preserve">Pipeline de nuevos clientes, conversión</t>
  </si>
  <si>
    <t xml:space="preserve">Gestión de la relación con el cliente</t>
  </si>
  <si>
    <t xml:space="preserve">CRM, historial de interacciones, seguimiento</t>
  </si>
  <si>
    <t xml:space="preserve">Sin cobertura en EY — brecha crítica</t>
  </si>
  <si>
    <t xml:space="preserve">Incentivos y ventas cruzadas</t>
  </si>
  <si>
    <t xml:space="preserve">Cross-sell, up-sell, programas de puntos</t>
  </si>
  <si>
    <t xml:space="preserve">Gestión de corresponsalía y asociaciones</t>
  </si>
  <si>
    <t xml:space="preserve">Onboarding y operación de corresponsales</t>
  </si>
  <si>
    <t xml:space="preserve">  Servicios de inversión</t>
  </si>
  <si>
    <t xml:space="preserve">Servicios de inversión</t>
  </si>
  <si>
    <t xml:space="preserve">Gestión de inversiones y tesorería</t>
  </si>
  <si>
    <t xml:space="preserve">Portafolio, valoración, operativa de mercado</t>
  </si>
  <si>
    <t xml:space="preserve">Aladdin / ION Trading — fuera de scope EY Transact</t>
  </si>
  <si>
    <t xml:space="preserve">Servicios de inversión retail</t>
  </si>
  <si>
    <t xml:space="preserve">Pagarés, inversiones de captación</t>
  </si>
  <si>
    <t xml:space="preserve">Inversiones SPL — revisar con Transact</t>
  </si>
  <si>
    <t xml:space="preserve">  Gestión de información del cliente</t>
  </si>
  <si>
    <t xml:space="preserve">Gestión de información del cliente</t>
  </si>
  <si>
    <t xml:space="preserve">Datos de contacto y personales</t>
  </si>
  <si>
    <t xml:space="preserve">Nombre, CURP, dirección, contacto, INE, RENAPO</t>
  </si>
  <si>
    <t xml:space="preserve">R2 — Contactos de personas</t>
  </si>
  <si>
    <t xml:space="preserve">Gestión de relaciones y entidades</t>
  </si>
  <si>
    <t xml:space="preserve">Relaciones cliente-cuenta, persona moral, vínculos</t>
  </si>
  <si>
    <t xml:space="preserve">R2 — Relaciones / Entidad de persona</t>
  </si>
  <si>
    <t xml:space="preserve">Perfil de riesgo y seguridad personal</t>
  </si>
  <si>
    <t xml:space="preserve">Nivel de riesgo, autenticación, biometría</t>
  </si>
  <si>
    <t xml:space="preserve">R2 — Seguridad de la persona / Perfil de riesgo</t>
  </si>
  <si>
    <t xml:space="preserve">Preferencias y configuración del cliente</t>
  </si>
  <si>
    <t xml:space="preserve">Canales preferidos, notificaciones, idioma</t>
  </si>
  <si>
    <t xml:space="preserve">R2 — Preferencias de persona</t>
  </si>
  <si>
    <t xml:space="preserve">  Reportes y análisis</t>
  </si>
  <si>
    <t xml:space="preserve">Reportes y análisis</t>
  </si>
  <si>
    <t xml:space="preserve">Reportes contables y financieros</t>
  </si>
  <si>
    <t xml:space="preserve">Balance, PyG, reportes de posición</t>
  </si>
  <si>
    <t xml:space="preserve">R2 — Reportes contables</t>
  </si>
  <si>
    <t xml:space="preserve">Reportes de clientes y estados</t>
  </si>
  <si>
    <t xml:space="preserve">Movimientos, estados de cuenta, historial</t>
  </si>
  <si>
    <t xml:space="preserve">R2 — Reportes de clientes</t>
  </si>
  <si>
    <t xml:space="preserve">Reportes regulatorios</t>
  </si>
  <si>
    <t xml:space="preserve">CNBV, Banxico, IPAB, CONDUSEF</t>
  </si>
  <si>
    <t xml:space="preserve">R2 — Regulatorios (government rpt)</t>
  </si>
  <si>
    <t xml:space="preserve">Reportes operacionales del sistema</t>
  </si>
  <si>
    <t xml:space="preserve">Utilización, performance, logs operativos</t>
  </si>
  <si>
    <t xml:space="preserve">R2 — Informes de utilización / Reporte Operacional</t>
  </si>
  <si>
    <t xml:space="preserve">  Data Analytics</t>
  </si>
  <si>
    <t xml:space="preserve">Data Analytics</t>
  </si>
  <si>
    <t xml:space="preserve">Analítica de negocio</t>
  </si>
  <si>
    <t xml:space="preserve">BI, dashboards, análisis de comportamiento de cliente</t>
  </si>
  <si>
    <t xml:space="preserve">Sin cobertura — brecha crítica</t>
  </si>
  <si>
    <t xml:space="preserve">Data warehouse y repositorio</t>
  </si>
  <si>
    <t xml:space="preserve">ETL, almacenamiento histórico, integración de datos</t>
  </si>
  <si>
    <t xml:space="preserve">IBM DataStage — fuentes a re-mapear post-UNITY</t>
  </si>
  <si>
    <t xml:space="preserve">Datos operacionales en tiempo real</t>
  </si>
  <si>
    <t xml:space="preserve">Procesamiento de eventos y transacciones en tiempo real</t>
  </si>
  <si>
    <t xml:space="preserve">R2 — Almacén de datos de operaciones</t>
  </si>
  <si>
    <t xml:space="preserve">Archivo histórico de cliente</t>
  </si>
  <si>
    <t xml:space="preserve">Repositorio de datos históricos de cliente</t>
  </si>
  <si>
    <t xml:space="preserve">R2 — Archivo de información del cliente</t>
  </si>
  <si>
    <t xml:space="preserve">  Gestión de comunicaciones</t>
  </si>
  <si>
    <t xml:space="preserve">Gestión de comunicaciones</t>
  </si>
  <si>
    <t xml:space="preserve">Alertas y notificaciones transaccionales</t>
  </si>
  <si>
    <t xml:space="preserve">SMS, push, email por eventos de cuenta / tarjeta</t>
  </si>
  <si>
    <t xml:space="preserve">R2 — Alertas y notificaciones</t>
  </si>
  <si>
    <t xml:space="preserve">Interacciones humanas y atención</t>
  </si>
  <si>
    <t xml:space="preserve">Contact center, IVR, aclaraciones, chat</t>
  </si>
  <si>
    <t xml:space="preserve">CAT / IVR — sin cobertura en EY Transact</t>
  </si>
  <si>
    <t xml:space="preserve">  Servicios facturables</t>
  </si>
  <si>
    <t xml:space="preserve">Servicios facturables</t>
  </si>
  <si>
    <t xml:space="preserve">Análisis y gestión de cuentas</t>
  </si>
  <si>
    <t xml:space="preserve">Análisis de rentabilidad, posición de cuenta</t>
  </si>
  <si>
    <t xml:space="preserve">R2 — Análisis de cuentas</t>
  </si>
  <si>
    <t xml:space="preserve">Cash management y tesorería</t>
  </si>
  <si>
    <t xml:space="preserve">Gestión de liquidez, posiciones de caja</t>
  </si>
  <si>
    <t xml:space="preserve">R2 — Cash management</t>
  </si>
  <si>
    <t xml:space="preserve">Procesamiento de cheques y giros</t>
  </si>
  <si>
    <t xml:space="preserve">Cheques, giros, caja</t>
  </si>
  <si>
    <t xml:space="preserve">R2 — Cheque de caja / Giros / Procesamiento de cheques</t>
  </si>
  <si>
    <t xml:space="preserve">Servicios de pago y domiciliación</t>
  </si>
  <si>
    <t xml:space="preserve">Pagos, servicios básicos, cobros automáticos</t>
  </si>
  <si>
    <t xml:space="preserve">R2 — Servicios de pago / Servicios básicos</t>
  </si>
  <si>
    <t xml:space="preserve">Caja de seguridad y custodia</t>
  </si>
  <si>
    <t xml:space="preserve">Cajas de seguridad físicas, custodia de valores</t>
  </si>
  <si>
    <t xml:space="preserve">Sin evidencia en BanCoppel</t>
  </si>
  <si>
    <t xml:space="preserve">Gestión de confianza</t>
  </si>
  <si>
    <t xml:space="preserve">Fideicomisos, mandatos</t>
  </si>
  <si>
    <t xml:space="preserve">  Transacciones</t>
  </si>
  <si>
    <t xml:space="preserve">Transacciones</t>
  </si>
  <si>
    <t xml:space="preserve">Autorización en tiempo real</t>
  </si>
  <si>
    <t xml:space="preserve">Autorización de tarjetas, ATM, POS</t>
  </si>
  <si>
    <t xml:space="preserve">R1/R2 — Pagos en tiempo real</t>
  </si>
  <si>
    <t xml:space="preserve">Procesamiento de pagos y transferencias</t>
  </si>
  <si>
    <t xml:space="preserve">TEF, SPEI, pagos domésticos e internacionales</t>
  </si>
  <si>
    <t xml:space="preserve">R2 — Procesar transacciones electrónicas</t>
  </si>
  <si>
    <t xml:space="preserve">Contabilización y cola de operaciones</t>
  </si>
  <si>
    <t xml:space="preserve">Cola de transacciones, asientos, journaling</t>
  </si>
  <si>
    <t xml:space="preserve">R1 — Contabilización y cola</t>
  </si>
  <si>
    <t xml:space="preserve">Procesamiento BATCH — fin del día</t>
  </si>
  <si>
    <t xml:space="preserve">Cierre de día, recálculos, publicación de saldos</t>
  </si>
  <si>
    <t xml:space="preserve">R1 — Fin del día y BATCH</t>
  </si>
  <si>
    <t xml:space="preserve">Procesamiento de crédito y amortización</t>
  </si>
  <si>
    <t xml:space="preserve">Cargos de interés, amortizaciones, disposiciones</t>
  </si>
  <si>
    <t xml:space="preserve">R4 — Pago de Créditos/Amortizaciones</t>
  </si>
  <si>
    <t xml:space="preserve">Originación de procesos de crédito</t>
  </si>
  <si>
    <t xml:space="preserve">Flujo E2E de originación de un crédito nuevo</t>
  </si>
  <si>
    <t xml:space="preserve">R4 — Originaciones de procesos</t>
  </si>
  <si>
    <t xml:space="preserve">Procesamiento de cheques (transaccional)</t>
  </si>
  <si>
    <t xml:space="preserve">Compensación, clearing, reversos de cheques</t>
  </si>
  <si>
    <t xml:space="preserve">R4 — Procesamiento de cheques</t>
  </si>
  <si>
    <t xml:space="preserve">  Estado de cuenta</t>
  </si>
  <si>
    <t xml:space="preserve">Estado de cuenta</t>
  </si>
  <si>
    <t xml:space="preserve">Generación de estados de cuenta</t>
  </si>
  <si>
    <t xml:space="preserve">Producción periódica de estados de cuenta</t>
  </si>
  <si>
    <t xml:space="preserve">R2 — Generación de estados de cuenta en línea</t>
  </si>
  <si>
    <t xml:space="preserve">Definición de formato y contenido</t>
  </si>
  <si>
    <t xml:space="preserve">Plantilla, estructura, personalización del estado</t>
  </si>
  <si>
    <t xml:space="preserve">R2 — Definición del estado de cuenta</t>
  </si>
  <si>
    <t xml:space="preserve">Archivo y consulta histórica</t>
  </si>
  <si>
    <t xml:space="preserve">Repositorio de estados históricos, consulta en línea</t>
  </si>
  <si>
    <t xml:space="preserve">R2 — Archivo de estado de cuenta</t>
  </si>
  <si>
    <t xml:space="preserve">Reestructuración y modificación de crédito</t>
  </si>
  <si>
    <t xml:space="preserve">Cambio de condiciones, quitas, reestructuras</t>
  </si>
  <si>
    <t xml:space="preserve">R4 — Reestructuración / modificación de crédito</t>
  </si>
  <si>
    <t xml:space="preserve">  Gestión de productos</t>
  </si>
  <si>
    <t xml:space="preserve">Gestión de productos</t>
  </si>
  <si>
    <t xml:space="preserve">Parametrización de productos</t>
  </si>
  <si>
    <t xml:space="preserve">Configuración de parámetros de negocio por producto</t>
  </si>
  <si>
    <t xml:space="preserve">R1 — Parametrización</t>
  </si>
  <si>
    <t xml:space="preserve">Definición de precios y tarifas</t>
  </si>
  <si>
    <t xml:space="preserve">Tasas, comisiones, honorarios por producto y segmento</t>
  </si>
  <si>
    <t xml:space="preserve">Definición del motor de reglas</t>
  </si>
  <si>
    <t xml:space="preserve">Reglas de negocio, criterios de elegibilidad</t>
  </si>
  <si>
    <t xml:space="preserve">Gestión de roles y permisos</t>
  </si>
  <si>
    <t xml:space="preserve">Roles de usuario, permisos de operación</t>
  </si>
  <si>
    <t xml:space="preserve">R2 — Definición de roles</t>
  </si>
  <si>
    <t xml:space="preserve">▌ CAPACIDADES DE SOPORTE</t>
  </si>
  <si>
    <t xml:space="preserve">  Gestión de identidad y seguridad</t>
  </si>
  <si>
    <t xml:space="preserve">SOP</t>
  </si>
  <si>
    <t xml:space="preserve">Gestión de identidad y seguridad</t>
  </si>
  <si>
    <t xml:space="preserve">Autenticación y validación de identidad</t>
  </si>
  <si>
    <t xml:space="preserve">KYC, validación INE/RENAPO, biometría, token</t>
  </si>
  <si>
    <t xml:space="preserve">Inicio de sesión único (SSO)</t>
  </si>
  <si>
    <t xml:space="preserve">Federación de identidades, SSO entre canales</t>
  </si>
  <si>
    <t xml:space="preserve">Tres capas sin federar — OFI, RSA, VCAS</t>
  </si>
  <si>
    <t xml:space="preserve">Seguridad del sistema y disposiciones</t>
  </si>
  <si>
    <t xml:space="preserve">Perfiles de seguridad, políticas de acceso</t>
  </si>
  <si>
    <t xml:space="preserve">Gestión de tokens y certificados</t>
  </si>
  <si>
    <t xml:space="preserve">OTP, RSA, Gemalto, certificados digitales</t>
  </si>
  <si>
    <t xml:space="preserve">  Aseguramiento de la calidad (QA)</t>
  </si>
  <si>
    <t xml:space="preserve">Aseguramiento de la calidad (QA)</t>
  </si>
  <si>
    <t xml:space="preserve">Recopilación y gestión de parámetros QA</t>
  </si>
  <si>
    <t xml:space="preserve">Definición de criterios de calidad, entry/exit criteria</t>
  </si>
  <si>
    <t xml:space="preserve">Sin cobertura formal</t>
  </si>
  <si>
    <t xml:space="preserve">Inspección y revisión de calidad</t>
  </si>
  <si>
    <t xml:space="preserve">Revisión de entregables, auditoría de calidad</t>
  </si>
  <si>
    <t xml:space="preserve">Notificación de hallazgos y cierre</t>
  </si>
  <si>
    <t xml:space="preserve">Reporte de defectos, seguimiento hasta cierre</t>
  </si>
  <si>
    <t xml:space="preserve">  Gestión de cumplimiento</t>
  </si>
  <si>
    <t xml:space="preserve">Gestión de cumplimiento</t>
  </si>
  <si>
    <t xml:space="preserve">Privacidad y protección de datos</t>
  </si>
  <si>
    <t xml:space="preserve">LFPDPPP, derechos ARCO, consentimiento informado</t>
  </si>
  <si>
    <t xml:space="preserve">Regulaciones Banxico y CNBV</t>
  </si>
  <si>
    <t xml:space="preserve">SPEI, IPAB, reportes regulatorios obligatorios</t>
  </si>
  <si>
    <t xml:space="preserve">Regulaciones locales y estatales</t>
  </si>
  <si>
    <t xml:space="preserve">CONDUSEF, PROFECO, normativa local</t>
  </si>
  <si>
    <t xml:space="preserve">Sin sistema dedicado</t>
  </si>
  <si>
    <t xml:space="preserve">  Gestión de riesgos</t>
  </si>
  <si>
    <t xml:space="preserve">Gestión de riesgos</t>
  </si>
  <si>
    <t xml:space="preserve">Gestión de restricciones de cuenta</t>
  </si>
  <si>
    <t xml:space="preserve">Bloqueos regulatorios, embargos, restricciones legales</t>
  </si>
  <si>
    <t xml:space="preserve">R1 — Gestión de restricciones de cuenta</t>
  </si>
  <si>
    <t xml:space="preserve">Evaluación crediticia (Buró / Círculo)</t>
  </si>
  <si>
    <t xml:space="preserve">Consulta y scoring en bureaus de crédito</t>
  </si>
  <si>
    <t xml:space="preserve">R1 — Buró de crédito</t>
  </si>
  <si>
    <t xml:space="preserve">Modelado y umbrales de riesgo</t>
  </si>
  <si>
    <t xml:space="preserve">Modelos de riesgo, thresholds, TRIAD</t>
  </si>
  <si>
    <t xml:space="preserve">TRIAD se mantiene — revisar integración con Transact</t>
  </si>
  <si>
    <t xml:space="preserve">  Gestión de fraudes</t>
  </si>
  <si>
    <t xml:space="preserve">Gestión de fraudes</t>
  </si>
  <si>
    <t xml:space="preserve">KYC y onboarding seguro</t>
  </si>
  <si>
    <t xml:space="preserve">Validación de identidad en alta, listas negras</t>
  </si>
  <si>
    <t xml:space="preserve">R1 — Conozca a su cliente (KYC)</t>
  </si>
  <si>
    <t xml:space="preserve">Monitoreo de comportamiento transaccional</t>
  </si>
  <si>
    <t xml:space="preserve">Patrones de fraude, alertas en tiempo real</t>
  </si>
  <si>
    <t xml:space="preserve">R1 — Comportamiento de la transacción</t>
  </si>
  <si>
    <t xml:space="preserve">Bloqueo y prevención de fraude</t>
  </si>
  <si>
    <t xml:space="preserve">Bloqueo automático de tarjetas/cuentas por fraude</t>
  </si>
  <si>
    <t xml:space="preserve">Prevención de Fraudes SPL — sin cobertura confirmada EY</t>
  </si>
  <si>
    <t xml:space="preserve">  Evaluación de monitoreo</t>
  </si>
  <si>
    <t xml:space="preserve">Evaluación de monitoreo</t>
  </si>
  <si>
    <t xml:space="preserve">Monitoreo de disponibilidad de fondos</t>
  </si>
  <si>
    <t xml:space="preserve">Posición de caja, fondos disponibles en tiempo real</t>
  </si>
  <si>
    <t xml:space="preserve">R2 — Fondos disponibles</t>
  </si>
  <si>
    <t xml:space="preserve">Evaluación de flujos entrantes</t>
  </si>
  <si>
    <t xml:space="preserve">Validación y procesamiento de ingresos</t>
  </si>
  <si>
    <t xml:space="preserve">R2 — Evaluación de ingresos (entrantes)</t>
  </si>
  <si>
    <t xml:space="preserve">Evaluación de flujos salientes</t>
  </si>
  <si>
    <t xml:space="preserve">Validación y procesamiento de egresos</t>
  </si>
  <si>
    <t xml:space="preserve">R2 — Evaluación de gastos (saliente)</t>
  </si>
  <si>
    <t xml:space="preserve">Gestión de reclamaciones y disputas</t>
  </si>
  <si>
    <t xml:space="preserve">Aclaraciones, reversas, disputas de tarjeta</t>
  </si>
  <si>
    <t xml:space="preserve">Aclaraciones — revisar cobertura en Transact</t>
  </si>
  <si>
    <t xml:space="preserve">  Gestión de infraestructura</t>
  </si>
  <si>
    <t xml:space="preserve">Gestión de infraestructura</t>
  </si>
  <si>
    <t xml:space="preserve">Gestión de bases de datos</t>
  </si>
  <si>
    <t xml:space="preserve">Administración, respaldo, alta disponibilidad</t>
  </si>
  <si>
    <t xml:space="preserve">Transact gestiona su BD — integración con Informix pendiente</t>
  </si>
  <si>
    <t xml:space="preserve">Gestión de plataformas y middleware</t>
  </si>
  <si>
    <t xml:space="preserve">ESB, middleware, orquestación, contenedores</t>
  </si>
  <si>
    <t xml:space="preserve">Bus IBM reemplazado por MuleSoft — cobertura pendiente</t>
  </si>
  <si>
    <t xml:space="preserve">Gestión de mensajería</t>
  </si>
  <si>
    <t xml:space="preserve">SMS, push, email, colas de mensajes</t>
  </si>
  <si>
    <t xml:space="preserve">Latinia / BancoppelSMS — sin cobertura en EY</t>
  </si>
  <si>
    <t xml:space="preserve">Gestión de hardware y monitoreo</t>
  </si>
  <si>
    <t xml:space="preserve">ATM, POS, servidores, infraestructura física</t>
  </si>
  <si>
    <t xml:space="preserve">Sin cobertura en EY Transact</t>
  </si>
  <si>
    <t xml:space="preserve">  Gestión de cobranza y morosidad</t>
  </si>
  <si>
    <t xml:space="preserve">Gestión de cobranza y morosidad</t>
  </si>
  <si>
    <t xml:space="preserve">Gestión de pagos vencidos</t>
  </si>
  <si>
    <t xml:space="preserve">Identificación y gestión de cartera vencida</t>
  </si>
  <si>
    <t xml:space="preserve">iCS + Cobranza SPL — sin cobertura confirmada en EY</t>
  </si>
  <si>
    <t xml:space="preserve">Intereses moratorios</t>
  </si>
  <si>
    <t xml:space="preserve">Cálculo y aplicación de moratorios</t>
  </si>
  <si>
    <t xml:space="preserve">SPLs legado — sin cobertura confirmada en EY</t>
  </si>
  <si>
    <t xml:space="preserve">Convenios y reestructuras</t>
  </si>
  <si>
    <t xml:space="preserve">Negociación de convenios, quitas, reestructuras</t>
  </si>
  <si>
    <t xml:space="preserve">iCS — sin cobertura confirmada en EY</t>
  </si>
  <si>
    <t xml:space="preserve">Reintentos de cobro</t>
  </si>
  <si>
    <t xml:space="preserve">Domiciliación, reintentos automáticos</t>
  </si>
  <si>
    <t xml:space="preserve">Domiciliación SPL — sin cobertura confirmada en EY</t>
  </si>
  <si>
    <t xml:space="preserve">UNITY — Resumen Fit/Gap por Capacidad L1</t>
  </si>
  <si>
    <t xml:space="preserve">Se actualiza cuando se completan las columnas Apolo y SmartVista en la hoja 'Análisis L2'.</t>
  </si>
  <si>
    <t xml:space="preserve">L2 total</t>
  </si>
  <si>
    <t xml:space="preserve">Legado P/PAR</t>
  </si>
  <si>
    <t xml:space="preserve">Transact cub.</t>
  </si>
  <si>
    <t xml:space="preserve">Apolo (completar)</t>
  </si>
  <si>
    <t xml:space="preserve">SmartVista (completar)</t>
  </si>
  <si>
    <t xml:space="preserve">Comentario de gap</t>
  </si>
  <si>
    <t xml:space="preserve">⚠ Transact sin cobertura — validar con EY</t>
  </si>
  <si>
    <t xml:space="preserve">2 grupos sin cobertura Transact confirmada</t>
  </si>
  <si>
    <t xml:space="preserve">1 grupos sin cobertura Transact confirmada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</si>
</sst>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D6D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252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252F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5D6D7E"/>
      <name val="Arial"/>
      <family val="0"/>
      <charset val="1"/>
    </font>
    <font>
      <i val="true"/>
      <sz val="8"/>
      <color rgb="FF5D6D7E"/>
      <name val="Arial"/>
      <family val="0"/>
      <charset val="1"/>
    </font>
    <font>
      <i val="true"/>
      <sz val="8"/>
      <color rgb="FFB7770D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9"/>
      <color rgb="FF5D6D7E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B1F3A"/>
        <bgColor rgb="FF1A252F"/>
      </patternFill>
    </fill>
    <fill>
      <patternFill patternType="solid">
        <fgColor rgb="FFEBF5FB"/>
        <bgColor rgb="FFF4F6F6"/>
      </patternFill>
    </fill>
    <fill>
      <patternFill patternType="solid">
        <fgColor rgb="FFFFFFFF"/>
        <bgColor rgb="FFFDFEFE"/>
      </patternFill>
    </fill>
    <fill>
      <patternFill patternType="solid">
        <fgColor rgb="FF1E8449"/>
        <bgColor rgb="FF008080"/>
      </patternFill>
    </fill>
    <fill>
      <patternFill patternType="solid">
        <fgColor rgb="FFA9DFBF"/>
        <bgColor rgb="FFD5D8DC"/>
      </patternFill>
    </fill>
    <fill>
      <patternFill patternType="solid">
        <fgColor rgb="FF2471A3"/>
        <bgColor rgb="FF008080"/>
      </patternFill>
    </fill>
    <fill>
      <patternFill patternType="solid">
        <fgColor rgb="FFF39C12"/>
        <bgColor rgb="FFFFCC00"/>
      </patternFill>
    </fill>
    <fill>
      <patternFill patternType="solid">
        <fgColor rgb="FFC0392B"/>
        <bgColor rgb="FF993366"/>
      </patternFill>
    </fill>
    <fill>
      <patternFill patternType="solid">
        <fgColor rgb="FF95A5A6"/>
        <bgColor rgb="FF9999FF"/>
      </patternFill>
    </fill>
    <fill>
      <patternFill patternType="solid">
        <fgColor rgb="FF7D3C98"/>
        <bgColor rgb="FF993366"/>
      </patternFill>
    </fill>
    <fill>
      <patternFill patternType="solid">
        <fgColor rgb="FFF4F6F6"/>
        <bgColor rgb="FFF8F9FA"/>
      </patternFill>
    </fill>
    <fill>
      <patternFill patternType="solid">
        <fgColor rgb="FFFFF9C4"/>
        <bgColor rgb="FFF4F6F6"/>
      </patternFill>
    </fill>
    <fill>
      <patternFill patternType="solid">
        <fgColor rgb="FF1A252F"/>
        <bgColor rgb="FF0B1F3A"/>
      </patternFill>
    </fill>
    <fill>
      <patternFill patternType="solid">
        <fgColor rgb="FF283747"/>
        <bgColor rgb="FF2E4057"/>
      </patternFill>
    </fill>
    <fill>
      <patternFill patternType="solid">
        <fgColor rgb="FF2E4057"/>
        <bgColor rgb="FF283747"/>
      </patternFill>
    </fill>
    <fill>
      <patternFill patternType="solid">
        <fgColor rgb="FFFDFEFE"/>
        <bgColor rgb="FFFFFFFF"/>
      </patternFill>
    </fill>
    <fill>
      <patternFill patternType="solid">
        <fgColor rgb="FFF8F9FA"/>
        <bgColor rgb="FFF4F6F6"/>
      </patternFill>
    </fill>
    <fill>
      <patternFill patternType="solid">
        <fgColor rgb="FF1E4620"/>
        <bgColor rgb="FF28374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70D"/>
      <rgbColor rgb="FF800080"/>
      <rgbColor rgb="FF008080"/>
      <rgbColor rgb="FFA9DFBF"/>
      <rgbColor rgb="FF808080"/>
      <rgbColor rgb="FF9999FF"/>
      <rgbColor rgb="FF7D3C98"/>
      <rgbColor rgb="FFFFF9C4"/>
      <rgbColor rgb="FFEBF5FB"/>
      <rgbColor rgb="FF660066"/>
      <rgbColor rgb="FFFF8080"/>
      <rgbColor rgb="FF2471A3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6"/>
      <rgbColor rgb="FFF8F9FA"/>
      <rgbColor rgb="FFFDFEF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FF6600"/>
      <rgbColor rgb="FF5D6D7E"/>
      <rgbColor rgb="FF95A5A6"/>
      <rgbColor rgb="FF0B1F3A"/>
      <rgbColor rgb="FF1E8449"/>
      <rgbColor rgb="FF1A252F"/>
      <rgbColor rgb="FF1E4620"/>
      <rgbColor rgb="FFC0392B"/>
      <rgbColor rgb="FF993366"/>
      <rgbColor rgb="FF2E4057"/>
      <rgbColor rgb="FF283747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22"/>
  </cols>
  <sheetData>
    <row r="1" customFormat="false" ht="30" hidden="false" customHeight="true" outlineLevel="0" collapsed="false">
      <c r="B1" s="1" t="s">
        <v>0</v>
      </c>
      <c r="C1" s="1"/>
      <c r="D1" s="1"/>
    </row>
    <row r="2" customFormat="false" ht="15.75" hidden="false" customHeight="true" outlineLevel="0" collapsed="false">
      <c r="B2" s="2" t="s">
        <v>1</v>
      </c>
      <c r="C2" s="2"/>
      <c r="D2" s="2"/>
    </row>
    <row r="4" customFormat="false" ht="21.75" hidden="false" customHeight="true" outlineLevel="0" collapsed="false">
      <c r="B4" s="3" t="s">
        <v>2</v>
      </c>
      <c r="C4" s="3"/>
      <c r="D4" s="3"/>
    </row>
    <row r="5" customFormat="false" ht="18" hidden="false" customHeight="true" outlineLevel="0" collapsed="false">
      <c r="B5" s="4" t="s">
        <v>3</v>
      </c>
      <c r="C5" s="4"/>
      <c r="D5" s="4"/>
    </row>
    <row r="6" customFormat="false" ht="18" hidden="false" customHeight="true" outlineLevel="0" collapsed="false">
      <c r="B6" s="5" t="s">
        <v>4</v>
      </c>
      <c r="C6" s="5"/>
      <c r="D6" s="5"/>
    </row>
    <row r="7" customFormat="false" ht="18" hidden="false" customHeight="true" outlineLevel="0" collapsed="false">
      <c r="B7" s="4" t="s">
        <v>5</v>
      </c>
      <c r="C7" s="4"/>
      <c r="D7" s="4"/>
    </row>
    <row r="8" customFormat="false" ht="18" hidden="false" customHeight="true" outlineLevel="0" collapsed="false">
      <c r="B8" s="5" t="s">
        <v>6</v>
      </c>
      <c r="C8" s="5"/>
      <c r="D8" s="5"/>
    </row>
    <row r="10" customFormat="false" ht="21.75" hidden="false" customHeight="true" outlineLevel="0" collapsed="false">
      <c r="B10" s="3" t="s">
        <v>7</v>
      </c>
      <c r="C10" s="3"/>
      <c r="D10" s="3"/>
    </row>
    <row r="11" customFormat="false" ht="19.5" hidden="false" customHeight="true" outlineLevel="0" collapsed="false">
      <c r="B11" s="6" t="s">
        <v>8</v>
      </c>
      <c r="C11" s="7" t="s">
        <v>9</v>
      </c>
      <c r="D11" s="7"/>
    </row>
    <row r="12" customFormat="false" ht="19.5" hidden="false" customHeight="true" outlineLevel="0" collapsed="false">
      <c r="B12" s="8" t="s">
        <v>10</v>
      </c>
      <c r="C12" s="7" t="s">
        <v>11</v>
      </c>
      <c r="D12" s="7"/>
    </row>
    <row r="13" customFormat="false" ht="19.5" hidden="false" customHeight="true" outlineLevel="0" collapsed="false">
      <c r="B13" s="9" t="s">
        <v>12</v>
      </c>
      <c r="C13" s="7" t="s">
        <v>13</v>
      </c>
      <c r="D13" s="7"/>
    </row>
    <row r="14" customFormat="false" ht="19.5" hidden="false" customHeight="true" outlineLevel="0" collapsed="false">
      <c r="B14" s="10" t="s">
        <v>14</v>
      </c>
      <c r="C14" s="7" t="s">
        <v>15</v>
      </c>
      <c r="D14" s="7"/>
    </row>
    <row r="15" customFormat="false" ht="19.5" hidden="false" customHeight="true" outlineLevel="0" collapsed="false">
      <c r="B15" s="11" t="s">
        <v>16</v>
      </c>
      <c r="C15" s="7" t="s">
        <v>17</v>
      </c>
      <c r="D15" s="7"/>
    </row>
    <row r="16" customFormat="false" ht="19.5" hidden="false" customHeight="true" outlineLevel="0" collapsed="false">
      <c r="B16" s="12" t="s">
        <v>18</v>
      </c>
      <c r="C16" s="7" t="s">
        <v>19</v>
      </c>
      <c r="D16" s="7"/>
    </row>
    <row r="17" customFormat="false" ht="19.5" hidden="false" customHeight="true" outlineLevel="0" collapsed="false">
      <c r="B17" s="13" t="s">
        <v>20</v>
      </c>
      <c r="C17" s="7" t="s">
        <v>21</v>
      </c>
      <c r="D17" s="7"/>
    </row>
    <row r="19" customFormat="false" ht="21.75" hidden="false" customHeight="true" outlineLevel="0" collapsed="false">
      <c r="B19" s="3" t="s">
        <v>22</v>
      </c>
      <c r="C19" s="3"/>
      <c r="D19" s="3"/>
    </row>
    <row r="20" customFormat="false" ht="21.75" hidden="false" customHeight="true" outlineLevel="0" collapsed="false">
      <c r="B20" s="14" t="s">
        <v>23</v>
      </c>
      <c r="C20" s="15" t="s">
        <v>24</v>
      </c>
      <c r="D20" s="15"/>
    </row>
    <row r="21" customFormat="false" ht="21.75" hidden="false" customHeight="true" outlineLevel="0" collapsed="false">
      <c r="B21" s="16" t="s">
        <v>25</v>
      </c>
      <c r="C21" s="17" t="s">
        <v>26</v>
      </c>
      <c r="D21" s="17"/>
    </row>
    <row r="22" customFormat="false" ht="21.75" hidden="false" customHeight="true" outlineLevel="0" collapsed="false">
      <c r="B22" s="14" t="s">
        <v>27</v>
      </c>
      <c r="C22" s="15" t="s">
        <v>28</v>
      </c>
      <c r="D22" s="15"/>
    </row>
    <row r="23" customFormat="false" ht="21.75" hidden="false" customHeight="true" outlineLevel="0" collapsed="false">
      <c r="B23" s="16" t="s">
        <v>29</v>
      </c>
      <c r="C23" s="17" t="s">
        <v>30</v>
      </c>
      <c r="D23" s="17"/>
    </row>
    <row r="24" customFormat="false" ht="21.75" hidden="false" customHeight="true" outlineLevel="0" collapsed="false">
      <c r="B24" s="14" t="s">
        <v>31</v>
      </c>
      <c r="C24" s="18" t="s">
        <v>32</v>
      </c>
      <c r="D24" s="18"/>
    </row>
    <row r="25" customFormat="false" ht="21.75" hidden="false" customHeight="true" outlineLevel="0" collapsed="false">
      <c r="B25" s="16" t="s">
        <v>33</v>
      </c>
      <c r="C25" s="17" t="s">
        <v>34</v>
      </c>
      <c r="D25" s="17"/>
    </row>
    <row r="26" customFormat="false" ht="21.75" hidden="false" customHeight="true" outlineLevel="0" collapsed="false">
      <c r="B26" s="14" t="s">
        <v>35</v>
      </c>
      <c r="C26" s="18" t="s">
        <v>36</v>
      </c>
      <c r="D26" s="18"/>
    </row>
    <row r="27" customFormat="false" ht="21.75" hidden="false" customHeight="true" outlineLevel="0" collapsed="false">
      <c r="B27" s="16" t="s">
        <v>37</v>
      </c>
      <c r="C27" s="17" t="s">
        <v>38</v>
      </c>
      <c r="D27" s="17"/>
    </row>
    <row r="28" customFormat="false" ht="21.75" hidden="false" customHeight="true" outlineLevel="0" collapsed="false">
      <c r="B28" s="14" t="s">
        <v>39</v>
      </c>
      <c r="C28" s="15" t="s">
        <v>40</v>
      </c>
      <c r="D28" s="15"/>
    </row>
    <row r="29" customFormat="false" ht="21.75" hidden="false" customHeight="true" outlineLevel="0" collapsed="false">
      <c r="B29" s="16" t="s">
        <v>41</v>
      </c>
      <c r="C29" s="17" t="s">
        <v>42</v>
      </c>
      <c r="D29" s="17"/>
    </row>
    <row r="30" customFormat="false" ht="21.75" hidden="false" customHeight="true" outlineLevel="0" collapsed="false">
      <c r="B30" s="14" t="s">
        <v>43</v>
      </c>
      <c r="C30" s="15" t="s">
        <v>44</v>
      </c>
      <c r="D30" s="15"/>
    </row>
    <row r="31" customFormat="false" ht="21.75" hidden="false" customHeight="true" outlineLevel="0" collapsed="false">
      <c r="B31" s="16" t="s">
        <v>45</v>
      </c>
      <c r="C31" s="17" t="s">
        <v>46</v>
      </c>
      <c r="D31" s="17"/>
    </row>
    <row r="33" customFormat="false" ht="21.75" hidden="false" customHeight="true" outlineLevel="0" collapsed="false">
      <c r="B33" s="3" t="s">
        <v>47</v>
      </c>
      <c r="C33" s="3"/>
      <c r="D33" s="3"/>
    </row>
    <row r="34" customFormat="false" ht="30" hidden="false" customHeight="true" outlineLevel="0" collapsed="false">
      <c r="B34" s="19" t="s">
        <v>48</v>
      </c>
      <c r="C34" s="20" t="s">
        <v>49</v>
      </c>
      <c r="D34" s="20"/>
    </row>
    <row r="35" customFormat="false" ht="30" hidden="false" customHeight="true" outlineLevel="0" collapsed="false">
      <c r="B35" s="21" t="s">
        <v>50</v>
      </c>
      <c r="C35" s="17" t="s">
        <v>51</v>
      </c>
      <c r="D35" s="17"/>
    </row>
    <row r="36" customFormat="false" ht="30" hidden="false" customHeight="true" outlineLevel="0" collapsed="false">
      <c r="B36" s="19" t="s">
        <v>52</v>
      </c>
      <c r="C36" s="20" t="s">
        <v>53</v>
      </c>
      <c r="D36" s="20"/>
    </row>
    <row r="37" customFormat="false" ht="30" hidden="false" customHeight="true" outlineLevel="0" collapsed="false">
      <c r="B37" s="21" t="s">
        <v>54</v>
      </c>
      <c r="C37" s="17" t="s">
        <v>55</v>
      </c>
      <c r="D37" s="17"/>
    </row>
    <row r="38" customFormat="false" ht="30" hidden="false" customHeight="true" outlineLevel="0" collapsed="false">
      <c r="B38" s="19" t="s">
        <v>56</v>
      </c>
      <c r="C38" s="20" t="s">
        <v>57</v>
      </c>
      <c r="D38" s="20"/>
    </row>
    <row r="39" customFormat="false" ht="30" hidden="false" customHeight="true" outlineLevel="0" collapsed="false">
      <c r="B39" s="21" t="s">
        <v>58</v>
      </c>
      <c r="C39" s="17" t="s">
        <v>59</v>
      </c>
      <c r="D39" s="17"/>
    </row>
  </sheetData>
  <mergeCells count="35">
    <mergeCell ref="B1:D1"/>
    <mergeCell ref="B2:D2"/>
    <mergeCell ref="B4:D4"/>
    <mergeCell ref="B5:D5"/>
    <mergeCell ref="B6:D6"/>
    <mergeCell ref="B7:D7"/>
    <mergeCell ref="B8:D8"/>
    <mergeCell ref="B10:D10"/>
    <mergeCell ref="C11:D11"/>
    <mergeCell ref="C12:D12"/>
    <mergeCell ref="C13:D13"/>
    <mergeCell ref="C14:D14"/>
    <mergeCell ref="C15:D15"/>
    <mergeCell ref="C16:D16"/>
    <mergeCell ref="C17:D17"/>
    <mergeCell ref="B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B33:D33"/>
    <mergeCell ref="C34:D34"/>
    <mergeCell ref="C35:D35"/>
    <mergeCell ref="C36:D36"/>
    <mergeCell ref="C37:D37"/>
    <mergeCell ref="C38:D38"/>
    <mergeCell ref="C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48"/>
    <col collapsed="false" customWidth="true" hidden="false" outlineLevel="0" max="9" min="6" style="0" width="16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false" outlineLevel="0" max="14" min="12" style="0" width="36"/>
  </cols>
  <sheetData>
    <row r="1" customFormat="false" ht="30" hidden="false" customHeight="true" outlineLevel="0" collapsed="false">
      <c r="A1" s="22" t="s">
        <v>60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customFormat="false" ht="15.75" hidden="false" customHeight="true" outlineLevel="0" collapsed="false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.5" hidden="false" customHeight="true" outlineLevel="0" collapsed="false"/>
    <row r="4" customFormat="false" ht="21.75" hidden="false" customHeight="true" outlineLevel="0" collapsed="false">
      <c r="F4" s="23" t="s">
        <v>62</v>
      </c>
      <c r="G4" s="23" t="s">
        <v>63</v>
      </c>
      <c r="H4" s="23" t="s">
        <v>64</v>
      </c>
      <c r="I4" s="23" t="s">
        <v>65</v>
      </c>
    </row>
    <row r="5" customFormat="false" ht="36" hidden="false" customHeight="true" outlineLevel="0" collapsed="false">
      <c r="A5" s="24" t="s">
        <v>66</v>
      </c>
      <c r="B5" s="24" t="s">
        <v>67</v>
      </c>
      <c r="C5" s="24" t="s">
        <v>68</v>
      </c>
      <c r="D5" s="24" t="s">
        <v>69</v>
      </c>
      <c r="E5" s="24" t="s">
        <v>27</v>
      </c>
      <c r="F5" s="24" t="s">
        <v>29</v>
      </c>
      <c r="G5" s="24" t="s">
        <v>31</v>
      </c>
      <c r="H5" s="24" t="s">
        <v>33</v>
      </c>
      <c r="I5" s="24" t="s">
        <v>35</v>
      </c>
      <c r="J5" s="24" t="s">
        <v>37</v>
      </c>
      <c r="K5" s="24" t="s">
        <v>39</v>
      </c>
      <c r="L5" s="24" t="s">
        <v>41</v>
      </c>
      <c r="M5" s="24" t="s">
        <v>43</v>
      </c>
      <c r="N5" s="24" t="s">
        <v>45</v>
      </c>
    </row>
    <row r="6" customFormat="false" ht="25.5" hidden="false" customHeight="true" outlineLevel="0" collapsed="false">
      <c r="A6" s="25" t="s">
        <v>70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customFormat="false" ht="21.75" hidden="false" customHeight="true" outlineLevel="0" collapsed="false">
      <c r="A7" s="26" t="s">
        <v>71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customFormat="false" ht="33.75" hidden="false" customHeight="true" outlineLevel="0" collapsed="false">
      <c r="A8" s="27" t="n">
        <v>1</v>
      </c>
      <c r="B8" s="28" t="s">
        <v>72</v>
      </c>
      <c r="C8" s="29" t="s">
        <v>73</v>
      </c>
      <c r="D8" s="16" t="s">
        <v>74</v>
      </c>
      <c r="E8" s="29" t="s">
        <v>75</v>
      </c>
      <c r="F8" s="6" t="s">
        <v>8</v>
      </c>
      <c r="G8" s="30" t="s">
        <v>76</v>
      </c>
      <c r="H8" s="9" t="s">
        <v>12</v>
      </c>
      <c r="I8" s="30" t="s">
        <v>76</v>
      </c>
      <c r="J8" s="31" t="str">
        <f aca="false">IF(AND(OR(F8="P — En producción",F8="PAR — Parcial (legado)"),OR(G8="N — No cubierto",G8="TBD — Por definir"),OR(H8="N — No cubierto",H8="TBD — Por definir"),OR(I8="N — No cubierto",I8="TBD — Por definir")),"⚠ Regresión","—")</f>
        <v>—</v>
      </c>
      <c r="K8" s="29" t="s">
        <v>77</v>
      </c>
      <c r="L8" s="32"/>
      <c r="M8" s="32"/>
      <c r="N8" s="32"/>
    </row>
    <row r="9" customFormat="false" ht="33.75" hidden="false" customHeight="true" outlineLevel="0" collapsed="false">
      <c r="A9" s="33" t="n">
        <v>2</v>
      </c>
      <c r="B9" s="34" t="s">
        <v>72</v>
      </c>
      <c r="C9" s="35" t="s">
        <v>73</v>
      </c>
      <c r="D9" s="36" t="s">
        <v>78</v>
      </c>
      <c r="E9" s="35" t="s">
        <v>79</v>
      </c>
      <c r="F9" s="6" t="s">
        <v>8</v>
      </c>
      <c r="G9" s="30" t="s">
        <v>76</v>
      </c>
      <c r="H9" s="9" t="s">
        <v>12</v>
      </c>
      <c r="I9" s="30" t="s">
        <v>76</v>
      </c>
      <c r="J9" s="37" t="str">
        <f aca="false">IF(AND(OR(F9="P — En producción",F9="PAR — Parcial (legado)"),OR(G9="N — No cubierto",G9="TBD — Por definir"),OR(H9="N — No cubierto",H9="TBD — Por definir"),OR(I9="N — No cubierto",I9="TBD — Por definir")),"⚠ Regresión","—")</f>
        <v>—</v>
      </c>
      <c r="K9" s="35" t="s">
        <v>80</v>
      </c>
      <c r="L9" s="32"/>
      <c r="M9" s="32"/>
      <c r="N9" s="32"/>
    </row>
    <row r="10" customFormat="false" ht="33.75" hidden="false" customHeight="true" outlineLevel="0" collapsed="false">
      <c r="A10" s="27" t="n">
        <v>3</v>
      </c>
      <c r="B10" s="28" t="s">
        <v>72</v>
      </c>
      <c r="C10" s="29" t="s">
        <v>73</v>
      </c>
      <c r="D10" s="16" t="s">
        <v>81</v>
      </c>
      <c r="E10" s="29" t="s">
        <v>82</v>
      </c>
      <c r="F10" s="6" t="s">
        <v>8</v>
      </c>
      <c r="G10" s="30" t="s">
        <v>76</v>
      </c>
      <c r="H10" s="9" t="s">
        <v>12</v>
      </c>
      <c r="I10" s="30" t="s">
        <v>76</v>
      </c>
      <c r="J10" s="31" t="str">
        <f aca="false">IF(AND(OR(F10="P — En producción",F10="PAR — Parcial (legado)"),OR(G10="N — No cubierto",G10="TBD — Por definir"),OR(H10="N — No cubierto",H10="TBD — Por definir"),OR(I10="N — No cubierto",I10="TBD — Por definir")),"⚠ Regresión","—")</f>
        <v>—</v>
      </c>
      <c r="K10" s="29" t="s">
        <v>83</v>
      </c>
      <c r="L10" s="32"/>
      <c r="M10" s="32"/>
      <c r="N10" s="32"/>
    </row>
    <row r="11" customFormat="false" ht="33.75" hidden="false" customHeight="true" outlineLevel="0" collapsed="false">
      <c r="A11" s="33" t="n">
        <v>4</v>
      </c>
      <c r="B11" s="34" t="s">
        <v>72</v>
      </c>
      <c r="C11" s="35" t="s">
        <v>73</v>
      </c>
      <c r="D11" s="36" t="s">
        <v>84</v>
      </c>
      <c r="E11" s="35" t="s">
        <v>85</v>
      </c>
      <c r="F11" s="13" t="s">
        <v>86</v>
      </c>
      <c r="G11" s="30" t="s">
        <v>76</v>
      </c>
      <c r="H11" s="9" t="s">
        <v>12</v>
      </c>
      <c r="I11" s="30" t="s">
        <v>76</v>
      </c>
      <c r="J11" s="37" t="str">
        <f aca="false">IF(AND(OR(F11="P — En producción",F11="PAR — Parcial (legado)"),OR(G11="N — No cubierto",G11="TBD — Por definir"),OR(H11="N — No cubierto",H11="TBD — Por definir"),OR(I11="N — No cubierto",I11="TBD — Por definir")),"⚠ Regresión","—")</f>
        <v>—</v>
      </c>
      <c r="K11" s="35" t="s">
        <v>87</v>
      </c>
      <c r="L11" s="32"/>
      <c r="M11" s="32"/>
      <c r="N11" s="32"/>
    </row>
    <row r="12" customFormat="false" ht="21.75" hidden="false" customHeight="true" outlineLevel="0" collapsed="false">
      <c r="A12" s="26" t="s">
        <v>88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customFormat="false" ht="33.75" hidden="false" customHeight="true" outlineLevel="0" collapsed="false">
      <c r="A13" s="27" t="n">
        <v>5</v>
      </c>
      <c r="B13" s="28" t="s">
        <v>72</v>
      </c>
      <c r="C13" s="29" t="s">
        <v>89</v>
      </c>
      <c r="D13" s="16" t="s">
        <v>90</v>
      </c>
      <c r="E13" s="29" t="s">
        <v>91</v>
      </c>
      <c r="F13" s="6" t="s">
        <v>8</v>
      </c>
      <c r="G13" s="30" t="s">
        <v>76</v>
      </c>
      <c r="H13" s="6" t="s">
        <v>8</v>
      </c>
      <c r="I13" s="30" t="s">
        <v>76</v>
      </c>
      <c r="J13" s="31" t="str">
        <f aca="false">IF(AND(OR(F13="P — En producción",F13="PAR — Parcial (legado)"),OR(G13="N — No cubierto",G13="TBD — Por definir"),OR(H13="N — No cubierto",H13="TBD — Por definir"),OR(I13="N — No cubierto",I13="TBD — Por definir")),"⚠ Regresión","—")</f>
        <v>—</v>
      </c>
      <c r="K13" s="29" t="s">
        <v>92</v>
      </c>
      <c r="L13" s="32"/>
      <c r="M13" s="32"/>
      <c r="N13" s="32"/>
    </row>
    <row r="14" customFormat="false" ht="33.75" hidden="false" customHeight="true" outlineLevel="0" collapsed="false">
      <c r="A14" s="33" t="n">
        <v>6</v>
      </c>
      <c r="B14" s="34" t="s">
        <v>72</v>
      </c>
      <c r="C14" s="35" t="s">
        <v>89</v>
      </c>
      <c r="D14" s="36" t="s">
        <v>93</v>
      </c>
      <c r="E14" s="35" t="s">
        <v>94</v>
      </c>
      <c r="F14" s="6" t="s">
        <v>8</v>
      </c>
      <c r="G14" s="30" t="s">
        <v>76</v>
      </c>
      <c r="H14" s="6" t="s">
        <v>8</v>
      </c>
      <c r="I14" s="30" t="s">
        <v>76</v>
      </c>
      <c r="J14" s="37" t="str">
        <f aca="false">IF(AND(OR(F14="P — En producción",F14="PAR — Parcial (legado)"),OR(G14="N — No cubierto",G14="TBD — Por definir"),OR(H14="N — No cubierto",H14="TBD — Por definir"),OR(I14="N — No cubierto",I14="TBD — Por definir")),"⚠ Regresión","—")</f>
        <v>—</v>
      </c>
      <c r="K14" s="35" t="s">
        <v>95</v>
      </c>
      <c r="L14" s="32"/>
      <c r="M14" s="32"/>
      <c r="N14" s="32"/>
    </row>
    <row r="15" customFormat="false" ht="33.75" hidden="false" customHeight="true" outlineLevel="0" collapsed="false">
      <c r="A15" s="27" t="n">
        <v>7</v>
      </c>
      <c r="B15" s="28" t="s">
        <v>72</v>
      </c>
      <c r="C15" s="29" t="s">
        <v>89</v>
      </c>
      <c r="D15" s="16" t="s">
        <v>96</v>
      </c>
      <c r="E15" s="29" t="s">
        <v>97</v>
      </c>
      <c r="F15" s="6" t="s">
        <v>8</v>
      </c>
      <c r="G15" s="30" t="s">
        <v>76</v>
      </c>
      <c r="H15" s="6" t="s">
        <v>8</v>
      </c>
      <c r="I15" s="30" t="s">
        <v>76</v>
      </c>
      <c r="J15" s="31" t="str">
        <f aca="false">IF(AND(OR(F15="P — En producción",F15="PAR — Parcial (legado)"),OR(G15="N — No cubierto",G15="TBD — Por definir"),OR(H15="N — No cubierto",H15="TBD — Por definir"),OR(I15="N — No cubierto",I15="TBD — Por definir")),"⚠ Regresión","—")</f>
        <v>—</v>
      </c>
      <c r="K15" s="29" t="s">
        <v>98</v>
      </c>
      <c r="L15" s="32"/>
      <c r="M15" s="32"/>
      <c r="N15" s="32"/>
    </row>
    <row r="16" customFormat="false" ht="33.75" hidden="false" customHeight="true" outlineLevel="0" collapsed="false">
      <c r="A16" s="33" t="n">
        <v>8</v>
      </c>
      <c r="B16" s="34" t="s">
        <v>72</v>
      </c>
      <c r="C16" s="35" t="s">
        <v>89</v>
      </c>
      <c r="D16" s="36" t="s">
        <v>99</v>
      </c>
      <c r="E16" s="35" t="s">
        <v>100</v>
      </c>
      <c r="F16" s="6" t="s">
        <v>8</v>
      </c>
      <c r="G16" s="30" t="s">
        <v>76</v>
      </c>
      <c r="H16" s="6" t="s">
        <v>8</v>
      </c>
      <c r="I16" s="30" t="s">
        <v>76</v>
      </c>
      <c r="J16" s="37" t="str">
        <f aca="false">IF(AND(OR(F16="P — En producción",F16="PAR — Parcial (legado)"),OR(G16="N — No cubierto",G16="TBD — Por definir"),OR(H16="N — No cubierto",H16="TBD — Por definir"),OR(I16="N — No cubierto",I16="TBD — Por definir")),"⚠ Regresión","—")</f>
        <v>—</v>
      </c>
      <c r="K16" s="35" t="s">
        <v>101</v>
      </c>
      <c r="L16" s="32"/>
      <c r="M16" s="32"/>
      <c r="N16" s="32"/>
    </row>
    <row r="17" customFormat="false" ht="33.75" hidden="false" customHeight="true" outlineLevel="0" collapsed="false">
      <c r="A17" s="27" t="n">
        <v>9</v>
      </c>
      <c r="B17" s="28" t="s">
        <v>72</v>
      </c>
      <c r="C17" s="29" t="s">
        <v>89</v>
      </c>
      <c r="D17" s="16" t="s">
        <v>102</v>
      </c>
      <c r="E17" s="29" t="s">
        <v>103</v>
      </c>
      <c r="F17" s="6" t="s">
        <v>8</v>
      </c>
      <c r="G17" s="30" t="s">
        <v>76</v>
      </c>
      <c r="H17" s="6" t="s">
        <v>8</v>
      </c>
      <c r="I17" s="30" t="s">
        <v>76</v>
      </c>
      <c r="J17" s="31" t="str">
        <f aca="false">IF(AND(OR(F17="P — En producción",F17="PAR — Parcial (legado)"),OR(G17="N — No cubierto",G17="TBD — Por definir"),OR(H17="N — No cubierto",H17="TBD — Por definir"),OR(I17="N — No cubierto",I17="TBD — Por definir")),"⚠ Regresión","—")</f>
        <v>—</v>
      </c>
      <c r="K17" s="29" t="s">
        <v>104</v>
      </c>
      <c r="L17" s="32"/>
      <c r="M17" s="32"/>
      <c r="N17" s="32"/>
    </row>
    <row r="18" customFormat="false" ht="33.75" hidden="false" customHeight="true" outlineLevel="0" collapsed="false">
      <c r="A18" s="33" t="n">
        <v>10</v>
      </c>
      <c r="B18" s="34" t="s">
        <v>72</v>
      </c>
      <c r="C18" s="35" t="s">
        <v>89</v>
      </c>
      <c r="D18" s="36" t="s">
        <v>105</v>
      </c>
      <c r="E18" s="35" t="s">
        <v>106</v>
      </c>
      <c r="F18" s="13" t="s">
        <v>86</v>
      </c>
      <c r="G18" s="30" t="s">
        <v>76</v>
      </c>
      <c r="H18" s="6" t="s">
        <v>8</v>
      </c>
      <c r="I18" s="30" t="s">
        <v>76</v>
      </c>
      <c r="J18" s="37" t="str">
        <f aca="false">IF(AND(OR(F18="P — En producción",F18="PAR — Parcial (legado)"),OR(G18="N — No cubierto",G18="TBD — Por definir"),OR(H18="N — No cubierto",H18="TBD — Por definir"),OR(I18="N — No cubierto",I18="TBD — Por definir")),"⚠ Regresión","—")</f>
        <v>—</v>
      </c>
      <c r="K18" s="35" t="s">
        <v>107</v>
      </c>
      <c r="L18" s="32"/>
      <c r="M18" s="32"/>
      <c r="N18" s="32"/>
    </row>
    <row r="19" customFormat="false" ht="33.75" hidden="false" customHeight="true" outlineLevel="0" collapsed="false">
      <c r="A19" s="27" t="n">
        <v>11</v>
      </c>
      <c r="B19" s="28" t="s">
        <v>72</v>
      </c>
      <c r="C19" s="29" t="s">
        <v>89</v>
      </c>
      <c r="D19" s="16" t="s">
        <v>108</v>
      </c>
      <c r="E19" s="29" t="s">
        <v>109</v>
      </c>
      <c r="F19" s="6" t="s">
        <v>8</v>
      </c>
      <c r="G19" s="30" t="s">
        <v>76</v>
      </c>
      <c r="H19" s="6" t="s">
        <v>8</v>
      </c>
      <c r="I19" s="30" t="s">
        <v>76</v>
      </c>
      <c r="J19" s="31" t="str">
        <f aca="false">IF(AND(OR(F19="P — En producción",F19="PAR — Parcial (legado)"),OR(G19="N — No cubierto",G19="TBD — Por definir"),OR(H19="N — No cubierto",H19="TBD — Por definir"),OR(I19="N — No cubierto",I19="TBD — Por definir")),"⚠ Regresión","—")</f>
        <v>—</v>
      </c>
      <c r="K19" s="29" t="s">
        <v>110</v>
      </c>
      <c r="L19" s="32"/>
      <c r="M19" s="32"/>
      <c r="N19" s="32"/>
    </row>
    <row r="20" customFormat="false" ht="33.75" hidden="false" customHeight="true" outlineLevel="0" collapsed="false">
      <c r="A20" s="33" t="n">
        <v>12</v>
      </c>
      <c r="B20" s="34" t="s">
        <v>72</v>
      </c>
      <c r="C20" s="35" t="s">
        <v>89</v>
      </c>
      <c r="D20" s="36" t="s">
        <v>111</v>
      </c>
      <c r="E20" s="35" t="s">
        <v>112</v>
      </c>
      <c r="F20" s="6" t="s">
        <v>8</v>
      </c>
      <c r="G20" s="30" t="s">
        <v>76</v>
      </c>
      <c r="H20" s="6" t="s">
        <v>8</v>
      </c>
      <c r="I20" s="30" t="s">
        <v>76</v>
      </c>
      <c r="J20" s="37" t="str">
        <f aca="false">IF(AND(OR(F20="P — En producción",F20="PAR — Parcial (legado)"),OR(G20="N — No cubierto",G20="TBD — Por definir"),OR(H20="N — No cubierto",H20="TBD — Por definir"),OR(I20="N — No cubierto",I20="TBD — Por definir")),"⚠ Regresión","—")</f>
        <v>—</v>
      </c>
      <c r="K20" s="35" t="s">
        <v>113</v>
      </c>
      <c r="L20" s="32"/>
      <c r="M20" s="32"/>
      <c r="N20" s="32"/>
    </row>
    <row r="21" customFormat="false" ht="21.75" hidden="false" customHeight="true" outlineLevel="0" collapsed="false">
      <c r="A21" s="26" t="s">
        <v>114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customFormat="false" ht="33.75" hidden="false" customHeight="true" outlineLevel="0" collapsed="false">
      <c r="A22" s="27" t="n">
        <v>13</v>
      </c>
      <c r="B22" s="28" t="s">
        <v>72</v>
      </c>
      <c r="C22" s="29" t="s">
        <v>115</v>
      </c>
      <c r="D22" s="16" t="s">
        <v>116</v>
      </c>
      <c r="E22" s="29" t="s">
        <v>117</v>
      </c>
      <c r="F22" s="6" t="s">
        <v>8</v>
      </c>
      <c r="G22" s="30" t="s">
        <v>76</v>
      </c>
      <c r="H22" s="12" t="s">
        <v>18</v>
      </c>
      <c r="I22" s="30" t="s">
        <v>76</v>
      </c>
      <c r="J22" s="31" t="str">
        <f aca="false">IF(AND(OR(F22="P — En producción",F22="PAR — Parcial (legado)"),OR(G22="N — No cubierto",G22="TBD — Por definir"),OR(H22="N — No cubierto",H22="TBD — Por definir"),OR(I22="N — No cubierto",I22="TBD — Por definir")),"⚠ Regresión","—")</f>
        <v>—</v>
      </c>
      <c r="K22" s="29" t="s">
        <v>118</v>
      </c>
      <c r="L22" s="32"/>
      <c r="M22" s="32"/>
      <c r="N22" s="32"/>
    </row>
    <row r="23" customFormat="false" ht="33.75" hidden="false" customHeight="true" outlineLevel="0" collapsed="false">
      <c r="A23" s="33" t="n">
        <v>14</v>
      </c>
      <c r="B23" s="34" t="s">
        <v>72</v>
      </c>
      <c r="C23" s="35" t="s">
        <v>115</v>
      </c>
      <c r="D23" s="36" t="s">
        <v>119</v>
      </c>
      <c r="E23" s="35" t="s">
        <v>120</v>
      </c>
      <c r="F23" s="13" t="s">
        <v>86</v>
      </c>
      <c r="G23" s="30" t="s">
        <v>76</v>
      </c>
      <c r="H23" s="12" t="s">
        <v>18</v>
      </c>
      <c r="I23" s="30" t="s">
        <v>76</v>
      </c>
      <c r="J23" s="37" t="str">
        <f aca="false">IF(AND(OR(F23="P — En producción",F23="PAR — Parcial (legado)"),OR(G23="N — No cubierto",G23="TBD — Por definir"),OR(H23="N — No cubierto",H23="TBD — Por definir"),OR(I23="N — No cubierto",I23="TBD — Por definir")),"⚠ Regresión","—")</f>
        <v>—</v>
      </c>
      <c r="K23" s="35" t="s">
        <v>118</v>
      </c>
      <c r="L23" s="32"/>
      <c r="M23" s="32"/>
      <c r="N23" s="32"/>
    </row>
    <row r="24" customFormat="false" ht="33.75" hidden="false" customHeight="true" outlineLevel="0" collapsed="false">
      <c r="A24" s="27" t="n">
        <v>15</v>
      </c>
      <c r="B24" s="28" t="s">
        <v>72</v>
      </c>
      <c r="C24" s="29" t="s">
        <v>115</v>
      </c>
      <c r="D24" s="16" t="s">
        <v>121</v>
      </c>
      <c r="E24" s="29" t="s">
        <v>122</v>
      </c>
      <c r="F24" s="13" t="s">
        <v>86</v>
      </c>
      <c r="G24" s="30" t="s">
        <v>76</v>
      </c>
      <c r="H24" s="12" t="s">
        <v>18</v>
      </c>
      <c r="I24" s="30" t="s">
        <v>76</v>
      </c>
      <c r="J24" s="31" t="str">
        <f aca="false">IF(AND(OR(F24="P — En producción",F24="PAR — Parcial (legado)"),OR(G24="N — No cubierto",G24="TBD — Por definir"),OR(H24="N — No cubierto",H24="TBD — Por definir"),OR(I24="N — No cubierto",I24="TBD — Por definir")),"⚠ Regresión","—")</f>
        <v>—</v>
      </c>
      <c r="K24" s="29" t="s">
        <v>118</v>
      </c>
      <c r="L24" s="32"/>
      <c r="M24" s="32"/>
      <c r="N24" s="32"/>
    </row>
    <row r="25" customFormat="false" ht="33.75" hidden="false" customHeight="true" outlineLevel="0" collapsed="false">
      <c r="A25" s="33" t="n">
        <v>16</v>
      </c>
      <c r="B25" s="34" t="s">
        <v>72</v>
      </c>
      <c r="C25" s="35" t="s">
        <v>115</v>
      </c>
      <c r="D25" s="36" t="s">
        <v>123</v>
      </c>
      <c r="E25" s="35" t="s">
        <v>124</v>
      </c>
      <c r="F25" s="13" t="s">
        <v>86</v>
      </c>
      <c r="G25" s="30" t="s">
        <v>76</v>
      </c>
      <c r="H25" s="12" t="s">
        <v>18</v>
      </c>
      <c r="I25" s="30" t="s">
        <v>76</v>
      </c>
      <c r="J25" s="37" t="str">
        <f aca="false">IF(AND(OR(F25="P — En producción",F25="PAR — Parcial (legado)"),OR(G25="N — No cubierto",G25="TBD — Por definir"),OR(H25="N — No cubierto",H25="TBD — Por definir"),OR(I25="N — No cubierto",I25="TBD — Por definir")),"⚠ Regresión","—")</f>
        <v>—</v>
      </c>
      <c r="K25" s="35" t="s">
        <v>118</v>
      </c>
      <c r="L25" s="32"/>
      <c r="M25" s="32"/>
      <c r="N25" s="32"/>
    </row>
    <row r="26" customFormat="false" ht="21.75" hidden="false" customHeight="true" outlineLevel="0" collapsed="false">
      <c r="A26" s="26" t="s">
        <v>125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</row>
    <row r="27" customFormat="false" ht="33.75" hidden="false" customHeight="true" outlineLevel="0" collapsed="false">
      <c r="A27" s="27" t="n">
        <v>17</v>
      </c>
      <c r="B27" s="28" t="s">
        <v>72</v>
      </c>
      <c r="C27" s="29" t="s">
        <v>126</v>
      </c>
      <c r="D27" s="16" t="s">
        <v>127</v>
      </c>
      <c r="E27" s="29" t="s">
        <v>128</v>
      </c>
      <c r="F27" s="13" t="s">
        <v>86</v>
      </c>
      <c r="G27" s="30" t="s">
        <v>76</v>
      </c>
      <c r="H27" s="12" t="s">
        <v>18</v>
      </c>
      <c r="I27" s="30" t="s">
        <v>76</v>
      </c>
      <c r="J27" s="31" t="str">
        <f aca="false">IF(AND(OR(F27="P — En producción",F27="PAR — Parcial (legado)"),OR(G27="N — No cubierto",G27="TBD — Por definir"),OR(H27="N — No cubierto",H27="TBD — Por definir"),OR(I27="N — No cubierto",I27="TBD — Por definir")),"⚠ Regresión","—")</f>
        <v>—</v>
      </c>
      <c r="K27" s="29" t="s">
        <v>129</v>
      </c>
      <c r="L27" s="32"/>
      <c r="M27" s="32"/>
      <c r="N27" s="32"/>
    </row>
    <row r="28" customFormat="false" ht="33.75" hidden="false" customHeight="true" outlineLevel="0" collapsed="false">
      <c r="A28" s="33" t="n">
        <v>18</v>
      </c>
      <c r="B28" s="34" t="s">
        <v>72</v>
      </c>
      <c r="C28" s="35" t="s">
        <v>126</v>
      </c>
      <c r="D28" s="36" t="s">
        <v>130</v>
      </c>
      <c r="E28" s="35" t="s">
        <v>131</v>
      </c>
      <c r="F28" s="13" t="s">
        <v>86</v>
      </c>
      <c r="G28" s="30" t="s">
        <v>76</v>
      </c>
      <c r="H28" s="12" t="s">
        <v>18</v>
      </c>
      <c r="I28" s="30" t="s">
        <v>76</v>
      </c>
      <c r="J28" s="37" t="str">
        <f aca="false">IF(AND(OR(F28="P — En producción",F28="PAR — Parcial (legado)"),OR(G28="N — No cubierto",G28="TBD — Por definir"),OR(H28="N — No cubierto",H28="TBD — Por definir"),OR(I28="N — No cubierto",I28="TBD — Por definir")),"⚠ Regresión","—")</f>
        <v>—</v>
      </c>
      <c r="K28" s="35" t="s">
        <v>129</v>
      </c>
      <c r="L28" s="32"/>
      <c r="M28" s="32"/>
      <c r="N28" s="32"/>
    </row>
    <row r="29" customFormat="false" ht="33.75" hidden="false" customHeight="true" outlineLevel="0" collapsed="false">
      <c r="A29" s="27" t="n">
        <v>19</v>
      </c>
      <c r="B29" s="28" t="s">
        <v>72</v>
      </c>
      <c r="C29" s="29" t="s">
        <v>126</v>
      </c>
      <c r="D29" s="16" t="s">
        <v>132</v>
      </c>
      <c r="E29" s="29" t="s">
        <v>133</v>
      </c>
      <c r="F29" s="11" t="s">
        <v>16</v>
      </c>
      <c r="G29" s="30" t="s">
        <v>76</v>
      </c>
      <c r="H29" s="12" t="s">
        <v>18</v>
      </c>
      <c r="I29" s="30" t="s">
        <v>76</v>
      </c>
      <c r="J29" s="31" t="str">
        <f aca="false">IF(AND(OR(F29="P — En producción",F29="PAR — Parcial (legado)"),OR(G29="N — No cubierto",G29="TBD — Por definir"),OR(H29="N — No cubierto",H29="TBD — Por definir"),OR(I29="N — No cubierto",I29="TBD — Por definir")),"⚠ Regresión","—")</f>
        <v>—</v>
      </c>
      <c r="K29" s="29" t="s">
        <v>129</v>
      </c>
      <c r="L29" s="32"/>
      <c r="M29" s="32"/>
      <c r="N29" s="32"/>
    </row>
    <row r="30" customFormat="false" ht="21.75" hidden="false" customHeight="true" outlineLevel="0" collapsed="false">
      <c r="A30" s="26" t="s">
        <v>134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customFormat="false" ht="33.75" hidden="false" customHeight="true" outlineLevel="0" collapsed="false">
      <c r="A31" s="33" t="n">
        <v>20</v>
      </c>
      <c r="B31" s="34" t="s">
        <v>72</v>
      </c>
      <c r="C31" s="35" t="s">
        <v>135</v>
      </c>
      <c r="D31" s="36" t="s">
        <v>136</v>
      </c>
      <c r="E31" s="35" t="s">
        <v>137</v>
      </c>
      <c r="F31" s="6" t="s">
        <v>8</v>
      </c>
      <c r="G31" s="30" t="s">
        <v>76</v>
      </c>
      <c r="H31" s="6" t="s">
        <v>8</v>
      </c>
      <c r="I31" s="30" t="s">
        <v>76</v>
      </c>
      <c r="J31" s="37" t="str">
        <f aca="false">IF(AND(OR(F31="P — En producción",F31="PAR — Parcial (legado)"),OR(G31="N — No cubierto",G31="TBD — Por definir"),OR(H31="N — No cubierto",H31="TBD — Por definir"),OR(I31="N — No cubierto",I31="TBD — Por definir")),"⚠ Regresión","—")</f>
        <v>—</v>
      </c>
      <c r="K31" s="35" t="s">
        <v>138</v>
      </c>
      <c r="L31" s="32"/>
      <c r="M31" s="32"/>
      <c r="N31" s="32"/>
    </row>
    <row r="32" customFormat="false" ht="33.75" hidden="false" customHeight="true" outlineLevel="0" collapsed="false">
      <c r="A32" s="27" t="n">
        <v>21</v>
      </c>
      <c r="B32" s="28" t="s">
        <v>72</v>
      </c>
      <c r="C32" s="29" t="s">
        <v>135</v>
      </c>
      <c r="D32" s="16" t="s">
        <v>139</v>
      </c>
      <c r="E32" s="29" t="s">
        <v>140</v>
      </c>
      <c r="F32" s="6" t="s">
        <v>8</v>
      </c>
      <c r="G32" s="30" t="s">
        <v>76</v>
      </c>
      <c r="H32" s="6" t="s">
        <v>8</v>
      </c>
      <c r="I32" s="30" t="s">
        <v>76</v>
      </c>
      <c r="J32" s="31" t="str">
        <f aca="false">IF(AND(OR(F32="P — En producción",F32="PAR — Parcial (legado)"),OR(G32="N — No cubierto",G32="TBD — Por definir"),OR(H32="N — No cubierto",H32="TBD — Por definir"),OR(I32="N — No cubierto",I32="TBD — Por definir")),"⚠ Regresión","—")</f>
        <v>—</v>
      </c>
      <c r="K32" s="29" t="s">
        <v>141</v>
      </c>
      <c r="L32" s="32"/>
      <c r="M32" s="32"/>
      <c r="N32" s="32"/>
    </row>
    <row r="33" customFormat="false" ht="33.75" hidden="false" customHeight="true" outlineLevel="0" collapsed="false">
      <c r="A33" s="33" t="n">
        <v>22</v>
      </c>
      <c r="B33" s="34" t="s">
        <v>72</v>
      </c>
      <c r="C33" s="35" t="s">
        <v>135</v>
      </c>
      <c r="D33" s="36" t="s">
        <v>142</v>
      </c>
      <c r="E33" s="35" t="s">
        <v>143</v>
      </c>
      <c r="F33" s="6" t="s">
        <v>8</v>
      </c>
      <c r="G33" s="30" t="s">
        <v>76</v>
      </c>
      <c r="H33" s="6" t="s">
        <v>8</v>
      </c>
      <c r="I33" s="30" t="s">
        <v>76</v>
      </c>
      <c r="J33" s="37" t="str">
        <f aca="false">IF(AND(OR(F33="P — En producción",F33="PAR — Parcial (legado)"),OR(G33="N — No cubierto",G33="TBD — Por definir"),OR(H33="N — No cubierto",H33="TBD — Por definir"),OR(I33="N — No cubierto",I33="TBD — Por definir")),"⚠ Regresión","—")</f>
        <v>—</v>
      </c>
      <c r="K33" s="35" t="s">
        <v>144</v>
      </c>
      <c r="L33" s="32"/>
      <c r="M33" s="32"/>
      <c r="N33" s="32"/>
    </row>
    <row r="34" customFormat="false" ht="33.75" hidden="false" customHeight="true" outlineLevel="0" collapsed="false">
      <c r="A34" s="27" t="n">
        <v>23</v>
      </c>
      <c r="B34" s="28" t="s">
        <v>72</v>
      </c>
      <c r="C34" s="29" t="s">
        <v>135</v>
      </c>
      <c r="D34" s="16" t="s">
        <v>145</v>
      </c>
      <c r="E34" s="29" t="s">
        <v>146</v>
      </c>
      <c r="F34" s="6" t="s">
        <v>8</v>
      </c>
      <c r="G34" s="30" t="s">
        <v>76</v>
      </c>
      <c r="H34" s="6" t="s">
        <v>8</v>
      </c>
      <c r="I34" s="30" t="s">
        <v>76</v>
      </c>
      <c r="J34" s="31" t="str">
        <f aca="false">IF(AND(OR(F34="P — En producción",F34="PAR — Parcial (legado)"),OR(G34="N — No cubierto",G34="TBD — Por definir"),OR(H34="N — No cubierto",H34="TBD — Por definir"),OR(I34="N — No cubierto",I34="TBD — Por definir")),"⚠ Regresión","—")</f>
        <v>—</v>
      </c>
      <c r="K34" s="29" t="s">
        <v>147</v>
      </c>
      <c r="L34" s="32"/>
      <c r="M34" s="32"/>
      <c r="N34" s="32"/>
    </row>
    <row r="35" customFormat="false" ht="33.75" hidden="false" customHeight="true" outlineLevel="0" collapsed="false">
      <c r="A35" s="33" t="n">
        <v>24</v>
      </c>
      <c r="B35" s="34" t="s">
        <v>72</v>
      </c>
      <c r="C35" s="35" t="s">
        <v>135</v>
      </c>
      <c r="D35" s="36" t="s">
        <v>148</v>
      </c>
      <c r="E35" s="35" t="s">
        <v>149</v>
      </c>
      <c r="F35" s="6" t="s">
        <v>8</v>
      </c>
      <c r="G35" s="30" t="s">
        <v>76</v>
      </c>
      <c r="H35" s="6" t="s">
        <v>8</v>
      </c>
      <c r="I35" s="30" t="s">
        <v>76</v>
      </c>
      <c r="J35" s="37" t="str">
        <f aca="false">IF(AND(OR(F35="P — En producción",F35="PAR — Parcial (legado)"),OR(G35="N — No cubierto",G35="TBD — Por definir"),OR(H35="N — No cubierto",H35="TBD — Por definir"),OR(I35="N — No cubierto",I35="TBD — Por definir")),"⚠ Regresión","—")</f>
        <v>—</v>
      </c>
      <c r="K35" s="35" t="s">
        <v>150</v>
      </c>
      <c r="L35" s="32"/>
      <c r="M35" s="32"/>
      <c r="N35" s="32"/>
    </row>
    <row r="36" customFormat="false" ht="21.75" hidden="false" customHeight="true" outlineLevel="0" collapsed="false">
      <c r="A36" s="26" t="s">
        <v>151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customFormat="false" ht="33.75" hidden="false" customHeight="true" outlineLevel="0" collapsed="false">
      <c r="A37" s="27" t="n">
        <v>25</v>
      </c>
      <c r="B37" s="28" t="s">
        <v>72</v>
      </c>
      <c r="C37" s="29" t="s">
        <v>152</v>
      </c>
      <c r="D37" s="16" t="s">
        <v>153</v>
      </c>
      <c r="E37" s="29" t="s">
        <v>154</v>
      </c>
      <c r="F37" s="13" t="s">
        <v>86</v>
      </c>
      <c r="G37" s="30" t="s">
        <v>76</v>
      </c>
      <c r="H37" s="12" t="s">
        <v>18</v>
      </c>
      <c r="I37" s="30" t="s">
        <v>76</v>
      </c>
      <c r="J37" s="31" t="str">
        <f aca="false">IF(AND(OR(F37="P — En producción",F37="PAR — Parcial (legado)"),OR(G37="N — No cubierto",G37="TBD — Por definir"),OR(H37="N — No cubierto",H37="TBD — Por definir"),OR(I37="N — No cubierto",I37="TBD — Por definir")),"⚠ Regresión","—")</f>
        <v>—</v>
      </c>
      <c r="K37" s="29" t="s">
        <v>129</v>
      </c>
      <c r="L37" s="32"/>
      <c r="M37" s="32"/>
      <c r="N37" s="32"/>
    </row>
    <row r="38" customFormat="false" ht="33.75" hidden="false" customHeight="true" outlineLevel="0" collapsed="false">
      <c r="A38" s="33" t="n">
        <v>26</v>
      </c>
      <c r="B38" s="34" t="s">
        <v>72</v>
      </c>
      <c r="C38" s="35" t="s">
        <v>152</v>
      </c>
      <c r="D38" s="36" t="s">
        <v>155</v>
      </c>
      <c r="E38" s="35" t="s">
        <v>156</v>
      </c>
      <c r="F38" s="11" t="s">
        <v>16</v>
      </c>
      <c r="G38" s="30" t="s">
        <v>76</v>
      </c>
      <c r="H38" s="12" t="s">
        <v>18</v>
      </c>
      <c r="I38" s="30" t="s">
        <v>76</v>
      </c>
      <c r="J38" s="37" t="str">
        <f aca="false">IF(AND(OR(F38="P — En producción",F38="PAR — Parcial (legado)"),OR(G38="N — No cubierto",G38="TBD — Por definir"),OR(H38="N — No cubierto",H38="TBD — Por definir"),OR(I38="N — No cubierto",I38="TBD — Por definir")),"⚠ Regresión","—")</f>
        <v>—</v>
      </c>
      <c r="K38" s="35" t="s">
        <v>157</v>
      </c>
      <c r="L38" s="32"/>
      <c r="M38" s="32"/>
      <c r="N38" s="32"/>
    </row>
    <row r="39" customFormat="false" ht="33.75" hidden="false" customHeight="true" outlineLevel="0" collapsed="false">
      <c r="A39" s="27" t="n">
        <v>27</v>
      </c>
      <c r="B39" s="28" t="s">
        <v>72</v>
      </c>
      <c r="C39" s="29" t="s">
        <v>152</v>
      </c>
      <c r="D39" s="16" t="s">
        <v>158</v>
      </c>
      <c r="E39" s="29" t="s">
        <v>159</v>
      </c>
      <c r="F39" s="13" t="s">
        <v>86</v>
      </c>
      <c r="G39" s="30" t="s">
        <v>76</v>
      </c>
      <c r="H39" s="12" t="s">
        <v>18</v>
      </c>
      <c r="I39" s="30" t="s">
        <v>76</v>
      </c>
      <c r="J39" s="31" t="str">
        <f aca="false">IF(AND(OR(F39="P — En producción",F39="PAR — Parcial (legado)"),OR(G39="N — No cubierto",G39="TBD — Por definir"),OR(H39="N — No cubierto",H39="TBD — Por definir"),OR(I39="N — No cubierto",I39="TBD — Por definir")),"⚠ Regresión","—")</f>
        <v>—</v>
      </c>
      <c r="K39" s="29" t="s">
        <v>129</v>
      </c>
      <c r="L39" s="32"/>
      <c r="M39" s="32"/>
      <c r="N39" s="32"/>
    </row>
    <row r="40" customFormat="false" ht="33.75" hidden="false" customHeight="true" outlineLevel="0" collapsed="false">
      <c r="A40" s="33" t="n">
        <v>28</v>
      </c>
      <c r="B40" s="34" t="s">
        <v>72</v>
      </c>
      <c r="C40" s="35" t="s">
        <v>152</v>
      </c>
      <c r="D40" s="36" t="s">
        <v>160</v>
      </c>
      <c r="E40" s="35" t="s">
        <v>161</v>
      </c>
      <c r="F40" s="13" t="s">
        <v>86</v>
      </c>
      <c r="G40" s="30" t="s">
        <v>76</v>
      </c>
      <c r="H40" s="12" t="s">
        <v>18</v>
      </c>
      <c r="I40" s="30" t="s">
        <v>76</v>
      </c>
      <c r="J40" s="37" t="str">
        <f aca="false">IF(AND(OR(F40="P — En producción",F40="PAR — Parcial (legado)"),OR(G40="N — No cubierto",G40="TBD — Por definir"),OR(H40="N — No cubierto",H40="TBD — Por definir"),OR(I40="N — No cubierto",I40="TBD — Por definir")),"⚠ Regresión","—")</f>
        <v>—</v>
      </c>
      <c r="K40" s="35" t="s">
        <v>129</v>
      </c>
      <c r="L40" s="32"/>
      <c r="M40" s="32"/>
      <c r="N40" s="32"/>
    </row>
    <row r="41" customFormat="false" ht="21.75" hidden="false" customHeight="true" outlineLevel="0" collapsed="false">
      <c r="A41" s="26" t="s">
        <v>162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customFormat="false" ht="33.75" hidden="false" customHeight="true" outlineLevel="0" collapsed="false">
      <c r="A42" s="27" t="n">
        <v>29</v>
      </c>
      <c r="B42" s="28" t="s">
        <v>72</v>
      </c>
      <c r="C42" s="29" t="s">
        <v>163</v>
      </c>
      <c r="D42" s="16" t="s">
        <v>164</v>
      </c>
      <c r="E42" s="29" t="s">
        <v>165</v>
      </c>
      <c r="F42" s="6" t="s">
        <v>8</v>
      </c>
      <c r="G42" s="30" t="s">
        <v>76</v>
      </c>
      <c r="H42" s="12" t="s">
        <v>18</v>
      </c>
      <c r="I42" s="30" t="s">
        <v>76</v>
      </c>
      <c r="J42" s="31" t="str">
        <f aca="false">IF(AND(OR(F42="P — En producción",F42="PAR — Parcial (legado)"),OR(G42="N — No cubierto",G42="TBD — Por definir"),OR(H42="N — No cubierto",H42="TBD — Por definir"),OR(I42="N — No cubierto",I42="TBD — Por definir")),"⚠ Regresión","—")</f>
        <v>—</v>
      </c>
      <c r="K42" s="29" t="s">
        <v>166</v>
      </c>
      <c r="L42" s="32"/>
      <c r="M42" s="32"/>
      <c r="N42" s="32"/>
    </row>
    <row r="43" customFormat="false" ht="33.75" hidden="false" customHeight="true" outlineLevel="0" collapsed="false">
      <c r="A43" s="33" t="n">
        <v>30</v>
      </c>
      <c r="B43" s="34" t="s">
        <v>72</v>
      </c>
      <c r="C43" s="35" t="s">
        <v>163</v>
      </c>
      <c r="D43" s="36" t="s">
        <v>167</v>
      </c>
      <c r="E43" s="35" t="s">
        <v>168</v>
      </c>
      <c r="F43" s="6" t="s">
        <v>8</v>
      </c>
      <c r="G43" s="30" t="s">
        <v>76</v>
      </c>
      <c r="H43" s="12" t="s">
        <v>18</v>
      </c>
      <c r="I43" s="30" t="s">
        <v>76</v>
      </c>
      <c r="J43" s="37" t="str">
        <f aca="false">IF(AND(OR(F43="P — En producción",F43="PAR — Parcial (legado)"),OR(G43="N — No cubierto",G43="TBD — Por definir"),OR(H43="N — No cubierto",H43="TBD — Por definir"),OR(I43="N — No cubierto",I43="TBD — Por definir")),"⚠ Regresión","—")</f>
        <v>—</v>
      </c>
      <c r="K43" s="35" t="s">
        <v>169</v>
      </c>
      <c r="L43" s="32"/>
      <c r="M43" s="32"/>
      <c r="N43" s="32"/>
    </row>
    <row r="44" customFormat="false" ht="21.75" hidden="false" customHeight="true" outlineLevel="0" collapsed="false">
      <c r="A44" s="26" t="s">
        <v>170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customFormat="false" ht="33.75" hidden="false" customHeight="true" outlineLevel="0" collapsed="false">
      <c r="A45" s="27" t="n">
        <v>31</v>
      </c>
      <c r="B45" s="28" t="s">
        <v>72</v>
      </c>
      <c r="C45" s="29" t="s">
        <v>171</v>
      </c>
      <c r="D45" s="16" t="s">
        <v>172</v>
      </c>
      <c r="E45" s="29" t="s">
        <v>173</v>
      </c>
      <c r="F45" s="6" t="s">
        <v>8</v>
      </c>
      <c r="G45" s="30" t="s">
        <v>76</v>
      </c>
      <c r="H45" s="6" t="s">
        <v>8</v>
      </c>
      <c r="I45" s="30" t="s">
        <v>76</v>
      </c>
      <c r="J45" s="31" t="str">
        <f aca="false">IF(AND(OR(F45="P — En producción",F45="PAR — Parcial (legado)"),OR(G45="N — No cubierto",G45="TBD — Por definir"),OR(H45="N — No cubierto",H45="TBD — Por definir"),OR(I45="N — No cubierto",I45="TBD — Por definir")),"⚠ Regresión","—")</f>
        <v>—</v>
      </c>
      <c r="K45" s="29" t="s">
        <v>174</v>
      </c>
      <c r="L45" s="32"/>
      <c r="M45" s="32"/>
      <c r="N45" s="32"/>
    </row>
    <row r="46" customFormat="false" ht="33.75" hidden="false" customHeight="true" outlineLevel="0" collapsed="false">
      <c r="A46" s="33" t="n">
        <v>32</v>
      </c>
      <c r="B46" s="34" t="s">
        <v>72</v>
      </c>
      <c r="C46" s="35" t="s">
        <v>171</v>
      </c>
      <c r="D46" s="36" t="s">
        <v>175</v>
      </c>
      <c r="E46" s="35" t="s">
        <v>176</v>
      </c>
      <c r="F46" s="13" t="s">
        <v>86</v>
      </c>
      <c r="G46" s="30" t="s">
        <v>76</v>
      </c>
      <c r="H46" s="6" t="s">
        <v>8</v>
      </c>
      <c r="I46" s="30" t="s">
        <v>76</v>
      </c>
      <c r="J46" s="37" t="str">
        <f aca="false">IF(AND(OR(F46="P — En producción",F46="PAR — Parcial (legado)"),OR(G46="N — No cubierto",G46="TBD — Por definir"),OR(H46="N — No cubierto",H46="TBD — Por definir"),OR(I46="N — No cubierto",I46="TBD — Por definir")),"⚠ Regresión","—")</f>
        <v>—</v>
      </c>
      <c r="K46" s="35" t="s">
        <v>177</v>
      </c>
      <c r="L46" s="32"/>
      <c r="M46" s="32"/>
      <c r="N46" s="32"/>
    </row>
    <row r="47" customFormat="false" ht="33.75" hidden="false" customHeight="true" outlineLevel="0" collapsed="false">
      <c r="A47" s="27" t="n">
        <v>33</v>
      </c>
      <c r="B47" s="28" t="s">
        <v>72</v>
      </c>
      <c r="C47" s="29" t="s">
        <v>171</v>
      </c>
      <c r="D47" s="16" t="s">
        <v>178</v>
      </c>
      <c r="E47" s="29" t="s">
        <v>179</v>
      </c>
      <c r="F47" s="6" t="s">
        <v>8</v>
      </c>
      <c r="G47" s="30" t="s">
        <v>76</v>
      </c>
      <c r="H47" s="6" t="s">
        <v>8</v>
      </c>
      <c r="I47" s="30" t="s">
        <v>76</v>
      </c>
      <c r="J47" s="31" t="str">
        <f aca="false">IF(AND(OR(F47="P — En producción",F47="PAR — Parcial (legado)"),OR(G47="N — No cubierto",G47="TBD — Por definir"),OR(H47="N — No cubierto",H47="TBD — Por definir"),OR(I47="N — No cubierto",I47="TBD — Por definir")),"⚠ Regresión","—")</f>
        <v>—</v>
      </c>
      <c r="K47" s="29" t="s">
        <v>180</v>
      </c>
      <c r="L47" s="32"/>
      <c r="M47" s="32"/>
      <c r="N47" s="32"/>
    </row>
    <row r="48" customFormat="false" ht="33.75" hidden="false" customHeight="true" outlineLevel="0" collapsed="false">
      <c r="A48" s="33" t="n">
        <v>34</v>
      </c>
      <c r="B48" s="34" t="s">
        <v>72</v>
      </c>
      <c r="C48" s="35" t="s">
        <v>171</v>
      </c>
      <c r="D48" s="36" t="s">
        <v>181</v>
      </c>
      <c r="E48" s="35" t="s">
        <v>182</v>
      </c>
      <c r="F48" s="6" t="s">
        <v>8</v>
      </c>
      <c r="G48" s="30" t="s">
        <v>76</v>
      </c>
      <c r="H48" s="6" t="s">
        <v>8</v>
      </c>
      <c r="I48" s="30" t="s">
        <v>76</v>
      </c>
      <c r="J48" s="37" t="str">
        <f aca="false">IF(AND(OR(F48="P — En producción",F48="PAR — Parcial (legado)"),OR(G48="N — No cubierto",G48="TBD — Por definir"),OR(H48="N — No cubierto",H48="TBD — Por definir"),OR(I48="N — No cubierto",I48="TBD — Por definir")),"⚠ Regresión","—")</f>
        <v>—</v>
      </c>
      <c r="K48" s="35" t="s">
        <v>183</v>
      </c>
      <c r="L48" s="32"/>
      <c r="M48" s="32"/>
      <c r="N48" s="32"/>
    </row>
    <row r="49" customFormat="false" ht="21.75" hidden="false" customHeight="true" outlineLevel="0" collapsed="false">
      <c r="A49" s="26" t="s">
        <v>184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customFormat="false" ht="33.75" hidden="false" customHeight="true" outlineLevel="0" collapsed="false">
      <c r="A50" s="27" t="n">
        <v>35</v>
      </c>
      <c r="B50" s="28" t="s">
        <v>72</v>
      </c>
      <c r="C50" s="29" t="s">
        <v>185</v>
      </c>
      <c r="D50" s="16" t="s">
        <v>186</v>
      </c>
      <c r="E50" s="29" t="s">
        <v>187</v>
      </c>
      <c r="F50" s="6" t="s">
        <v>8</v>
      </c>
      <c r="G50" s="30" t="s">
        <v>76</v>
      </c>
      <c r="H50" s="6" t="s">
        <v>8</v>
      </c>
      <c r="I50" s="30" t="s">
        <v>76</v>
      </c>
      <c r="J50" s="31" t="str">
        <f aca="false">IF(AND(OR(F50="P — En producción",F50="PAR — Parcial (legado)"),OR(G50="N — No cubierto",G50="TBD — Por definir"),OR(H50="N — No cubierto",H50="TBD — Por definir"),OR(I50="N — No cubierto",I50="TBD — Por definir")),"⚠ Regresión","—")</f>
        <v>—</v>
      </c>
      <c r="K50" s="29" t="s">
        <v>188</v>
      </c>
      <c r="L50" s="32"/>
      <c r="M50" s="32"/>
      <c r="N50" s="32"/>
    </row>
    <row r="51" customFormat="false" ht="33.75" hidden="false" customHeight="true" outlineLevel="0" collapsed="false">
      <c r="A51" s="33" t="n">
        <v>36</v>
      </c>
      <c r="B51" s="34" t="s">
        <v>72</v>
      </c>
      <c r="C51" s="35" t="s">
        <v>185</v>
      </c>
      <c r="D51" s="36" t="s">
        <v>189</v>
      </c>
      <c r="E51" s="35" t="s">
        <v>190</v>
      </c>
      <c r="F51" s="6" t="s">
        <v>8</v>
      </c>
      <c r="G51" s="30" t="s">
        <v>76</v>
      </c>
      <c r="H51" s="6" t="s">
        <v>8</v>
      </c>
      <c r="I51" s="30" t="s">
        <v>76</v>
      </c>
      <c r="J51" s="37" t="str">
        <f aca="false">IF(AND(OR(F51="P — En producción",F51="PAR — Parcial (legado)"),OR(G51="N — No cubierto",G51="TBD — Por definir"),OR(H51="N — No cubierto",H51="TBD — Por definir"),OR(I51="N — No cubierto",I51="TBD — Por definir")),"⚠ Regresión","—")</f>
        <v>—</v>
      </c>
      <c r="K51" s="35" t="s">
        <v>191</v>
      </c>
      <c r="L51" s="32"/>
      <c r="M51" s="32"/>
      <c r="N51" s="32"/>
    </row>
    <row r="52" customFormat="false" ht="33.75" hidden="false" customHeight="true" outlineLevel="0" collapsed="false">
      <c r="A52" s="27" t="n">
        <v>37</v>
      </c>
      <c r="B52" s="28" t="s">
        <v>72</v>
      </c>
      <c r="C52" s="29" t="s">
        <v>185</v>
      </c>
      <c r="D52" s="16" t="s">
        <v>192</v>
      </c>
      <c r="E52" s="29" t="s">
        <v>193</v>
      </c>
      <c r="F52" s="6" t="s">
        <v>8</v>
      </c>
      <c r="G52" s="30" t="s">
        <v>76</v>
      </c>
      <c r="H52" s="6" t="s">
        <v>8</v>
      </c>
      <c r="I52" s="30" t="s">
        <v>76</v>
      </c>
      <c r="J52" s="31" t="str">
        <f aca="false">IF(AND(OR(F52="P — En producción",F52="PAR — Parcial (legado)"),OR(G52="N — No cubierto",G52="TBD — Por definir"),OR(H52="N — No cubierto",H52="TBD — Por definir"),OR(I52="N — No cubierto",I52="TBD — Por definir")),"⚠ Regresión","—")</f>
        <v>—</v>
      </c>
      <c r="K52" s="29" t="s">
        <v>194</v>
      </c>
      <c r="L52" s="32"/>
      <c r="M52" s="32"/>
      <c r="N52" s="32"/>
    </row>
    <row r="53" customFormat="false" ht="33.75" hidden="false" customHeight="true" outlineLevel="0" collapsed="false">
      <c r="A53" s="33" t="n">
        <v>38</v>
      </c>
      <c r="B53" s="34" t="s">
        <v>72</v>
      </c>
      <c r="C53" s="35" t="s">
        <v>185</v>
      </c>
      <c r="D53" s="36" t="s">
        <v>195</v>
      </c>
      <c r="E53" s="35" t="s">
        <v>196</v>
      </c>
      <c r="F53" s="13" t="s">
        <v>86</v>
      </c>
      <c r="G53" s="30" t="s">
        <v>76</v>
      </c>
      <c r="H53" s="6" t="s">
        <v>8</v>
      </c>
      <c r="I53" s="30" t="s">
        <v>76</v>
      </c>
      <c r="J53" s="37" t="str">
        <f aca="false">IF(AND(OR(F53="P — En producción",F53="PAR — Parcial (legado)"),OR(G53="N — No cubierto",G53="TBD — Por definir"),OR(H53="N — No cubierto",H53="TBD — Por definir"),OR(I53="N — No cubierto",I53="TBD — Por definir")),"⚠ Regresión","—")</f>
        <v>—</v>
      </c>
      <c r="K53" s="35" t="s">
        <v>197</v>
      </c>
      <c r="L53" s="32"/>
      <c r="M53" s="32"/>
      <c r="N53" s="32"/>
    </row>
    <row r="54" customFormat="false" ht="21.75" hidden="false" customHeight="true" outlineLevel="0" collapsed="false">
      <c r="A54" s="26" t="s">
        <v>198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customFormat="false" ht="33.75" hidden="false" customHeight="true" outlineLevel="0" collapsed="false">
      <c r="A55" s="27" t="n">
        <v>39</v>
      </c>
      <c r="B55" s="28" t="s">
        <v>72</v>
      </c>
      <c r="C55" s="29" t="s">
        <v>199</v>
      </c>
      <c r="D55" s="16" t="s">
        <v>200</v>
      </c>
      <c r="E55" s="29" t="s">
        <v>201</v>
      </c>
      <c r="F55" s="11" t="s">
        <v>16</v>
      </c>
      <c r="G55" s="30" t="s">
        <v>76</v>
      </c>
      <c r="H55" s="12" t="s">
        <v>18</v>
      </c>
      <c r="I55" s="30" t="s">
        <v>76</v>
      </c>
      <c r="J55" s="31" t="str">
        <f aca="false">IF(AND(OR(F55="P — En producción",F55="PAR — Parcial (legado)"),OR(G55="N — No cubierto",G55="TBD — Por definir"),OR(H55="N — No cubierto",H55="TBD — Por definir"),OR(I55="N — No cubierto",I55="TBD — Por definir")),"⚠ Regresión","—")</f>
        <v>—</v>
      </c>
      <c r="K55" s="29" t="s">
        <v>202</v>
      </c>
      <c r="L55" s="32"/>
      <c r="M55" s="32"/>
      <c r="N55" s="32"/>
    </row>
    <row r="56" customFormat="false" ht="33.75" hidden="false" customHeight="true" outlineLevel="0" collapsed="false">
      <c r="A56" s="33" t="n">
        <v>40</v>
      </c>
      <c r="B56" s="34" t="s">
        <v>72</v>
      </c>
      <c r="C56" s="35" t="s">
        <v>199</v>
      </c>
      <c r="D56" s="36" t="s">
        <v>203</v>
      </c>
      <c r="E56" s="35" t="s">
        <v>204</v>
      </c>
      <c r="F56" s="13" t="s">
        <v>86</v>
      </c>
      <c r="G56" s="30" t="s">
        <v>76</v>
      </c>
      <c r="H56" s="12" t="s">
        <v>18</v>
      </c>
      <c r="I56" s="30" t="s">
        <v>76</v>
      </c>
      <c r="J56" s="37" t="str">
        <f aca="false">IF(AND(OR(F56="P — En producción",F56="PAR — Parcial (legado)"),OR(G56="N — No cubierto",G56="TBD — Por definir"),OR(H56="N — No cubierto",H56="TBD — Por definir"),OR(I56="N — No cubierto",I56="TBD — Por definir")),"⚠ Regresión","—")</f>
        <v>—</v>
      </c>
      <c r="K56" s="35" t="s">
        <v>205</v>
      </c>
      <c r="L56" s="32"/>
      <c r="M56" s="32"/>
      <c r="N56" s="32"/>
    </row>
    <row r="57" customFormat="false" ht="33.75" hidden="false" customHeight="true" outlineLevel="0" collapsed="false">
      <c r="A57" s="27" t="n">
        <v>41</v>
      </c>
      <c r="B57" s="28" t="s">
        <v>72</v>
      </c>
      <c r="C57" s="29" t="s">
        <v>199</v>
      </c>
      <c r="D57" s="16" t="s">
        <v>206</v>
      </c>
      <c r="E57" s="29" t="s">
        <v>207</v>
      </c>
      <c r="F57" s="13" t="s">
        <v>86</v>
      </c>
      <c r="G57" s="30" t="s">
        <v>76</v>
      </c>
      <c r="H57" s="6" t="s">
        <v>8</v>
      </c>
      <c r="I57" s="30" t="s">
        <v>76</v>
      </c>
      <c r="J57" s="31" t="str">
        <f aca="false">IF(AND(OR(F57="P — En producción",F57="PAR — Parcial (legado)"),OR(G57="N — No cubierto",G57="TBD — Por definir"),OR(H57="N — No cubierto",H57="TBD — Por definir"),OR(I57="N — No cubierto",I57="TBD — Por definir")),"⚠ Regresión","—")</f>
        <v>—</v>
      </c>
      <c r="K57" s="29" t="s">
        <v>208</v>
      </c>
      <c r="L57" s="32"/>
      <c r="M57" s="32"/>
      <c r="N57" s="32"/>
    </row>
    <row r="58" customFormat="false" ht="33.75" hidden="false" customHeight="true" outlineLevel="0" collapsed="false">
      <c r="A58" s="33" t="n">
        <v>42</v>
      </c>
      <c r="B58" s="34" t="s">
        <v>72</v>
      </c>
      <c r="C58" s="35" t="s">
        <v>199</v>
      </c>
      <c r="D58" s="36" t="s">
        <v>209</v>
      </c>
      <c r="E58" s="35" t="s">
        <v>210</v>
      </c>
      <c r="F58" s="13" t="s">
        <v>86</v>
      </c>
      <c r="G58" s="30" t="s">
        <v>76</v>
      </c>
      <c r="H58" s="6" t="s">
        <v>8</v>
      </c>
      <c r="I58" s="30" t="s">
        <v>76</v>
      </c>
      <c r="J58" s="37" t="str">
        <f aca="false">IF(AND(OR(F58="P — En producción",F58="PAR — Parcial (legado)"),OR(G58="N — No cubierto",G58="TBD — Por definir"),OR(H58="N — No cubierto",H58="TBD — Por definir"),OR(I58="N — No cubierto",I58="TBD — Por definir")),"⚠ Regresión","—")</f>
        <v>—</v>
      </c>
      <c r="K58" s="35" t="s">
        <v>211</v>
      </c>
      <c r="L58" s="32"/>
      <c r="M58" s="32"/>
      <c r="N58" s="32"/>
    </row>
    <row r="59" customFormat="false" ht="21.75" hidden="false" customHeight="true" outlineLevel="0" collapsed="false">
      <c r="A59" s="26" t="s">
        <v>212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customFormat="false" ht="33.75" hidden="false" customHeight="true" outlineLevel="0" collapsed="false">
      <c r="A60" s="27" t="n">
        <v>43</v>
      </c>
      <c r="B60" s="28" t="s">
        <v>72</v>
      </c>
      <c r="C60" s="29" t="s">
        <v>213</v>
      </c>
      <c r="D60" s="16" t="s">
        <v>214</v>
      </c>
      <c r="E60" s="29" t="s">
        <v>215</v>
      </c>
      <c r="F60" s="6" t="s">
        <v>8</v>
      </c>
      <c r="G60" s="30" t="s">
        <v>76</v>
      </c>
      <c r="H60" s="6" t="s">
        <v>8</v>
      </c>
      <c r="I60" s="30" t="s">
        <v>76</v>
      </c>
      <c r="J60" s="31" t="str">
        <f aca="false">IF(AND(OR(F60="P — En producción",F60="PAR — Parcial (legado)"),OR(G60="N — No cubierto",G60="TBD — Por definir"),OR(H60="N — No cubierto",H60="TBD — Por definir"),OR(I60="N — No cubierto",I60="TBD — Por definir")),"⚠ Regresión","—")</f>
        <v>—</v>
      </c>
      <c r="K60" s="29" t="s">
        <v>216</v>
      </c>
      <c r="L60" s="32"/>
      <c r="M60" s="32"/>
      <c r="N60" s="32"/>
    </row>
    <row r="61" customFormat="false" ht="33.75" hidden="false" customHeight="true" outlineLevel="0" collapsed="false">
      <c r="A61" s="33" t="n">
        <v>44</v>
      </c>
      <c r="B61" s="34" t="s">
        <v>72</v>
      </c>
      <c r="C61" s="35" t="s">
        <v>213</v>
      </c>
      <c r="D61" s="36" t="s">
        <v>217</v>
      </c>
      <c r="E61" s="35" t="s">
        <v>218</v>
      </c>
      <c r="F61" s="6" t="s">
        <v>8</v>
      </c>
      <c r="G61" s="30" t="s">
        <v>76</v>
      </c>
      <c r="H61" s="12" t="s">
        <v>18</v>
      </c>
      <c r="I61" s="30" t="s">
        <v>76</v>
      </c>
      <c r="J61" s="37" t="str">
        <f aca="false">IF(AND(OR(F61="P — En producción",F61="PAR — Parcial (legado)"),OR(G61="N — No cubierto",G61="TBD — Por definir"),OR(H61="N — No cubierto",H61="TBD — Por definir"),OR(I61="N — No cubierto",I61="TBD — Por definir")),"⚠ Regresión","—")</f>
        <v>—</v>
      </c>
      <c r="K61" s="35" t="s">
        <v>219</v>
      </c>
      <c r="L61" s="32"/>
      <c r="M61" s="32"/>
      <c r="N61" s="32"/>
    </row>
    <row r="62" customFormat="false" ht="21.75" hidden="false" customHeight="true" outlineLevel="0" collapsed="false">
      <c r="A62" s="26" t="s">
        <v>220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</row>
    <row r="63" customFormat="false" ht="33.75" hidden="false" customHeight="true" outlineLevel="0" collapsed="false">
      <c r="A63" s="27" t="n">
        <v>45</v>
      </c>
      <c r="B63" s="28" t="s">
        <v>72</v>
      </c>
      <c r="C63" s="29" t="s">
        <v>221</v>
      </c>
      <c r="D63" s="16" t="s">
        <v>222</v>
      </c>
      <c r="E63" s="29" t="s">
        <v>223</v>
      </c>
      <c r="F63" s="13" t="s">
        <v>86</v>
      </c>
      <c r="G63" s="30" t="s">
        <v>76</v>
      </c>
      <c r="H63" s="6" t="s">
        <v>8</v>
      </c>
      <c r="I63" s="30" t="s">
        <v>76</v>
      </c>
      <c r="J63" s="31" t="str">
        <f aca="false">IF(AND(OR(F63="P — En producción",F63="PAR — Parcial (legado)"),OR(G63="N — No cubierto",G63="TBD — Por definir"),OR(H63="N — No cubierto",H63="TBD — Por definir"),OR(I63="N — No cubierto",I63="TBD — Por definir")),"⚠ Regresión","—")</f>
        <v>—</v>
      </c>
      <c r="K63" s="29" t="s">
        <v>224</v>
      </c>
      <c r="L63" s="32"/>
      <c r="M63" s="32"/>
      <c r="N63" s="32"/>
    </row>
    <row r="64" customFormat="false" ht="33.75" hidden="false" customHeight="true" outlineLevel="0" collapsed="false">
      <c r="A64" s="33" t="n">
        <v>46</v>
      </c>
      <c r="B64" s="34" t="s">
        <v>72</v>
      </c>
      <c r="C64" s="35" t="s">
        <v>221</v>
      </c>
      <c r="D64" s="36" t="s">
        <v>225</v>
      </c>
      <c r="E64" s="35" t="s">
        <v>226</v>
      </c>
      <c r="F64" s="6" t="s">
        <v>8</v>
      </c>
      <c r="G64" s="30" t="s">
        <v>76</v>
      </c>
      <c r="H64" s="6" t="s">
        <v>8</v>
      </c>
      <c r="I64" s="30" t="s">
        <v>76</v>
      </c>
      <c r="J64" s="37" t="str">
        <f aca="false">IF(AND(OR(F64="P — En producción",F64="PAR — Parcial (legado)"),OR(G64="N — No cubierto",G64="TBD — Por definir"),OR(H64="N — No cubierto",H64="TBD — Por definir"),OR(I64="N — No cubierto",I64="TBD — Por definir")),"⚠ Regresión","—")</f>
        <v>—</v>
      </c>
      <c r="K64" s="35" t="s">
        <v>227</v>
      </c>
      <c r="L64" s="32"/>
      <c r="M64" s="32"/>
      <c r="N64" s="32"/>
    </row>
    <row r="65" customFormat="false" ht="33.75" hidden="false" customHeight="true" outlineLevel="0" collapsed="false">
      <c r="A65" s="27" t="n">
        <v>47</v>
      </c>
      <c r="B65" s="28" t="s">
        <v>72</v>
      </c>
      <c r="C65" s="29" t="s">
        <v>221</v>
      </c>
      <c r="D65" s="16" t="s">
        <v>228</v>
      </c>
      <c r="E65" s="29" t="s">
        <v>229</v>
      </c>
      <c r="F65" s="6" t="s">
        <v>8</v>
      </c>
      <c r="G65" s="30" t="s">
        <v>76</v>
      </c>
      <c r="H65" s="6" t="s">
        <v>8</v>
      </c>
      <c r="I65" s="30" t="s">
        <v>76</v>
      </c>
      <c r="J65" s="31" t="str">
        <f aca="false">IF(AND(OR(F65="P — En producción",F65="PAR — Parcial (legado)"),OR(G65="N — No cubierto",G65="TBD — Por definir"),OR(H65="N — No cubierto",H65="TBD — Por definir"),OR(I65="N — No cubierto",I65="TBD — Por definir")),"⚠ Regresión","—")</f>
        <v>—</v>
      </c>
      <c r="K65" s="29" t="s">
        <v>230</v>
      </c>
      <c r="L65" s="32"/>
      <c r="M65" s="32"/>
      <c r="N65" s="32"/>
    </row>
    <row r="66" customFormat="false" ht="33.75" hidden="false" customHeight="true" outlineLevel="0" collapsed="false">
      <c r="A66" s="33" t="n">
        <v>48</v>
      </c>
      <c r="B66" s="34" t="s">
        <v>72</v>
      </c>
      <c r="C66" s="35" t="s">
        <v>221</v>
      </c>
      <c r="D66" s="36" t="s">
        <v>231</v>
      </c>
      <c r="E66" s="35" t="s">
        <v>232</v>
      </c>
      <c r="F66" s="6" t="s">
        <v>8</v>
      </c>
      <c r="G66" s="30" t="s">
        <v>76</v>
      </c>
      <c r="H66" s="6" t="s">
        <v>8</v>
      </c>
      <c r="I66" s="30" t="s">
        <v>76</v>
      </c>
      <c r="J66" s="37" t="str">
        <f aca="false">IF(AND(OR(F66="P — En producción",F66="PAR — Parcial (legado)"),OR(G66="N — No cubierto",G66="TBD — Por definir"),OR(H66="N — No cubierto",H66="TBD — Por definir"),OR(I66="N — No cubierto",I66="TBD — Por definir")),"⚠ Regresión","—")</f>
        <v>—</v>
      </c>
      <c r="K66" s="35" t="s">
        <v>233</v>
      </c>
      <c r="L66" s="32"/>
      <c r="M66" s="32"/>
      <c r="N66" s="32"/>
    </row>
    <row r="67" customFormat="false" ht="33.75" hidden="false" customHeight="true" outlineLevel="0" collapsed="false">
      <c r="A67" s="27" t="n">
        <v>49</v>
      </c>
      <c r="B67" s="28" t="s">
        <v>72</v>
      </c>
      <c r="C67" s="29" t="s">
        <v>221</v>
      </c>
      <c r="D67" s="16" t="s">
        <v>234</v>
      </c>
      <c r="E67" s="29" t="s">
        <v>235</v>
      </c>
      <c r="F67" s="11" t="s">
        <v>16</v>
      </c>
      <c r="G67" s="30" t="s">
        <v>76</v>
      </c>
      <c r="H67" s="12" t="s">
        <v>18</v>
      </c>
      <c r="I67" s="30" t="s">
        <v>76</v>
      </c>
      <c r="J67" s="31" t="str">
        <f aca="false">IF(AND(OR(F67="P — En producción",F67="PAR — Parcial (legado)"),OR(G67="N — No cubierto",G67="TBD — Por definir"),OR(H67="N — No cubierto",H67="TBD — Por definir"),OR(I67="N — No cubierto",I67="TBD — Por definir")),"⚠ Regresión","—")</f>
        <v>—</v>
      </c>
      <c r="K67" s="29" t="s">
        <v>236</v>
      </c>
      <c r="L67" s="32"/>
      <c r="M67" s="32"/>
      <c r="N67" s="32"/>
    </row>
    <row r="68" customFormat="false" ht="33.75" hidden="false" customHeight="true" outlineLevel="0" collapsed="false">
      <c r="A68" s="33" t="n">
        <v>50</v>
      </c>
      <c r="B68" s="34" t="s">
        <v>72</v>
      </c>
      <c r="C68" s="35" t="s">
        <v>221</v>
      </c>
      <c r="D68" s="36" t="s">
        <v>237</v>
      </c>
      <c r="E68" s="35" t="s">
        <v>238</v>
      </c>
      <c r="F68" s="11" t="s">
        <v>16</v>
      </c>
      <c r="G68" s="30" t="s">
        <v>76</v>
      </c>
      <c r="H68" s="12" t="s">
        <v>18</v>
      </c>
      <c r="I68" s="30" t="s">
        <v>76</v>
      </c>
      <c r="J68" s="37" t="str">
        <f aca="false">IF(AND(OR(F68="P — En producción",F68="PAR — Parcial (legado)"),OR(G68="N — No cubierto",G68="TBD — Por definir"),OR(H68="N — No cubierto",H68="TBD — Por definir"),OR(I68="N — No cubierto",I68="TBD — Por definir")),"⚠ Regresión","—")</f>
        <v>—</v>
      </c>
      <c r="K68" s="35" t="s">
        <v>236</v>
      </c>
      <c r="L68" s="32"/>
      <c r="M68" s="32"/>
      <c r="N68" s="32"/>
    </row>
    <row r="69" customFormat="false" ht="21.75" hidden="false" customHeight="true" outlineLevel="0" collapsed="false">
      <c r="A69" s="26" t="s">
        <v>239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</row>
    <row r="70" customFormat="false" ht="33.75" hidden="false" customHeight="true" outlineLevel="0" collapsed="false">
      <c r="A70" s="27" t="n">
        <v>51</v>
      </c>
      <c r="B70" s="28" t="s">
        <v>72</v>
      </c>
      <c r="C70" s="29" t="s">
        <v>240</v>
      </c>
      <c r="D70" s="16" t="s">
        <v>241</v>
      </c>
      <c r="E70" s="29" t="s">
        <v>242</v>
      </c>
      <c r="F70" s="6" t="s">
        <v>8</v>
      </c>
      <c r="G70" s="30" t="s">
        <v>76</v>
      </c>
      <c r="H70" s="6" t="s">
        <v>8</v>
      </c>
      <c r="I70" s="30" t="s">
        <v>76</v>
      </c>
      <c r="J70" s="31" t="str">
        <f aca="false">IF(AND(OR(F70="P — En producción",F70="PAR — Parcial (legado)"),OR(G70="N — No cubierto",G70="TBD — Por definir"),OR(H70="N — No cubierto",H70="TBD — Por definir"),OR(I70="N — No cubierto",I70="TBD — Por definir")),"⚠ Regresión","—")</f>
        <v>—</v>
      </c>
      <c r="K70" s="29" t="s">
        <v>243</v>
      </c>
      <c r="L70" s="32"/>
      <c r="M70" s="32"/>
      <c r="N70" s="32"/>
    </row>
    <row r="71" customFormat="false" ht="33.75" hidden="false" customHeight="true" outlineLevel="0" collapsed="false">
      <c r="A71" s="33" t="n">
        <v>52</v>
      </c>
      <c r="B71" s="34" t="s">
        <v>72</v>
      </c>
      <c r="C71" s="35" t="s">
        <v>240</v>
      </c>
      <c r="D71" s="36" t="s">
        <v>244</v>
      </c>
      <c r="E71" s="35" t="s">
        <v>245</v>
      </c>
      <c r="F71" s="6" t="s">
        <v>8</v>
      </c>
      <c r="G71" s="30" t="s">
        <v>76</v>
      </c>
      <c r="H71" s="6" t="s">
        <v>8</v>
      </c>
      <c r="I71" s="30" t="s">
        <v>76</v>
      </c>
      <c r="J71" s="37" t="str">
        <f aca="false">IF(AND(OR(F71="P — En producción",F71="PAR — Parcial (legado)"),OR(G71="N — No cubierto",G71="TBD — Por definir"),OR(H71="N — No cubierto",H71="TBD — Por definir"),OR(I71="N — No cubierto",I71="TBD — Por definir")),"⚠ Regresión","—")</f>
        <v>—</v>
      </c>
      <c r="K71" s="35" t="s">
        <v>246</v>
      </c>
      <c r="L71" s="32"/>
      <c r="M71" s="32"/>
      <c r="N71" s="32"/>
    </row>
    <row r="72" customFormat="false" ht="33.75" hidden="false" customHeight="true" outlineLevel="0" collapsed="false">
      <c r="A72" s="27" t="n">
        <v>53</v>
      </c>
      <c r="B72" s="28" t="s">
        <v>72</v>
      </c>
      <c r="C72" s="29" t="s">
        <v>240</v>
      </c>
      <c r="D72" s="16" t="s">
        <v>247</v>
      </c>
      <c r="E72" s="29" t="s">
        <v>248</v>
      </c>
      <c r="F72" s="6" t="s">
        <v>8</v>
      </c>
      <c r="G72" s="30" t="s">
        <v>76</v>
      </c>
      <c r="H72" s="6" t="s">
        <v>8</v>
      </c>
      <c r="I72" s="30" t="s">
        <v>76</v>
      </c>
      <c r="J72" s="31" t="str">
        <f aca="false">IF(AND(OR(F72="P — En producción",F72="PAR — Parcial (legado)"),OR(G72="N — No cubierto",G72="TBD — Por definir"),OR(H72="N — No cubierto",H72="TBD — Por definir"),OR(I72="N — No cubierto",I72="TBD — Por definir")),"⚠ Regresión","—")</f>
        <v>—</v>
      </c>
      <c r="K72" s="29" t="s">
        <v>249</v>
      </c>
      <c r="L72" s="32"/>
      <c r="M72" s="32"/>
      <c r="N72" s="32"/>
    </row>
    <row r="73" customFormat="false" ht="33.75" hidden="false" customHeight="true" outlineLevel="0" collapsed="false">
      <c r="A73" s="33" t="n">
        <v>54</v>
      </c>
      <c r="B73" s="34" t="s">
        <v>72</v>
      </c>
      <c r="C73" s="35" t="s">
        <v>240</v>
      </c>
      <c r="D73" s="36" t="s">
        <v>250</v>
      </c>
      <c r="E73" s="35" t="s">
        <v>251</v>
      </c>
      <c r="F73" s="6" t="s">
        <v>8</v>
      </c>
      <c r="G73" s="30" t="s">
        <v>76</v>
      </c>
      <c r="H73" s="6" t="s">
        <v>8</v>
      </c>
      <c r="I73" s="30" t="s">
        <v>76</v>
      </c>
      <c r="J73" s="37" t="str">
        <f aca="false">IF(AND(OR(F73="P — En producción",F73="PAR — Parcial (legado)"),OR(G73="N — No cubierto",G73="TBD — Por definir"),OR(H73="N — No cubierto",H73="TBD — Por definir"),OR(I73="N — No cubierto",I73="TBD — Por definir")),"⚠ Regresión","—")</f>
        <v>—</v>
      </c>
      <c r="K73" s="35" t="s">
        <v>252</v>
      </c>
      <c r="L73" s="32"/>
      <c r="M73" s="32"/>
      <c r="N73" s="32"/>
    </row>
    <row r="74" customFormat="false" ht="33.75" hidden="false" customHeight="true" outlineLevel="0" collapsed="false">
      <c r="A74" s="27" t="n">
        <v>55</v>
      </c>
      <c r="B74" s="28" t="s">
        <v>72</v>
      </c>
      <c r="C74" s="29" t="s">
        <v>240</v>
      </c>
      <c r="D74" s="16" t="s">
        <v>253</v>
      </c>
      <c r="E74" s="29" t="s">
        <v>254</v>
      </c>
      <c r="F74" s="6" t="s">
        <v>8</v>
      </c>
      <c r="G74" s="30" t="s">
        <v>76</v>
      </c>
      <c r="H74" s="6" t="s">
        <v>8</v>
      </c>
      <c r="I74" s="30" t="s">
        <v>76</v>
      </c>
      <c r="J74" s="31" t="str">
        <f aca="false">IF(AND(OR(F74="P — En producción",F74="PAR — Parcial (legado)"),OR(G74="N — No cubierto",G74="TBD — Por definir"),OR(H74="N — No cubierto",H74="TBD — Por definir"),OR(I74="N — No cubierto",I74="TBD — Por definir")),"⚠ Regresión","—")</f>
        <v>—</v>
      </c>
      <c r="K74" s="29" t="s">
        <v>255</v>
      </c>
      <c r="L74" s="32"/>
      <c r="M74" s="32"/>
      <c r="N74" s="32"/>
    </row>
    <row r="75" customFormat="false" ht="33.75" hidden="false" customHeight="true" outlineLevel="0" collapsed="false">
      <c r="A75" s="33" t="n">
        <v>56</v>
      </c>
      <c r="B75" s="34" t="s">
        <v>72</v>
      </c>
      <c r="C75" s="35" t="s">
        <v>240</v>
      </c>
      <c r="D75" s="36" t="s">
        <v>256</v>
      </c>
      <c r="E75" s="35" t="s">
        <v>257</v>
      </c>
      <c r="F75" s="6" t="s">
        <v>8</v>
      </c>
      <c r="G75" s="30" t="s">
        <v>76</v>
      </c>
      <c r="H75" s="6" t="s">
        <v>8</v>
      </c>
      <c r="I75" s="30" t="s">
        <v>76</v>
      </c>
      <c r="J75" s="37" t="str">
        <f aca="false">IF(AND(OR(F75="P — En producción",F75="PAR — Parcial (legado)"),OR(G75="N — No cubierto",G75="TBD — Por definir"),OR(H75="N — No cubierto",H75="TBD — Por definir"),OR(I75="N — No cubierto",I75="TBD — Por definir")),"⚠ Regresión","—")</f>
        <v>—</v>
      </c>
      <c r="K75" s="35" t="s">
        <v>258</v>
      </c>
      <c r="L75" s="32"/>
      <c r="M75" s="32"/>
      <c r="N75" s="32"/>
    </row>
    <row r="76" customFormat="false" ht="33.75" hidden="false" customHeight="true" outlineLevel="0" collapsed="false">
      <c r="A76" s="27" t="n">
        <v>57</v>
      </c>
      <c r="B76" s="28" t="s">
        <v>72</v>
      </c>
      <c r="C76" s="29" t="s">
        <v>240</v>
      </c>
      <c r="D76" s="16" t="s">
        <v>259</v>
      </c>
      <c r="E76" s="29" t="s">
        <v>260</v>
      </c>
      <c r="F76" s="6" t="s">
        <v>8</v>
      </c>
      <c r="G76" s="30" t="s">
        <v>76</v>
      </c>
      <c r="H76" s="6" t="s">
        <v>8</v>
      </c>
      <c r="I76" s="30" t="s">
        <v>76</v>
      </c>
      <c r="J76" s="31" t="str">
        <f aca="false">IF(AND(OR(F76="P — En producción",F76="PAR — Parcial (legado)"),OR(G76="N — No cubierto",G76="TBD — Por definir"),OR(H76="N — No cubierto",H76="TBD — Por definir"),OR(I76="N — No cubierto",I76="TBD — Por definir")),"⚠ Regresión","—")</f>
        <v>—</v>
      </c>
      <c r="K76" s="29" t="s">
        <v>261</v>
      </c>
      <c r="L76" s="32"/>
      <c r="M76" s="32"/>
      <c r="N76" s="32"/>
    </row>
    <row r="77" customFormat="false" ht="21.75" hidden="false" customHeight="true" outlineLevel="0" collapsed="false">
      <c r="A77" s="26" t="s">
        <v>262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</row>
    <row r="78" customFormat="false" ht="33.75" hidden="false" customHeight="true" outlineLevel="0" collapsed="false">
      <c r="A78" s="33" t="n">
        <v>58</v>
      </c>
      <c r="B78" s="34" t="s">
        <v>72</v>
      </c>
      <c r="C78" s="35" t="s">
        <v>263</v>
      </c>
      <c r="D78" s="36" t="s">
        <v>264</v>
      </c>
      <c r="E78" s="35" t="s">
        <v>265</v>
      </c>
      <c r="F78" s="6" t="s">
        <v>8</v>
      </c>
      <c r="G78" s="30" t="s">
        <v>76</v>
      </c>
      <c r="H78" s="6" t="s">
        <v>8</v>
      </c>
      <c r="I78" s="30" t="s">
        <v>76</v>
      </c>
      <c r="J78" s="37" t="str">
        <f aca="false">IF(AND(OR(F78="P — En producción",F78="PAR — Parcial (legado)"),OR(G78="N — No cubierto",G78="TBD — Por definir"),OR(H78="N — No cubierto",H78="TBD — Por definir"),OR(I78="N — No cubierto",I78="TBD — Por definir")),"⚠ Regresión","—")</f>
        <v>—</v>
      </c>
      <c r="K78" s="35" t="s">
        <v>266</v>
      </c>
      <c r="L78" s="32"/>
      <c r="M78" s="32"/>
      <c r="N78" s="32"/>
    </row>
    <row r="79" customFormat="false" ht="33.75" hidden="false" customHeight="true" outlineLevel="0" collapsed="false">
      <c r="A79" s="27" t="n">
        <v>59</v>
      </c>
      <c r="B79" s="28" t="s">
        <v>72</v>
      </c>
      <c r="C79" s="29" t="s">
        <v>263</v>
      </c>
      <c r="D79" s="16" t="s">
        <v>267</v>
      </c>
      <c r="E79" s="29" t="s">
        <v>268</v>
      </c>
      <c r="F79" s="6" t="s">
        <v>8</v>
      </c>
      <c r="G79" s="30" t="s">
        <v>76</v>
      </c>
      <c r="H79" s="6" t="s">
        <v>8</v>
      </c>
      <c r="I79" s="30" t="s">
        <v>76</v>
      </c>
      <c r="J79" s="31" t="str">
        <f aca="false">IF(AND(OR(F79="P — En producción",F79="PAR — Parcial (legado)"),OR(G79="N — No cubierto",G79="TBD — Por definir"),OR(H79="N — No cubierto",H79="TBD — Por definir"),OR(I79="N — No cubierto",I79="TBD — Por definir")),"⚠ Regresión","—")</f>
        <v>—</v>
      </c>
      <c r="K79" s="29" t="s">
        <v>269</v>
      </c>
      <c r="L79" s="32"/>
      <c r="M79" s="32"/>
      <c r="N79" s="32"/>
    </row>
    <row r="80" customFormat="false" ht="33.75" hidden="false" customHeight="true" outlineLevel="0" collapsed="false">
      <c r="A80" s="33" t="n">
        <v>60</v>
      </c>
      <c r="B80" s="34" t="s">
        <v>72</v>
      </c>
      <c r="C80" s="35" t="s">
        <v>263</v>
      </c>
      <c r="D80" s="36" t="s">
        <v>270</v>
      </c>
      <c r="E80" s="35" t="s">
        <v>271</v>
      </c>
      <c r="F80" s="13" t="s">
        <v>86</v>
      </c>
      <c r="G80" s="30" t="s">
        <v>76</v>
      </c>
      <c r="H80" s="6" t="s">
        <v>8</v>
      </c>
      <c r="I80" s="30" t="s">
        <v>76</v>
      </c>
      <c r="J80" s="37" t="str">
        <f aca="false">IF(AND(OR(F80="P — En producción",F80="PAR — Parcial (legado)"),OR(G80="N — No cubierto",G80="TBD — Por definir"),OR(H80="N — No cubierto",H80="TBD — Por definir"),OR(I80="N — No cubierto",I80="TBD — Por definir")),"⚠ Regresión","—")</f>
        <v>—</v>
      </c>
      <c r="K80" s="35" t="s">
        <v>272</v>
      </c>
      <c r="L80" s="32"/>
      <c r="M80" s="32"/>
      <c r="N80" s="32"/>
    </row>
    <row r="81" customFormat="false" ht="33.75" hidden="false" customHeight="true" outlineLevel="0" collapsed="false">
      <c r="A81" s="27" t="n">
        <v>61</v>
      </c>
      <c r="B81" s="28" t="s">
        <v>72</v>
      </c>
      <c r="C81" s="29" t="s">
        <v>263</v>
      </c>
      <c r="D81" s="16" t="s">
        <v>273</v>
      </c>
      <c r="E81" s="29" t="s">
        <v>274</v>
      </c>
      <c r="F81" s="6" t="s">
        <v>8</v>
      </c>
      <c r="G81" s="30" t="s">
        <v>76</v>
      </c>
      <c r="H81" s="6" t="s">
        <v>8</v>
      </c>
      <c r="I81" s="30" t="s">
        <v>76</v>
      </c>
      <c r="J81" s="31" t="str">
        <f aca="false">IF(AND(OR(F81="P — En producción",F81="PAR — Parcial (legado)"),OR(G81="N — No cubierto",G81="TBD — Por definir"),OR(H81="N — No cubierto",H81="TBD — Por definir"),OR(I81="N — No cubierto",I81="TBD — Por definir")),"⚠ Regresión","—")</f>
        <v>—</v>
      </c>
      <c r="K81" s="29" t="s">
        <v>275</v>
      </c>
      <c r="L81" s="32"/>
      <c r="M81" s="32"/>
      <c r="N81" s="32"/>
    </row>
    <row r="82" customFormat="false" ht="21.75" hidden="false" customHeight="true" outlineLevel="0" collapsed="false">
      <c r="A82" s="26" t="s">
        <v>276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</row>
    <row r="83" customFormat="false" ht="33.75" hidden="false" customHeight="true" outlineLevel="0" collapsed="false">
      <c r="A83" s="33" t="n">
        <v>62</v>
      </c>
      <c r="B83" s="34" t="s">
        <v>72</v>
      </c>
      <c r="C83" s="35" t="s">
        <v>277</v>
      </c>
      <c r="D83" s="36" t="s">
        <v>278</v>
      </c>
      <c r="E83" s="35" t="s">
        <v>279</v>
      </c>
      <c r="F83" s="6" t="s">
        <v>8</v>
      </c>
      <c r="G83" s="30" t="s">
        <v>76</v>
      </c>
      <c r="H83" s="6" t="s">
        <v>8</v>
      </c>
      <c r="I83" s="30" t="s">
        <v>76</v>
      </c>
      <c r="J83" s="37" t="str">
        <f aca="false">IF(AND(OR(F83="P — En producción",F83="PAR — Parcial (legado)"),OR(G83="N — No cubierto",G83="TBD — Por definir"),OR(H83="N — No cubierto",H83="TBD — Por definir"),OR(I83="N — No cubierto",I83="TBD — Por definir")),"⚠ Regresión","—")</f>
        <v>—</v>
      </c>
      <c r="K83" s="35" t="s">
        <v>280</v>
      </c>
      <c r="L83" s="32"/>
      <c r="M83" s="32"/>
      <c r="N83" s="32"/>
    </row>
    <row r="84" customFormat="false" ht="33.75" hidden="false" customHeight="true" outlineLevel="0" collapsed="false">
      <c r="A84" s="27" t="n">
        <v>63</v>
      </c>
      <c r="B84" s="28" t="s">
        <v>72</v>
      </c>
      <c r="C84" s="29" t="s">
        <v>277</v>
      </c>
      <c r="D84" s="16" t="s">
        <v>281</v>
      </c>
      <c r="E84" s="29" t="s">
        <v>282</v>
      </c>
      <c r="F84" s="6" t="s">
        <v>8</v>
      </c>
      <c r="G84" s="30" t="s">
        <v>76</v>
      </c>
      <c r="H84" s="6" t="s">
        <v>8</v>
      </c>
      <c r="I84" s="30" t="s">
        <v>76</v>
      </c>
      <c r="J84" s="31" t="str">
        <f aca="false">IF(AND(OR(F84="P — En producción",F84="PAR — Parcial (legado)"),OR(G84="N — No cubierto",G84="TBD — Por definir"),OR(H84="N — No cubierto",H84="TBD — Por definir"),OR(I84="N — No cubierto",I84="TBD — Por definir")),"⚠ Regresión","—")</f>
        <v>—</v>
      </c>
      <c r="K84" s="29" t="s">
        <v>80</v>
      </c>
      <c r="L84" s="32"/>
      <c r="M84" s="32"/>
      <c r="N84" s="32"/>
    </row>
    <row r="85" customFormat="false" ht="33.75" hidden="false" customHeight="true" outlineLevel="0" collapsed="false">
      <c r="A85" s="33" t="n">
        <v>64</v>
      </c>
      <c r="B85" s="34" t="s">
        <v>72</v>
      </c>
      <c r="C85" s="35" t="s">
        <v>277</v>
      </c>
      <c r="D85" s="36" t="s">
        <v>283</v>
      </c>
      <c r="E85" s="35" t="s">
        <v>284</v>
      </c>
      <c r="F85" s="13" t="s">
        <v>86</v>
      </c>
      <c r="G85" s="30" t="s">
        <v>76</v>
      </c>
      <c r="H85" s="6" t="s">
        <v>8</v>
      </c>
      <c r="I85" s="30" t="s">
        <v>76</v>
      </c>
      <c r="J85" s="37" t="str">
        <f aca="false">IF(AND(OR(F85="P — En producción",F85="PAR — Parcial (legado)"),OR(G85="N — No cubierto",G85="TBD — Por definir"),OR(H85="N — No cubierto",H85="TBD — Por definir"),OR(I85="N — No cubierto",I85="TBD — Por definir")),"⚠ Regresión","—")</f>
        <v>—</v>
      </c>
      <c r="K85" s="35" t="s">
        <v>83</v>
      </c>
      <c r="L85" s="32"/>
      <c r="M85" s="32"/>
      <c r="N85" s="32"/>
    </row>
    <row r="86" customFormat="false" ht="33.75" hidden="false" customHeight="true" outlineLevel="0" collapsed="false">
      <c r="A86" s="27" t="n">
        <v>65</v>
      </c>
      <c r="B86" s="28" t="s">
        <v>72</v>
      </c>
      <c r="C86" s="29" t="s">
        <v>277</v>
      </c>
      <c r="D86" s="16" t="s">
        <v>285</v>
      </c>
      <c r="E86" s="29" t="s">
        <v>286</v>
      </c>
      <c r="F86" s="13" t="s">
        <v>86</v>
      </c>
      <c r="G86" s="30" t="s">
        <v>76</v>
      </c>
      <c r="H86" s="6" t="s">
        <v>8</v>
      </c>
      <c r="I86" s="30" t="s">
        <v>76</v>
      </c>
      <c r="J86" s="31" t="str">
        <f aca="false">IF(AND(OR(F86="P — En producción",F86="PAR — Parcial (legado)"),OR(G86="N — No cubierto",G86="TBD — Por definir"),OR(H86="N — No cubierto",H86="TBD — Por definir"),OR(I86="N — No cubierto",I86="TBD — Por definir")),"⚠ Regresión","—")</f>
        <v>—</v>
      </c>
      <c r="K86" s="29" t="s">
        <v>287</v>
      </c>
      <c r="L86" s="32"/>
      <c r="M86" s="32"/>
      <c r="N86" s="32"/>
    </row>
    <row r="87" customFormat="false" ht="25.5" hidden="false" customHeight="true" outlineLevel="0" collapsed="false">
      <c r="A87" s="38" t="s">
        <v>288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</row>
    <row r="88" customFormat="false" ht="21.75" hidden="false" customHeight="true" outlineLevel="0" collapsed="false">
      <c r="A88" s="26" t="s">
        <v>289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</row>
    <row r="89" customFormat="false" ht="33.75" hidden="false" customHeight="true" outlineLevel="0" collapsed="false">
      <c r="A89" s="33" t="n">
        <v>66</v>
      </c>
      <c r="B89" s="34" t="s">
        <v>290</v>
      </c>
      <c r="C89" s="35" t="s">
        <v>291</v>
      </c>
      <c r="D89" s="36" t="s">
        <v>292</v>
      </c>
      <c r="E89" s="35" t="s">
        <v>293</v>
      </c>
      <c r="F89" s="6" t="s">
        <v>8</v>
      </c>
      <c r="G89" s="30" t="s">
        <v>76</v>
      </c>
      <c r="H89" s="12" t="s">
        <v>18</v>
      </c>
      <c r="I89" s="30" t="s">
        <v>76</v>
      </c>
      <c r="J89" s="37" t="str">
        <f aca="false">IF(AND(OR(F89="P — En producción",F89="PAR — Parcial (legado)"),OR(G89="N — No cubierto",G89="TBD — Por definir"),OR(H89="N — No cubierto",H89="TBD — Por definir"),OR(I89="N — No cubierto",I89="TBD — Por definir")),"⚠ Regresión","—")</f>
        <v>—</v>
      </c>
      <c r="K89" s="35" t="s">
        <v>118</v>
      </c>
      <c r="L89" s="32"/>
      <c r="M89" s="32"/>
      <c r="N89" s="32"/>
    </row>
    <row r="90" customFormat="false" ht="33.75" hidden="false" customHeight="true" outlineLevel="0" collapsed="false">
      <c r="A90" s="27" t="n">
        <v>67</v>
      </c>
      <c r="B90" s="28" t="s">
        <v>290</v>
      </c>
      <c r="C90" s="29" t="s">
        <v>291</v>
      </c>
      <c r="D90" s="16" t="s">
        <v>294</v>
      </c>
      <c r="E90" s="29" t="s">
        <v>295</v>
      </c>
      <c r="F90" s="13" t="s">
        <v>86</v>
      </c>
      <c r="G90" s="30" t="s">
        <v>76</v>
      </c>
      <c r="H90" s="12" t="s">
        <v>18</v>
      </c>
      <c r="I90" s="30" t="s">
        <v>76</v>
      </c>
      <c r="J90" s="31" t="str">
        <f aca="false">IF(AND(OR(F90="P — En producción",F90="PAR — Parcial (legado)"),OR(G90="N — No cubierto",G90="TBD — Por definir"),OR(H90="N — No cubierto",H90="TBD — Por definir"),OR(I90="N — No cubierto",I90="TBD — Por definir")),"⚠ Regresión","—")</f>
        <v>—</v>
      </c>
      <c r="K90" s="29" t="s">
        <v>296</v>
      </c>
      <c r="L90" s="32"/>
      <c r="M90" s="32"/>
      <c r="N90" s="32"/>
    </row>
    <row r="91" customFormat="false" ht="33.75" hidden="false" customHeight="true" outlineLevel="0" collapsed="false">
      <c r="A91" s="33" t="n">
        <v>68</v>
      </c>
      <c r="B91" s="34" t="s">
        <v>290</v>
      </c>
      <c r="C91" s="35" t="s">
        <v>291</v>
      </c>
      <c r="D91" s="36" t="s">
        <v>297</v>
      </c>
      <c r="E91" s="35" t="s">
        <v>298</v>
      </c>
      <c r="F91" s="6" t="s">
        <v>8</v>
      </c>
      <c r="G91" s="30" t="s">
        <v>76</v>
      </c>
      <c r="H91" s="12" t="s">
        <v>18</v>
      </c>
      <c r="I91" s="30" t="s">
        <v>76</v>
      </c>
      <c r="J91" s="37" t="str">
        <f aca="false">IF(AND(OR(F91="P — En producción",F91="PAR — Parcial (legado)"),OR(G91="N — No cubierto",G91="TBD — Por definir"),OR(H91="N — No cubierto",H91="TBD — Por definir"),OR(I91="N — No cubierto",I91="TBD — Por definir")),"⚠ Regresión","—")</f>
        <v>—</v>
      </c>
      <c r="K91" s="35" t="s">
        <v>118</v>
      </c>
      <c r="L91" s="32"/>
      <c r="M91" s="32"/>
      <c r="N91" s="32"/>
    </row>
    <row r="92" customFormat="false" ht="33.75" hidden="false" customHeight="true" outlineLevel="0" collapsed="false">
      <c r="A92" s="27" t="n">
        <v>69</v>
      </c>
      <c r="B92" s="28" t="s">
        <v>290</v>
      </c>
      <c r="C92" s="29" t="s">
        <v>291</v>
      </c>
      <c r="D92" s="16" t="s">
        <v>299</v>
      </c>
      <c r="E92" s="29" t="s">
        <v>300</v>
      </c>
      <c r="F92" s="6" t="s">
        <v>8</v>
      </c>
      <c r="G92" s="30" t="s">
        <v>76</v>
      </c>
      <c r="H92" s="12" t="s">
        <v>18</v>
      </c>
      <c r="I92" s="30" t="s">
        <v>76</v>
      </c>
      <c r="J92" s="31" t="str">
        <f aca="false">IF(AND(OR(F92="P — En producción",F92="PAR — Parcial (legado)"),OR(G92="N — No cubierto",G92="TBD — Por definir"),OR(H92="N — No cubierto",H92="TBD — Por definir"),OR(I92="N — No cubierto",I92="TBD — Por definir")),"⚠ Regresión","—")</f>
        <v>—</v>
      </c>
      <c r="K92" s="29" t="s">
        <v>118</v>
      </c>
      <c r="L92" s="32"/>
      <c r="M92" s="32"/>
      <c r="N92" s="32"/>
    </row>
    <row r="93" customFormat="false" ht="21.75" hidden="false" customHeight="true" outlineLevel="0" collapsed="false">
      <c r="A93" s="26" t="s">
        <v>301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</row>
    <row r="94" customFormat="false" ht="33.75" hidden="false" customHeight="true" outlineLevel="0" collapsed="false">
      <c r="A94" s="33" t="n">
        <v>70</v>
      </c>
      <c r="B94" s="34" t="s">
        <v>290</v>
      </c>
      <c r="C94" s="35" t="s">
        <v>302</v>
      </c>
      <c r="D94" s="36" t="s">
        <v>303</v>
      </c>
      <c r="E94" s="35" t="s">
        <v>304</v>
      </c>
      <c r="F94" s="13" t="s">
        <v>86</v>
      </c>
      <c r="G94" s="30" t="s">
        <v>76</v>
      </c>
      <c r="H94" s="12" t="s">
        <v>18</v>
      </c>
      <c r="I94" s="30" t="s">
        <v>76</v>
      </c>
      <c r="J94" s="37" t="str">
        <f aca="false">IF(AND(OR(F94="P — En producción",F94="PAR — Parcial (legado)"),OR(G94="N — No cubierto",G94="TBD — Por definir"),OR(H94="N — No cubierto",H94="TBD — Por definir"),OR(I94="N — No cubierto",I94="TBD — Por definir")),"⚠ Regresión","—")</f>
        <v>—</v>
      </c>
      <c r="K94" s="35" t="s">
        <v>305</v>
      </c>
      <c r="L94" s="32"/>
      <c r="M94" s="32"/>
      <c r="N94" s="32"/>
    </row>
    <row r="95" customFormat="false" ht="33.75" hidden="false" customHeight="true" outlineLevel="0" collapsed="false">
      <c r="A95" s="27" t="n">
        <v>71</v>
      </c>
      <c r="B95" s="28" t="s">
        <v>290</v>
      </c>
      <c r="C95" s="29" t="s">
        <v>302</v>
      </c>
      <c r="D95" s="16" t="s">
        <v>306</v>
      </c>
      <c r="E95" s="29" t="s">
        <v>307</v>
      </c>
      <c r="F95" s="13" t="s">
        <v>86</v>
      </c>
      <c r="G95" s="30" t="s">
        <v>76</v>
      </c>
      <c r="H95" s="12" t="s">
        <v>18</v>
      </c>
      <c r="I95" s="30" t="s">
        <v>76</v>
      </c>
      <c r="J95" s="31" t="str">
        <f aca="false">IF(AND(OR(F95="P — En producción",F95="PAR — Parcial (legado)"),OR(G95="N — No cubierto",G95="TBD — Por definir"),OR(H95="N — No cubierto",H95="TBD — Por definir"),OR(I95="N — No cubierto",I95="TBD — Por definir")),"⚠ Regresión","—")</f>
        <v>—</v>
      </c>
      <c r="K95" s="29" t="s">
        <v>305</v>
      </c>
      <c r="L95" s="32"/>
      <c r="M95" s="32"/>
      <c r="N95" s="32"/>
    </row>
    <row r="96" customFormat="false" ht="33.75" hidden="false" customHeight="true" outlineLevel="0" collapsed="false">
      <c r="A96" s="33" t="n">
        <v>72</v>
      </c>
      <c r="B96" s="34" t="s">
        <v>290</v>
      </c>
      <c r="C96" s="35" t="s">
        <v>302</v>
      </c>
      <c r="D96" s="36" t="s">
        <v>308</v>
      </c>
      <c r="E96" s="35" t="s">
        <v>309</v>
      </c>
      <c r="F96" s="13" t="s">
        <v>86</v>
      </c>
      <c r="G96" s="30" t="s">
        <v>76</v>
      </c>
      <c r="H96" s="12" t="s">
        <v>18</v>
      </c>
      <c r="I96" s="30" t="s">
        <v>76</v>
      </c>
      <c r="J96" s="37" t="str">
        <f aca="false">IF(AND(OR(F96="P — En producción",F96="PAR — Parcial (legado)"),OR(G96="N — No cubierto",G96="TBD — Por definir"),OR(H96="N — No cubierto",H96="TBD — Por definir"),OR(I96="N — No cubierto",I96="TBD — Por definir")),"⚠ Regresión","—")</f>
        <v>—</v>
      </c>
      <c r="K96" s="35" t="s">
        <v>305</v>
      </c>
      <c r="L96" s="32"/>
      <c r="M96" s="32"/>
      <c r="N96" s="32"/>
    </row>
    <row r="97" customFormat="false" ht="21.75" hidden="false" customHeight="true" outlineLevel="0" collapsed="false">
      <c r="A97" s="26" t="s">
        <v>310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</row>
    <row r="98" customFormat="false" ht="33.75" hidden="false" customHeight="true" outlineLevel="0" collapsed="false">
      <c r="A98" s="27" t="n">
        <v>73</v>
      </c>
      <c r="B98" s="28" t="s">
        <v>290</v>
      </c>
      <c r="C98" s="29" t="s">
        <v>311</v>
      </c>
      <c r="D98" s="16" t="s">
        <v>312</v>
      </c>
      <c r="E98" s="29" t="s">
        <v>313</v>
      </c>
      <c r="F98" s="6" t="s">
        <v>8</v>
      </c>
      <c r="G98" s="30" t="s">
        <v>76</v>
      </c>
      <c r="H98" s="12" t="s">
        <v>18</v>
      </c>
      <c r="I98" s="30" t="s">
        <v>76</v>
      </c>
      <c r="J98" s="31" t="str">
        <f aca="false">IF(AND(OR(F98="P — En producción",F98="PAR — Parcial (legado)"),OR(G98="N — No cubierto",G98="TBD — Por definir"),OR(H98="N — No cubierto",H98="TBD — Por definir"),OR(I98="N — No cubierto",I98="TBD — Por definir")),"⚠ Regresión","—")</f>
        <v>—</v>
      </c>
      <c r="K98" s="29" t="s">
        <v>118</v>
      </c>
      <c r="L98" s="32"/>
      <c r="M98" s="32"/>
      <c r="N98" s="32"/>
    </row>
    <row r="99" customFormat="false" ht="33.75" hidden="false" customHeight="true" outlineLevel="0" collapsed="false">
      <c r="A99" s="33" t="n">
        <v>74</v>
      </c>
      <c r="B99" s="34" t="s">
        <v>290</v>
      </c>
      <c r="C99" s="35" t="s">
        <v>311</v>
      </c>
      <c r="D99" s="36" t="s">
        <v>314</v>
      </c>
      <c r="E99" s="35" t="s">
        <v>315</v>
      </c>
      <c r="F99" s="6" t="s">
        <v>8</v>
      </c>
      <c r="G99" s="30" t="s">
        <v>76</v>
      </c>
      <c r="H99" s="12" t="s">
        <v>18</v>
      </c>
      <c r="I99" s="30" t="s">
        <v>76</v>
      </c>
      <c r="J99" s="37" t="str">
        <f aca="false">IF(AND(OR(F99="P — En producción",F99="PAR — Parcial (legado)"),OR(G99="N — No cubierto",G99="TBD — Por definir"),OR(H99="N — No cubierto",H99="TBD — Por definir"),OR(I99="N — No cubierto",I99="TBD — Por definir")),"⚠ Regresión","—")</f>
        <v>—</v>
      </c>
      <c r="K99" s="35" t="s">
        <v>118</v>
      </c>
      <c r="L99" s="32"/>
      <c r="M99" s="32"/>
      <c r="N99" s="32"/>
    </row>
    <row r="100" customFormat="false" ht="33.75" hidden="false" customHeight="true" outlineLevel="0" collapsed="false">
      <c r="A100" s="27" t="n">
        <v>75</v>
      </c>
      <c r="B100" s="28" t="s">
        <v>290</v>
      </c>
      <c r="C100" s="29" t="s">
        <v>311</v>
      </c>
      <c r="D100" s="16" t="s">
        <v>316</v>
      </c>
      <c r="E100" s="29" t="s">
        <v>317</v>
      </c>
      <c r="F100" s="13" t="s">
        <v>86</v>
      </c>
      <c r="G100" s="30" t="s">
        <v>76</v>
      </c>
      <c r="H100" s="12" t="s">
        <v>18</v>
      </c>
      <c r="I100" s="30" t="s">
        <v>76</v>
      </c>
      <c r="J100" s="31" t="str">
        <f aca="false">IF(AND(OR(F100="P — En producción",F100="PAR — Parcial (legado)"),OR(G100="N — No cubierto",G100="TBD — Por definir"),OR(H100="N — No cubierto",H100="TBD — Por definir"),OR(I100="N — No cubierto",I100="TBD — Por definir")),"⚠ Regresión","—")</f>
        <v>—</v>
      </c>
      <c r="K100" s="29" t="s">
        <v>318</v>
      </c>
      <c r="L100" s="32"/>
      <c r="M100" s="32"/>
      <c r="N100" s="32"/>
    </row>
    <row r="101" customFormat="false" ht="21.75" hidden="false" customHeight="true" outlineLevel="0" collapsed="false">
      <c r="A101" s="26" t="s">
        <v>319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</row>
    <row r="102" customFormat="false" ht="33.75" hidden="false" customHeight="true" outlineLevel="0" collapsed="false">
      <c r="A102" s="33" t="n">
        <v>76</v>
      </c>
      <c r="B102" s="34" t="s">
        <v>290</v>
      </c>
      <c r="C102" s="35" t="s">
        <v>320</v>
      </c>
      <c r="D102" s="36" t="s">
        <v>321</v>
      </c>
      <c r="E102" s="35" t="s">
        <v>322</v>
      </c>
      <c r="F102" s="6" t="s">
        <v>8</v>
      </c>
      <c r="G102" s="30" t="s">
        <v>76</v>
      </c>
      <c r="H102" s="6" t="s">
        <v>8</v>
      </c>
      <c r="I102" s="30" t="s">
        <v>76</v>
      </c>
      <c r="J102" s="37" t="str">
        <f aca="false">IF(AND(OR(F102="P — En producción",F102="PAR — Parcial (legado)"),OR(G102="N — No cubierto",G102="TBD — Por definir"),OR(H102="N — No cubierto",H102="TBD — Por definir"),OR(I102="N — No cubierto",I102="TBD — Por definir")),"⚠ Regresión","—")</f>
        <v>—</v>
      </c>
      <c r="K102" s="35" t="s">
        <v>323</v>
      </c>
      <c r="L102" s="32"/>
      <c r="M102" s="32"/>
      <c r="N102" s="32"/>
    </row>
    <row r="103" customFormat="false" ht="33.75" hidden="false" customHeight="true" outlineLevel="0" collapsed="false">
      <c r="A103" s="27" t="n">
        <v>77</v>
      </c>
      <c r="B103" s="28" t="s">
        <v>290</v>
      </c>
      <c r="C103" s="29" t="s">
        <v>320</v>
      </c>
      <c r="D103" s="16" t="s">
        <v>324</v>
      </c>
      <c r="E103" s="29" t="s">
        <v>325</v>
      </c>
      <c r="F103" s="6" t="s">
        <v>8</v>
      </c>
      <c r="G103" s="30" t="s">
        <v>76</v>
      </c>
      <c r="H103" s="6" t="s">
        <v>8</v>
      </c>
      <c r="I103" s="30" t="s">
        <v>76</v>
      </c>
      <c r="J103" s="31" t="str">
        <f aca="false">IF(AND(OR(F103="P — En producción",F103="PAR — Parcial (legado)"),OR(G103="N — No cubierto",G103="TBD — Por definir"),OR(H103="N — No cubierto",H103="TBD — Por definir"),OR(I103="N — No cubierto",I103="TBD — Por definir")),"⚠ Regresión","—")</f>
        <v>—</v>
      </c>
      <c r="K103" s="29" t="s">
        <v>326</v>
      </c>
      <c r="L103" s="32"/>
      <c r="M103" s="32"/>
      <c r="N103" s="32"/>
    </row>
    <row r="104" customFormat="false" ht="33.75" hidden="false" customHeight="true" outlineLevel="0" collapsed="false">
      <c r="A104" s="33" t="n">
        <v>78</v>
      </c>
      <c r="B104" s="34" t="s">
        <v>290</v>
      </c>
      <c r="C104" s="35" t="s">
        <v>320</v>
      </c>
      <c r="D104" s="36" t="s">
        <v>327</v>
      </c>
      <c r="E104" s="35" t="s">
        <v>328</v>
      </c>
      <c r="F104" s="6" t="s">
        <v>8</v>
      </c>
      <c r="G104" s="30" t="s">
        <v>76</v>
      </c>
      <c r="H104" s="12" t="s">
        <v>18</v>
      </c>
      <c r="I104" s="30" t="s">
        <v>76</v>
      </c>
      <c r="J104" s="37" t="str">
        <f aca="false">IF(AND(OR(F104="P — En producción",F104="PAR — Parcial (legado)"),OR(G104="N — No cubierto",G104="TBD — Por definir"),OR(H104="N — No cubierto",H104="TBD — Por definir"),OR(I104="N — No cubierto",I104="TBD — Por definir")),"⚠ Regresión","—")</f>
        <v>—</v>
      </c>
      <c r="K104" s="35" t="s">
        <v>329</v>
      </c>
      <c r="L104" s="32"/>
      <c r="M104" s="32"/>
      <c r="N104" s="32"/>
    </row>
    <row r="105" customFormat="false" ht="21.75" hidden="false" customHeight="true" outlineLevel="0" collapsed="false">
      <c r="A105" s="26" t="s">
        <v>330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</row>
    <row r="106" customFormat="false" ht="33.75" hidden="false" customHeight="true" outlineLevel="0" collapsed="false">
      <c r="A106" s="27" t="n">
        <v>79</v>
      </c>
      <c r="B106" s="28" t="s">
        <v>290</v>
      </c>
      <c r="C106" s="29" t="s">
        <v>331</v>
      </c>
      <c r="D106" s="16" t="s">
        <v>332</v>
      </c>
      <c r="E106" s="29" t="s">
        <v>333</v>
      </c>
      <c r="F106" s="6" t="s">
        <v>8</v>
      </c>
      <c r="G106" s="30" t="s">
        <v>76</v>
      </c>
      <c r="H106" s="6" t="s">
        <v>8</v>
      </c>
      <c r="I106" s="30" t="s">
        <v>76</v>
      </c>
      <c r="J106" s="31" t="str">
        <f aca="false">IF(AND(OR(F106="P — En producción",F106="PAR — Parcial (legado)"),OR(G106="N — No cubierto",G106="TBD — Por definir"),OR(H106="N — No cubierto",H106="TBD — Por definir"),OR(I106="N — No cubierto",I106="TBD — Por definir")),"⚠ Regresión","—")</f>
        <v>—</v>
      </c>
      <c r="K106" s="29" t="s">
        <v>334</v>
      </c>
      <c r="L106" s="32"/>
      <c r="M106" s="32"/>
      <c r="N106" s="32"/>
    </row>
    <row r="107" customFormat="false" ht="33.75" hidden="false" customHeight="true" outlineLevel="0" collapsed="false">
      <c r="A107" s="33" t="n">
        <v>80</v>
      </c>
      <c r="B107" s="34" t="s">
        <v>290</v>
      </c>
      <c r="C107" s="35" t="s">
        <v>331</v>
      </c>
      <c r="D107" s="36" t="s">
        <v>335</v>
      </c>
      <c r="E107" s="35" t="s">
        <v>336</v>
      </c>
      <c r="F107" s="6" t="s">
        <v>8</v>
      </c>
      <c r="G107" s="30" t="s">
        <v>76</v>
      </c>
      <c r="H107" s="6" t="s">
        <v>8</v>
      </c>
      <c r="I107" s="30" t="s">
        <v>76</v>
      </c>
      <c r="J107" s="37" t="str">
        <f aca="false">IF(AND(OR(F107="P — En producción",F107="PAR — Parcial (legado)"),OR(G107="N — No cubierto",G107="TBD — Por definir"),OR(H107="N — No cubierto",H107="TBD — Por definir"),OR(I107="N — No cubierto",I107="TBD — Por definir")),"⚠ Regresión","—")</f>
        <v>—</v>
      </c>
      <c r="K107" s="35" t="s">
        <v>337</v>
      </c>
      <c r="L107" s="32"/>
      <c r="M107" s="32"/>
      <c r="N107" s="32"/>
    </row>
    <row r="108" customFormat="false" ht="33.75" hidden="false" customHeight="true" outlineLevel="0" collapsed="false">
      <c r="A108" s="27" t="n">
        <v>81</v>
      </c>
      <c r="B108" s="28" t="s">
        <v>290</v>
      </c>
      <c r="C108" s="29" t="s">
        <v>331</v>
      </c>
      <c r="D108" s="16" t="s">
        <v>338</v>
      </c>
      <c r="E108" s="29" t="s">
        <v>339</v>
      </c>
      <c r="F108" s="6" t="s">
        <v>8</v>
      </c>
      <c r="G108" s="30" t="s">
        <v>76</v>
      </c>
      <c r="H108" s="12" t="s">
        <v>18</v>
      </c>
      <c r="I108" s="30" t="s">
        <v>76</v>
      </c>
      <c r="J108" s="31" t="str">
        <f aca="false">IF(AND(OR(F108="P — En producción",F108="PAR — Parcial (legado)"),OR(G108="N — No cubierto",G108="TBD — Por definir"),OR(H108="N — No cubierto",H108="TBD — Por definir"),OR(I108="N — No cubierto",I108="TBD — Por definir")),"⚠ Regresión","—")</f>
        <v>—</v>
      </c>
      <c r="K108" s="29" t="s">
        <v>340</v>
      </c>
      <c r="L108" s="32"/>
      <c r="M108" s="32"/>
      <c r="N108" s="32"/>
    </row>
    <row r="109" customFormat="false" ht="21.75" hidden="false" customHeight="true" outlineLevel="0" collapsed="false">
      <c r="A109" s="26" t="s">
        <v>341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</row>
    <row r="110" customFormat="false" ht="33.75" hidden="false" customHeight="true" outlineLevel="0" collapsed="false">
      <c r="A110" s="33" t="n">
        <v>82</v>
      </c>
      <c r="B110" s="34" t="s">
        <v>290</v>
      </c>
      <c r="C110" s="35" t="s">
        <v>342</v>
      </c>
      <c r="D110" s="36" t="s">
        <v>343</v>
      </c>
      <c r="E110" s="35" t="s">
        <v>344</v>
      </c>
      <c r="F110" s="6" t="s">
        <v>8</v>
      </c>
      <c r="G110" s="30" t="s">
        <v>76</v>
      </c>
      <c r="H110" s="6" t="s">
        <v>8</v>
      </c>
      <c r="I110" s="30" t="s">
        <v>76</v>
      </c>
      <c r="J110" s="37" t="str">
        <f aca="false">IF(AND(OR(F110="P — En producción",F110="PAR — Parcial (legado)"),OR(G110="N — No cubierto",G110="TBD — Por definir"),OR(H110="N — No cubierto",H110="TBD — Por definir"),OR(I110="N — No cubierto",I110="TBD — Por definir")),"⚠ Regresión","—")</f>
        <v>—</v>
      </c>
      <c r="K110" s="35" t="s">
        <v>345</v>
      </c>
      <c r="L110" s="32"/>
      <c r="M110" s="32"/>
      <c r="N110" s="32"/>
    </row>
    <row r="111" customFormat="false" ht="33.75" hidden="false" customHeight="true" outlineLevel="0" collapsed="false">
      <c r="A111" s="27" t="n">
        <v>83</v>
      </c>
      <c r="B111" s="28" t="s">
        <v>290</v>
      </c>
      <c r="C111" s="29" t="s">
        <v>342</v>
      </c>
      <c r="D111" s="16" t="s">
        <v>346</v>
      </c>
      <c r="E111" s="29" t="s">
        <v>347</v>
      </c>
      <c r="F111" s="6" t="s">
        <v>8</v>
      </c>
      <c r="G111" s="30" t="s">
        <v>76</v>
      </c>
      <c r="H111" s="6" t="s">
        <v>8</v>
      </c>
      <c r="I111" s="30" t="s">
        <v>76</v>
      </c>
      <c r="J111" s="31" t="str">
        <f aca="false">IF(AND(OR(F111="P — En producción",F111="PAR — Parcial (legado)"),OR(G111="N — No cubierto",G111="TBD — Por definir"),OR(H111="N — No cubierto",H111="TBD — Por definir"),OR(I111="N — No cubierto",I111="TBD — Por definir")),"⚠ Regresión","—")</f>
        <v>—</v>
      </c>
      <c r="K111" s="29" t="s">
        <v>348</v>
      </c>
      <c r="L111" s="32"/>
      <c r="M111" s="32"/>
      <c r="N111" s="32"/>
    </row>
    <row r="112" customFormat="false" ht="33.75" hidden="false" customHeight="true" outlineLevel="0" collapsed="false">
      <c r="A112" s="33" t="n">
        <v>84</v>
      </c>
      <c r="B112" s="34" t="s">
        <v>290</v>
      </c>
      <c r="C112" s="35" t="s">
        <v>342</v>
      </c>
      <c r="D112" s="36" t="s">
        <v>349</v>
      </c>
      <c r="E112" s="35" t="s">
        <v>350</v>
      </c>
      <c r="F112" s="6" t="s">
        <v>8</v>
      </c>
      <c r="G112" s="30" t="s">
        <v>76</v>
      </c>
      <c r="H112" s="6" t="s">
        <v>8</v>
      </c>
      <c r="I112" s="30" t="s">
        <v>76</v>
      </c>
      <c r="J112" s="37" t="str">
        <f aca="false">IF(AND(OR(F112="P — En producción",F112="PAR — Parcial (legado)"),OR(G112="N — No cubierto",G112="TBD — Por definir"),OR(H112="N — No cubierto",H112="TBD — Por definir"),OR(I112="N — No cubierto",I112="TBD — Por definir")),"⚠ Regresión","—")</f>
        <v>—</v>
      </c>
      <c r="K112" s="35" t="s">
        <v>351</v>
      </c>
      <c r="L112" s="32"/>
      <c r="M112" s="32"/>
      <c r="N112" s="32"/>
    </row>
    <row r="113" customFormat="false" ht="33.75" hidden="false" customHeight="true" outlineLevel="0" collapsed="false">
      <c r="A113" s="27" t="n">
        <v>85</v>
      </c>
      <c r="B113" s="28" t="s">
        <v>290</v>
      </c>
      <c r="C113" s="29" t="s">
        <v>342</v>
      </c>
      <c r="D113" s="16" t="s">
        <v>352</v>
      </c>
      <c r="E113" s="29" t="s">
        <v>353</v>
      </c>
      <c r="F113" s="6" t="s">
        <v>8</v>
      </c>
      <c r="G113" s="30" t="s">
        <v>76</v>
      </c>
      <c r="H113" s="12" t="s">
        <v>18</v>
      </c>
      <c r="I113" s="30" t="s">
        <v>76</v>
      </c>
      <c r="J113" s="31" t="str">
        <f aca="false">IF(AND(OR(F113="P — En producción",F113="PAR — Parcial (legado)"),OR(G113="N — No cubierto",G113="TBD — Por definir"),OR(H113="N — No cubierto",H113="TBD — Por definir"),OR(I113="N — No cubierto",I113="TBD — Por definir")),"⚠ Regresión","—")</f>
        <v>—</v>
      </c>
      <c r="K113" s="29" t="s">
        <v>354</v>
      </c>
      <c r="L113" s="32"/>
      <c r="M113" s="32"/>
      <c r="N113" s="32"/>
    </row>
    <row r="114" customFormat="false" ht="21.75" hidden="false" customHeight="true" outlineLevel="0" collapsed="false">
      <c r="A114" s="26" t="s">
        <v>355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</row>
    <row r="115" customFormat="false" ht="33.75" hidden="false" customHeight="true" outlineLevel="0" collapsed="false">
      <c r="A115" s="33" t="n">
        <v>86</v>
      </c>
      <c r="B115" s="34" t="s">
        <v>290</v>
      </c>
      <c r="C115" s="35" t="s">
        <v>356</v>
      </c>
      <c r="D115" s="36" t="s">
        <v>357</v>
      </c>
      <c r="E115" s="35" t="s">
        <v>358</v>
      </c>
      <c r="F115" s="6" t="s">
        <v>8</v>
      </c>
      <c r="G115" s="30" t="s">
        <v>76</v>
      </c>
      <c r="H115" s="12" t="s">
        <v>18</v>
      </c>
      <c r="I115" s="30" t="s">
        <v>76</v>
      </c>
      <c r="J115" s="37" t="str">
        <f aca="false">IF(AND(OR(F115="P — En producción",F115="PAR — Parcial (legado)"),OR(G115="N — No cubierto",G115="TBD — Por definir"),OR(H115="N — No cubierto",H115="TBD — Por definir"),OR(I115="N — No cubierto",I115="TBD — Por definir")),"⚠ Regresión","—")</f>
        <v>—</v>
      </c>
      <c r="K115" s="35" t="s">
        <v>359</v>
      </c>
      <c r="L115" s="32"/>
      <c r="M115" s="32"/>
      <c r="N115" s="32"/>
    </row>
    <row r="116" customFormat="false" ht="33.75" hidden="false" customHeight="true" outlineLevel="0" collapsed="false">
      <c r="A116" s="27" t="n">
        <v>87</v>
      </c>
      <c r="B116" s="28" t="s">
        <v>290</v>
      </c>
      <c r="C116" s="29" t="s">
        <v>356</v>
      </c>
      <c r="D116" s="16" t="s">
        <v>360</v>
      </c>
      <c r="E116" s="29" t="s">
        <v>361</v>
      </c>
      <c r="F116" s="6" t="s">
        <v>8</v>
      </c>
      <c r="G116" s="30" t="s">
        <v>76</v>
      </c>
      <c r="H116" s="12" t="s">
        <v>18</v>
      </c>
      <c r="I116" s="30" t="s">
        <v>76</v>
      </c>
      <c r="J116" s="31" t="str">
        <f aca="false">IF(AND(OR(F116="P — En producción",F116="PAR — Parcial (legado)"),OR(G116="N — No cubierto",G116="TBD — Por definir"),OR(H116="N — No cubierto",H116="TBD — Por definir"),OR(I116="N — No cubierto",I116="TBD — Por definir")),"⚠ Regresión","—")</f>
        <v>—</v>
      </c>
      <c r="K116" s="29" t="s">
        <v>362</v>
      </c>
      <c r="L116" s="32"/>
      <c r="M116" s="32"/>
      <c r="N116" s="32"/>
    </row>
    <row r="117" customFormat="false" ht="33.75" hidden="false" customHeight="true" outlineLevel="0" collapsed="false">
      <c r="A117" s="33" t="n">
        <v>88</v>
      </c>
      <c r="B117" s="34" t="s">
        <v>290</v>
      </c>
      <c r="C117" s="35" t="s">
        <v>356</v>
      </c>
      <c r="D117" s="36" t="s">
        <v>363</v>
      </c>
      <c r="E117" s="35" t="s">
        <v>364</v>
      </c>
      <c r="F117" s="6" t="s">
        <v>8</v>
      </c>
      <c r="G117" s="30" t="s">
        <v>76</v>
      </c>
      <c r="H117" s="12" t="s">
        <v>18</v>
      </c>
      <c r="I117" s="30" t="s">
        <v>76</v>
      </c>
      <c r="J117" s="37" t="str">
        <f aca="false">IF(AND(OR(F117="P — En producción",F117="PAR — Parcial (legado)"),OR(G117="N — No cubierto",G117="TBD — Por definir"),OR(H117="N — No cubierto",H117="TBD — Por definir"),OR(I117="N — No cubierto",I117="TBD — Por definir")),"⚠ Regresión","—")</f>
        <v>—</v>
      </c>
      <c r="K117" s="35" t="s">
        <v>365</v>
      </c>
      <c r="L117" s="32"/>
      <c r="M117" s="32"/>
      <c r="N117" s="32"/>
    </row>
    <row r="118" customFormat="false" ht="33.75" hidden="false" customHeight="true" outlineLevel="0" collapsed="false">
      <c r="A118" s="27" t="n">
        <v>89</v>
      </c>
      <c r="B118" s="28" t="s">
        <v>290</v>
      </c>
      <c r="C118" s="29" t="s">
        <v>356</v>
      </c>
      <c r="D118" s="16" t="s">
        <v>366</v>
      </c>
      <c r="E118" s="29" t="s">
        <v>367</v>
      </c>
      <c r="F118" s="6" t="s">
        <v>8</v>
      </c>
      <c r="G118" s="30" t="s">
        <v>76</v>
      </c>
      <c r="H118" s="12" t="s">
        <v>18</v>
      </c>
      <c r="I118" s="30" t="s">
        <v>76</v>
      </c>
      <c r="J118" s="31" t="str">
        <f aca="false">IF(AND(OR(F118="P — En producción",F118="PAR — Parcial (legado)"),OR(G118="N — No cubierto",G118="TBD — Por definir"),OR(H118="N — No cubierto",H118="TBD — Por definir"),OR(I118="N — No cubierto",I118="TBD — Por definir")),"⚠ Regresión","—")</f>
        <v>—</v>
      </c>
      <c r="K118" s="29" t="s">
        <v>368</v>
      </c>
      <c r="L118" s="32"/>
      <c r="M118" s="32"/>
      <c r="N118" s="32"/>
    </row>
    <row r="119" customFormat="false" ht="21.75" hidden="false" customHeight="true" outlineLevel="0" collapsed="false">
      <c r="A119" s="26" t="s">
        <v>369</v>
      </c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</row>
    <row r="120" customFormat="false" ht="33.75" hidden="false" customHeight="true" outlineLevel="0" collapsed="false">
      <c r="A120" s="33" t="n">
        <v>90</v>
      </c>
      <c r="B120" s="34" t="s">
        <v>290</v>
      </c>
      <c r="C120" s="35" t="s">
        <v>370</v>
      </c>
      <c r="D120" s="36" t="s">
        <v>371</v>
      </c>
      <c r="E120" s="35" t="s">
        <v>372</v>
      </c>
      <c r="F120" s="6" t="s">
        <v>8</v>
      </c>
      <c r="G120" s="30" t="s">
        <v>76</v>
      </c>
      <c r="H120" s="12" t="s">
        <v>18</v>
      </c>
      <c r="I120" s="30" t="s">
        <v>76</v>
      </c>
      <c r="J120" s="37" t="str">
        <f aca="false">IF(AND(OR(F120="P — En producción",F120="PAR — Parcial (legado)"),OR(G120="N — No cubierto",G120="TBD — Por definir"),OR(H120="N — No cubierto",H120="TBD — Por definir"),OR(I120="N — No cubierto",I120="TBD — Por definir")),"⚠ Regresión","—")</f>
        <v>—</v>
      </c>
      <c r="K120" s="35" t="s">
        <v>373</v>
      </c>
      <c r="L120" s="32"/>
      <c r="M120" s="32"/>
      <c r="N120" s="32"/>
    </row>
    <row r="121" customFormat="false" ht="33.75" hidden="false" customHeight="true" outlineLevel="0" collapsed="false">
      <c r="A121" s="27" t="n">
        <v>91</v>
      </c>
      <c r="B121" s="28" t="s">
        <v>290</v>
      </c>
      <c r="C121" s="29" t="s">
        <v>370</v>
      </c>
      <c r="D121" s="16" t="s">
        <v>374</v>
      </c>
      <c r="E121" s="29" t="s">
        <v>375</v>
      </c>
      <c r="F121" s="6" t="s">
        <v>8</v>
      </c>
      <c r="G121" s="30" t="s">
        <v>76</v>
      </c>
      <c r="H121" s="12" t="s">
        <v>18</v>
      </c>
      <c r="I121" s="30" t="s">
        <v>76</v>
      </c>
      <c r="J121" s="31" t="str">
        <f aca="false">IF(AND(OR(F121="P — En producción",F121="PAR — Parcial (legado)"),OR(G121="N — No cubierto",G121="TBD — Por definir"),OR(H121="N — No cubierto",H121="TBD — Por definir"),OR(I121="N — No cubierto",I121="TBD — Por definir")),"⚠ Regresión","—")</f>
        <v>—</v>
      </c>
      <c r="K121" s="29" t="s">
        <v>376</v>
      </c>
      <c r="L121" s="32"/>
      <c r="M121" s="32"/>
      <c r="N121" s="32"/>
    </row>
    <row r="122" customFormat="false" ht="33.75" hidden="false" customHeight="true" outlineLevel="0" collapsed="false">
      <c r="A122" s="33" t="n">
        <v>92</v>
      </c>
      <c r="B122" s="34" t="s">
        <v>290</v>
      </c>
      <c r="C122" s="35" t="s">
        <v>370</v>
      </c>
      <c r="D122" s="36" t="s">
        <v>377</v>
      </c>
      <c r="E122" s="35" t="s">
        <v>378</v>
      </c>
      <c r="F122" s="6" t="s">
        <v>8</v>
      </c>
      <c r="G122" s="30" t="s">
        <v>76</v>
      </c>
      <c r="H122" s="12" t="s">
        <v>18</v>
      </c>
      <c r="I122" s="30" t="s">
        <v>76</v>
      </c>
      <c r="J122" s="37" t="str">
        <f aca="false">IF(AND(OR(F122="P — En producción",F122="PAR — Parcial (legado)"),OR(G122="N — No cubierto",G122="TBD — Por definir"),OR(H122="N — No cubierto",H122="TBD — Por definir"),OR(I122="N — No cubierto",I122="TBD — Por definir")),"⚠ Regresión","—")</f>
        <v>—</v>
      </c>
      <c r="K122" s="35" t="s">
        <v>379</v>
      </c>
      <c r="L122" s="32"/>
      <c r="M122" s="32"/>
      <c r="N122" s="32"/>
    </row>
    <row r="123" customFormat="false" ht="33.75" hidden="false" customHeight="true" outlineLevel="0" collapsed="false">
      <c r="A123" s="27" t="n">
        <v>93</v>
      </c>
      <c r="B123" s="28" t="s">
        <v>290</v>
      </c>
      <c r="C123" s="29" t="s">
        <v>370</v>
      </c>
      <c r="D123" s="16" t="s">
        <v>380</v>
      </c>
      <c r="E123" s="29" t="s">
        <v>381</v>
      </c>
      <c r="F123" s="6" t="s">
        <v>8</v>
      </c>
      <c r="G123" s="30" t="s">
        <v>76</v>
      </c>
      <c r="H123" s="12" t="s">
        <v>18</v>
      </c>
      <c r="I123" s="30" t="s">
        <v>76</v>
      </c>
      <c r="J123" s="31" t="str">
        <f aca="false">IF(AND(OR(F123="P — En producción",F123="PAR — Parcial (legado)"),OR(G123="N — No cubierto",G123="TBD — Por definir"),OR(H123="N — No cubierto",H123="TBD — Por definir"),OR(I123="N — No cubierto",I123="TBD — Por definir")),"⚠ Regresión","—")</f>
        <v>—</v>
      </c>
      <c r="K123" s="29" t="s">
        <v>382</v>
      </c>
      <c r="L123" s="32"/>
      <c r="M123" s="32"/>
      <c r="N123" s="32"/>
    </row>
  </sheetData>
  <mergeCells count="27">
    <mergeCell ref="A1:N1"/>
    <mergeCell ref="A2:N2"/>
    <mergeCell ref="A6:N6"/>
    <mergeCell ref="A7:N7"/>
    <mergeCell ref="A12:N12"/>
    <mergeCell ref="A21:N21"/>
    <mergeCell ref="A26:N26"/>
    <mergeCell ref="A30:N30"/>
    <mergeCell ref="A36:N36"/>
    <mergeCell ref="A41:N41"/>
    <mergeCell ref="A44:N44"/>
    <mergeCell ref="A49:N49"/>
    <mergeCell ref="A54:N54"/>
    <mergeCell ref="A59:N59"/>
    <mergeCell ref="A62:N62"/>
    <mergeCell ref="A69:N69"/>
    <mergeCell ref="A77:N77"/>
    <mergeCell ref="A82:N82"/>
    <mergeCell ref="A87:N87"/>
    <mergeCell ref="A88:N88"/>
    <mergeCell ref="A93:N93"/>
    <mergeCell ref="A97:N97"/>
    <mergeCell ref="A101:N101"/>
    <mergeCell ref="A105:N105"/>
    <mergeCell ref="A109:N109"/>
    <mergeCell ref="A114:N114"/>
    <mergeCell ref="A119:N119"/>
  </mergeCells>
  <dataValidations count="2">
    <dataValidation allowBlank="false" errorStyle="stop" operator="between" showDropDown="false" showErrorMessage="false" showInputMessage="false" sqref="G6:G300" type="list">
      <formula1>"P — En producción,D — Implementado,no desplegado,C — Configurable sin desarrollo,X — Configurable con desarrollo,N — No cubierto,TBD — Por definir"</formula1>
      <formula2>0</formula2>
    </dataValidation>
    <dataValidation allowBlank="false" errorStyle="stop" operator="between" showDropDown="false" showErrorMessage="false" showInputMessage="false" sqref="I6:I300" type="list">
      <formula1>"P — En producción,D — Implementado,no desplegado,C — Configurable sin desarrollo,X — Configurable con desarrollo,N — No cubierto,TBD — Por definir"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10"/>
    <col collapsed="false" customWidth="true" hidden="false" outlineLevel="0" max="7" min="4" style="0" width="14"/>
    <col collapsed="false" customWidth="true" hidden="false" outlineLevel="0" max="8" min="8" style="0" width="20"/>
  </cols>
  <sheetData>
    <row r="1" customFormat="false" ht="30" hidden="false" customHeight="true" outlineLevel="0" collapsed="false">
      <c r="B1" s="22" t="s">
        <v>383</v>
      </c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B2" s="2" t="s">
        <v>384</v>
      </c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24" t="s">
        <v>68</v>
      </c>
      <c r="C4" s="24" t="s">
        <v>385</v>
      </c>
      <c r="D4" s="24" t="s">
        <v>386</v>
      </c>
      <c r="E4" s="24" t="s">
        <v>387</v>
      </c>
      <c r="F4" s="24" t="s">
        <v>388</v>
      </c>
      <c r="G4" s="24" t="s">
        <v>389</v>
      </c>
      <c r="H4" s="24" t="s">
        <v>390</v>
      </c>
    </row>
    <row r="5" customFormat="false" ht="19.5" hidden="false" customHeight="true" outlineLevel="0" collapsed="false">
      <c r="B5" s="39" t="s">
        <v>70</v>
      </c>
      <c r="C5" s="39"/>
      <c r="D5" s="39"/>
      <c r="E5" s="39"/>
      <c r="F5" s="39"/>
      <c r="G5" s="39"/>
      <c r="H5" s="39"/>
    </row>
    <row r="6" customFormat="false" ht="19.5" hidden="false" customHeight="true" outlineLevel="0" collapsed="false">
      <c r="B6" s="36" t="s">
        <v>73</v>
      </c>
      <c r="C6" s="40" t="n">
        <v>4</v>
      </c>
      <c r="D6" s="40" t="n">
        <v>4</v>
      </c>
      <c r="E6" s="40" t="n">
        <v>0</v>
      </c>
      <c r="F6" s="30" t="s">
        <v>76</v>
      </c>
      <c r="G6" s="30" t="s">
        <v>76</v>
      </c>
      <c r="H6" s="41"/>
    </row>
    <row r="7" customFormat="false" ht="19.5" hidden="false" customHeight="true" outlineLevel="0" collapsed="false">
      <c r="B7" s="16" t="s">
        <v>89</v>
      </c>
      <c r="C7" s="42" t="n">
        <v>8</v>
      </c>
      <c r="D7" s="42" t="n">
        <v>8</v>
      </c>
      <c r="E7" s="42" t="n">
        <v>8</v>
      </c>
      <c r="F7" s="30" t="s">
        <v>76</v>
      </c>
      <c r="G7" s="30" t="s">
        <v>76</v>
      </c>
      <c r="H7" s="43"/>
    </row>
    <row r="8" customFormat="false" ht="19.5" hidden="false" customHeight="true" outlineLevel="0" collapsed="false">
      <c r="B8" s="36" t="s">
        <v>115</v>
      </c>
      <c r="C8" s="40" t="n">
        <v>4</v>
      </c>
      <c r="D8" s="40" t="n">
        <v>4</v>
      </c>
      <c r="E8" s="40" t="n">
        <v>0</v>
      </c>
      <c r="F8" s="30" t="s">
        <v>76</v>
      </c>
      <c r="G8" s="30" t="s">
        <v>76</v>
      </c>
      <c r="H8" s="44" t="s">
        <v>391</v>
      </c>
    </row>
    <row r="9" customFormat="false" ht="19.5" hidden="false" customHeight="true" outlineLevel="0" collapsed="false">
      <c r="B9" s="16" t="s">
        <v>126</v>
      </c>
      <c r="C9" s="42" t="n">
        <v>3</v>
      </c>
      <c r="D9" s="42" t="n">
        <v>2</v>
      </c>
      <c r="E9" s="42" t="n">
        <v>0</v>
      </c>
      <c r="F9" s="30" t="s">
        <v>76</v>
      </c>
      <c r="G9" s="30" t="s">
        <v>76</v>
      </c>
      <c r="H9" s="45" t="s">
        <v>391</v>
      </c>
    </row>
    <row r="10" customFormat="false" ht="19.5" hidden="false" customHeight="true" outlineLevel="0" collapsed="false">
      <c r="B10" s="36" t="s">
        <v>135</v>
      </c>
      <c r="C10" s="40" t="n">
        <v>5</v>
      </c>
      <c r="D10" s="40" t="n">
        <v>5</v>
      </c>
      <c r="E10" s="40" t="n">
        <v>5</v>
      </c>
      <c r="F10" s="30" t="s">
        <v>76</v>
      </c>
      <c r="G10" s="30" t="s">
        <v>76</v>
      </c>
      <c r="H10" s="41"/>
    </row>
    <row r="11" customFormat="false" ht="19.5" hidden="false" customHeight="true" outlineLevel="0" collapsed="false">
      <c r="B11" s="16" t="s">
        <v>152</v>
      </c>
      <c r="C11" s="42" t="n">
        <v>4</v>
      </c>
      <c r="D11" s="42" t="n">
        <v>3</v>
      </c>
      <c r="E11" s="42" t="n">
        <v>0</v>
      </c>
      <c r="F11" s="30" t="s">
        <v>76</v>
      </c>
      <c r="G11" s="30" t="s">
        <v>76</v>
      </c>
      <c r="H11" s="45" t="s">
        <v>391</v>
      </c>
    </row>
    <row r="12" customFormat="false" ht="19.5" hidden="false" customHeight="true" outlineLevel="0" collapsed="false">
      <c r="B12" s="36" t="s">
        <v>163</v>
      </c>
      <c r="C12" s="40" t="n">
        <v>2</v>
      </c>
      <c r="D12" s="40" t="n">
        <v>2</v>
      </c>
      <c r="E12" s="40" t="n">
        <v>0</v>
      </c>
      <c r="F12" s="30" t="s">
        <v>76</v>
      </c>
      <c r="G12" s="30" t="s">
        <v>76</v>
      </c>
      <c r="H12" s="44" t="s">
        <v>391</v>
      </c>
    </row>
    <row r="13" customFormat="false" ht="19.5" hidden="false" customHeight="true" outlineLevel="0" collapsed="false">
      <c r="B13" s="16" t="s">
        <v>171</v>
      </c>
      <c r="C13" s="42" t="n">
        <v>4</v>
      </c>
      <c r="D13" s="42" t="n">
        <v>4</v>
      </c>
      <c r="E13" s="42" t="n">
        <v>4</v>
      </c>
      <c r="F13" s="30" t="s">
        <v>76</v>
      </c>
      <c r="G13" s="30" t="s">
        <v>76</v>
      </c>
      <c r="H13" s="43"/>
    </row>
    <row r="14" customFormat="false" ht="19.5" hidden="false" customHeight="true" outlineLevel="0" collapsed="false">
      <c r="B14" s="36" t="s">
        <v>185</v>
      </c>
      <c r="C14" s="40" t="n">
        <v>4</v>
      </c>
      <c r="D14" s="40" t="n">
        <v>4</v>
      </c>
      <c r="E14" s="40" t="n">
        <v>4</v>
      </c>
      <c r="F14" s="30" t="s">
        <v>76</v>
      </c>
      <c r="G14" s="30" t="s">
        <v>76</v>
      </c>
      <c r="H14" s="41"/>
    </row>
    <row r="15" customFormat="false" ht="19.5" hidden="false" customHeight="true" outlineLevel="0" collapsed="false">
      <c r="B15" s="16" t="s">
        <v>199</v>
      </c>
      <c r="C15" s="42" t="n">
        <v>4</v>
      </c>
      <c r="D15" s="42" t="n">
        <v>3</v>
      </c>
      <c r="E15" s="42" t="n">
        <v>2</v>
      </c>
      <c r="F15" s="30" t="s">
        <v>76</v>
      </c>
      <c r="G15" s="30" t="s">
        <v>76</v>
      </c>
      <c r="H15" s="43" t="s">
        <v>392</v>
      </c>
    </row>
    <row r="16" customFormat="false" ht="19.5" hidden="false" customHeight="true" outlineLevel="0" collapsed="false">
      <c r="B16" s="36" t="s">
        <v>213</v>
      </c>
      <c r="C16" s="40" t="n">
        <v>2</v>
      </c>
      <c r="D16" s="40" t="n">
        <v>2</v>
      </c>
      <c r="E16" s="40" t="n">
        <v>1</v>
      </c>
      <c r="F16" s="30" t="s">
        <v>76</v>
      </c>
      <c r="G16" s="30" t="s">
        <v>76</v>
      </c>
      <c r="H16" s="41" t="s">
        <v>393</v>
      </c>
    </row>
    <row r="17" customFormat="false" ht="19.5" hidden="false" customHeight="true" outlineLevel="0" collapsed="false">
      <c r="B17" s="16" t="s">
        <v>221</v>
      </c>
      <c r="C17" s="42" t="n">
        <v>6</v>
      </c>
      <c r="D17" s="42" t="n">
        <v>4</v>
      </c>
      <c r="E17" s="42" t="n">
        <v>4</v>
      </c>
      <c r="F17" s="30" t="s">
        <v>76</v>
      </c>
      <c r="G17" s="30" t="s">
        <v>76</v>
      </c>
      <c r="H17" s="43" t="s">
        <v>392</v>
      </c>
    </row>
    <row r="18" customFormat="false" ht="19.5" hidden="false" customHeight="true" outlineLevel="0" collapsed="false">
      <c r="B18" s="36" t="s">
        <v>240</v>
      </c>
      <c r="C18" s="40" t="n">
        <v>7</v>
      </c>
      <c r="D18" s="40" t="n">
        <v>7</v>
      </c>
      <c r="E18" s="40" t="n">
        <v>7</v>
      </c>
      <c r="F18" s="30" t="s">
        <v>76</v>
      </c>
      <c r="G18" s="30" t="s">
        <v>76</v>
      </c>
      <c r="H18" s="41"/>
    </row>
    <row r="19" customFormat="false" ht="19.5" hidden="false" customHeight="true" outlineLevel="0" collapsed="false">
      <c r="B19" s="16" t="s">
        <v>263</v>
      </c>
      <c r="C19" s="42" t="n">
        <v>4</v>
      </c>
      <c r="D19" s="42" t="n">
        <v>4</v>
      </c>
      <c r="E19" s="42" t="n">
        <v>4</v>
      </c>
      <c r="F19" s="30" t="s">
        <v>76</v>
      </c>
      <c r="G19" s="30" t="s">
        <v>76</v>
      </c>
      <c r="H19" s="43"/>
    </row>
    <row r="20" customFormat="false" ht="19.5" hidden="false" customHeight="true" outlineLevel="0" collapsed="false">
      <c r="B20" s="36" t="s">
        <v>277</v>
      </c>
      <c r="C20" s="40" t="n">
        <v>4</v>
      </c>
      <c r="D20" s="40" t="n">
        <v>4</v>
      </c>
      <c r="E20" s="40" t="n">
        <v>4</v>
      </c>
      <c r="F20" s="30" t="s">
        <v>76</v>
      </c>
      <c r="G20" s="30" t="s">
        <v>76</v>
      </c>
      <c r="H20" s="41"/>
    </row>
    <row r="21" customFormat="false" ht="19.5" hidden="false" customHeight="true" outlineLevel="0" collapsed="false">
      <c r="B21" s="46" t="s">
        <v>288</v>
      </c>
      <c r="C21" s="46"/>
      <c r="D21" s="46"/>
      <c r="E21" s="46"/>
      <c r="F21" s="46"/>
      <c r="G21" s="46"/>
      <c r="H21" s="46"/>
    </row>
    <row r="22" customFormat="false" ht="19.5" hidden="false" customHeight="true" outlineLevel="0" collapsed="false">
      <c r="B22" s="36" t="s">
        <v>291</v>
      </c>
      <c r="C22" s="40" t="n">
        <v>4</v>
      </c>
      <c r="D22" s="40" t="n">
        <v>4</v>
      </c>
      <c r="E22" s="40" t="n">
        <v>0</v>
      </c>
      <c r="F22" s="30" t="s">
        <v>76</v>
      </c>
      <c r="G22" s="30" t="s">
        <v>76</v>
      </c>
      <c r="H22" s="44" t="s">
        <v>391</v>
      </c>
    </row>
    <row r="23" customFormat="false" ht="19.5" hidden="false" customHeight="true" outlineLevel="0" collapsed="false">
      <c r="B23" s="16" t="s">
        <v>302</v>
      </c>
      <c r="C23" s="42" t="n">
        <v>3</v>
      </c>
      <c r="D23" s="42" t="n">
        <v>3</v>
      </c>
      <c r="E23" s="42" t="n">
        <v>0</v>
      </c>
      <c r="F23" s="30" t="s">
        <v>76</v>
      </c>
      <c r="G23" s="30" t="s">
        <v>76</v>
      </c>
      <c r="H23" s="45" t="s">
        <v>391</v>
      </c>
    </row>
    <row r="24" customFormat="false" ht="19.5" hidden="false" customHeight="true" outlineLevel="0" collapsed="false">
      <c r="B24" s="36" t="s">
        <v>311</v>
      </c>
      <c r="C24" s="40" t="n">
        <v>3</v>
      </c>
      <c r="D24" s="40" t="n">
        <v>3</v>
      </c>
      <c r="E24" s="40" t="n">
        <v>0</v>
      </c>
      <c r="F24" s="30" t="s">
        <v>76</v>
      </c>
      <c r="G24" s="30" t="s">
        <v>76</v>
      </c>
      <c r="H24" s="44" t="s">
        <v>391</v>
      </c>
    </row>
    <row r="25" customFormat="false" ht="19.5" hidden="false" customHeight="true" outlineLevel="0" collapsed="false">
      <c r="B25" s="16" t="s">
        <v>320</v>
      </c>
      <c r="C25" s="42" t="n">
        <v>3</v>
      </c>
      <c r="D25" s="42" t="n">
        <v>3</v>
      </c>
      <c r="E25" s="42" t="n">
        <v>2</v>
      </c>
      <c r="F25" s="30" t="s">
        <v>76</v>
      </c>
      <c r="G25" s="30" t="s">
        <v>76</v>
      </c>
      <c r="H25" s="43" t="s">
        <v>393</v>
      </c>
    </row>
    <row r="26" customFormat="false" ht="19.5" hidden="false" customHeight="true" outlineLevel="0" collapsed="false">
      <c r="B26" s="36" t="s">
        <v>331</v>
      </c>
      <c r="C26" s="40" t="n">
        <v>3</v>
      </c>
      <c r="D26" s="40" t="n">
        <v>3</v>
      </c>
      <c r="E26" s="40" t="n">
        <v>2</v>
      </c>
      <c r="F26" s="30" t="s">
        <v>76</v>
      </c>
      <c r="G26" s="30" t="s">
        <v>76</v>
      </c>
      <c r="H26" s="41" t="s">
        <v>393</v>
      </c>
    </row>
    <row r="27" customFormat="false" ht="19.5" hidden="false" customHeight="true" outlineLevel="0" collapsed="false">
      <c r="B27" s="16" t="s">
        <v>342</v>
      </c>
      <c r="C27" s="42" t="n">
        <v>4</v>
      </c>
      <c r="D27" s="42" t="n">
        <v>4</v>
      </c>
      <c r="E27" s="42" t="n">
        <v>3</v>
      </c>
      <c r="F27" s="30" t="s">
        <v>76</v>
      </c>
      <c r="G27" s="30" t="s">
        <v>76</v>
      </c>
      <c r="H27" s="43" t="s">
        <v>393</v>
      </c>
    </row>
    <row r="28" customFormat="false" ht="19.5" hidden="false" customHeight="true" outlineLevel="0" collapsed="false">
      <c r="B28" s="36" t="s">
        <v>356</v>
      </c>
      <c r="C28" s="40" t="n">
        <v>4</v>
      </c>
      <c r="D28" s="40" t="n">
        <v>4</v>
      </c>
      <c r="E28" s="40" t="n">
        <v>0</v>
      </c>
      <c r="F28" s="30" t="s">
        <v>76</v>
      </c>
      <c r="G28" s="30" t="s">
        <v>76</v>
      </c>
      <c r="H28" s="44" t="s">
        <v>391</v>
      </c>
    </row>
    <row r="29" customFormat="false" ht="19.5" hidden="false" customHeight="true" outlineLevel="0" collapsed="false">
      <c r="B29" s="16" t="s">
        <v>370</v>
      </c>
      <c r="C29" s="42" t="n">
        <v>4</v>
      </c>
      <c r="D29" s="42" t="n">
        <v>4</v>
      </c>
      <c r="E29" s="42" t="n">
        <v>0</v>
      </c>
      <c r="F29" s="30" t="s">
        <v>76</v>
      </c>
      <c r="G29" s="30" t="s">
        <v>76</v>
      </c>
      <c r="H29" s="45" t="s">
        <v>391</v>
      </c>
    </row>
  </sheetData>
  <mergeCells count="4">
    <mergeCell ref="B1:H1"/>
    <mergeCell ref="B2:H2"/>
    <mergeCell ref="B5:H5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085AC9BD-1404-4C10-804C-1C997A36A069}"/>
</file>

<file path=customXml/itemProps2.xml><?xml version="1.0" encoding="utf-8"?>
<ds:datastoreItem xmlns:ds="http://schemas.openxmlformats.org/officeDocument/2006/customXml" ds:itemID="{B02246A5-8099-4A12-B067-48099583144E}"/>
</file>

<file path=customXml/itemProps3.xml><?xml version="1.0" encoding="utf-8"?>
<ds:datastoreItem xmlns:ds="http://schemas.openxmlformats.org/officeDocument/2006/customXml" ds:itemID="{D93F4B95-19DB-4EFD-9803-E5F54C79177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2026-07-10T09:47:08Z</dcterms:created>
  <dcterms:modified xsi:type="dcterms:W3CDTF">2026-07-10T09:47:08Z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